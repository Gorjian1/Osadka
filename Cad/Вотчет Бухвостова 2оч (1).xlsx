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O:\1_Геофундамент 2020\3.2 Геофундамент отчеты\2025_Бухвостова 2\измерения\"/>
    </mc:Choice>
  </mc:AlternateContent>
  <xr:revisionPtr revIDLastSave="0" documentId="13_ncr:1_{1C8623EB-18D3-4E8D-8497-9B8167C511C4}" xr6:coauthVersionLast="47" xr6:coauthVersionMax="47" xr10:uidLastSave="{00000000-0000-0000-0000-000000000000}"/>
  <bookViews>
    <workbookView xWindow="30612" yWindow="60" windowWidth="30936" windowHeight="16896" activeTab="1" xr2:uid="{00000000-000D-0000-FFFF-FFFF00000000}"/>
  </bookViews>
  <sheets>
    <sheet name="инженерка нов" sheetId="6" r:id="rId1"/>
    <sheet name="котлован" sheetId="4" r:id="rId2"/>
    <sheet name="корп. 3, 4, 5" sheetId="5" r:id="rId3"/>
    <sheet name="корп. 6" sheetId="7" r:id="rId4"/>
    <sheet name="корп. 2" sheetId="8" r:id="rId5"/>
    <sheet name="репера" sheetId="2" r:id="rId6"/>
    <sheet name="инженерка" sheetId="3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57" i="5" l="1"/>
  <c r="AJ25" i="5"/>
  <c r="BJ13" i="4"/>
  <c r="BI13" i="4"/>
  <c r="BI11" i="4"/>
  <c r="BK11" i="4" s="1"/>
  <c r="BJ11" i="4"/>
  <c r="BI12" i="4"/>
  <c r="BJ12" i="4"/>
  <c r="BK12" i="4" s="1"/>
  <c r="BI17" i="4"/>
  <c r="BJ17" i="4"/>
  <c r="BK17" i="4"/>
  <c r="BI18" i="4"/>
  <c r="BK18" i="4" s="1"/>
  <c r="BJ18" i="4"/>
  <c r="BI19" i="4"/>
  <c r="BK19" i="4" s="1"/>
  <c r="BJ19" i="4"/>
  <c r="BI20" i="4"/>
  <c r="BK20" i="4" s="1"/>
  <c r="BJ20" i="4"/>
  <c r="BI21" i="4"/>
  <c r="BJ21" i="4"/>
  <c r="BK21" i="4"/>
  <c r="BI22" i="4"/>
  <c r="BK22" i="4" s="1"/>
  <c r="BJ22" i="4"/>
  <c r="BI23" i="4"/>
  <c r="BK23" i="4" s="1"/>
  <c r="BJ23" i="4"/>
  <c r="BI24" i="4"/>
  <c r="BK24" i="4" s="1"/>
  <c r="BJ24" i="4"/>
  <c r="BI25" i="4"/>
  <c r="BJ25" i="4"/>
  <c r="BK25" i="4"/>
  <c r="BI61" i="4"/>
  <c r="BJ61" i="4"/>
  <c r="BK61" i="4"/>
  <c r="BI62" i="4"/>
  <c r="BK62" i="4" s="1"/>
  <c r="BJ62" i="4"/>
  <c r="BI63" i="4"/>
  <c r="BK63" i="4" s="1"/>
  <c r="BJ63" i="4"/>
  <c r="BI64" i="4"/>
  <c r="BK64" i="4" s="1"/>
  <c r="BJ64" i="4"/>
  <c r="BI65" i="4"/>
  <c r="BJ65" i="4"/>
  <c r="BK65" i="4"/>
  <c r="BI66" i="4"/>
  <c r="BK66" i="4" s="1"/>
  <c r="BJ66" i="4"/>
  <c r="BJ10" i="4"/>
  <c r="BI10" i="4"/>
  <c r="BK10" i="4" s="1"/>
  <c r="T10" i="6" l="1"/>
  <c r="U10" i="6" s="1"/>
  <c r="T11" i="6"/>
  <c r="U11" i="6"/>
  <c r="T12" i="6"/>
  <c r="U12" i="6"/>
  <c r="T13" i="6"/>
  <c r="U13" i="6"/>
  <c r="T14" i="6"/>
  <c r="U14" i="6" s="1"/>
  <c r="T15" i="6"/>
  <c r="U15" i="6"/>
  <c r="T16" i="6"/>
  <c r="U16" i="6"/>
  <c r="T17" i="6"/>
  <c r="U17" i="6"/>
  <c r="T18" i="6"/>
  <c r="U18" i="6"/>
  <c r="T19" i="6"/>
  <c r="U19" i="6"/>
  <c r="T20" i="6"/>
  <c r="U20" i="6"/>
  <c r="T21" i="6"/>
  <c r="U21" i="6"/>
  <c r="T22" i="6"/>
  <c r="U22" i="6"/>
  <c r="T23" i="6"/>
  <c r="U23" i="6"/>
  <c r="T24" i="6"/>
  <c r="U24" i="6"/>
  <c r="T25" i="6"/>
  <c r="U25" i="6"/>
  <c r="T26" i="6"/>
  <c r="U26" i="6"/>
  <c r="T27" i="6"/>
  <c r="U27" i="6"/>
  <c r="T28" i="6"/>
  <c r="U28" i="6"/>
  <c r="T29" i="6"/>
  <c r="U29" i="6"/>
  <c r="T30" i="6"/>
  <c r="U30" i="6"/>
  <c r="T31" i="6"/>
  <c r="U31" i="6"/>
  <c r="T9" i="6"/>
  <c r="U9" i="6" s="1"/>
  <c r="AE25" i="8" l="1"/>
  <c r="AC25" i="8"/>
  <c r="Z25" i="8"/>
  <c r="W25" i="8"/>
  <c r="T25" i="8"/>
  <c r="Q25" i="8"/>
  <c r="N25" i="8"/>
  <c r="K25" i="8"/>
  <c r="H25" i="8"/>
  <c r="I25" i="8" s="1"/>
  <c r="AE24" i="8"/>
  <c r="AC24" i="8"/>
  <c r="Z24" i="8"/>
  <c r="W24" i="8"/>
  <c r="T24" i="8"/>
  <c r="Q24" i="8"/>
  <c r="N24" i="8"/>
  <c r="K24" i="8"/>
  <c r="H24" i="8"/>
  <c r="I24" i="8" s="1"/>
  <c r="L24" i="8" s="1"/>
  <c r="O24" i="8" s="1"/>
  <c r="AE23" i="8"/>
  <c r="AC23" i="8"/>
  <c r="Z23" i="8"/>
  <c r="W23" i="8"/>
  <c r="T23" i="8"/>
  <c r="Q23" i="8"/>
  <c r="N23" i="8"/>
  <c r="K23" i="8"/>
  <c r="H23" i="8"/>
  <c r="I23" i="8" s="1"/>
  <c r="L23" i="8" s="1"/>
  <c r="O23" i="8" s="1"/>
  <c r="AE22" i="8"/>
  <c r="AC22" i="8"/>
  <c r="Z22" i="8"/>
  <c r="W22" i="8"/>
  <c r="T22" i="8"/>
  <c r="Q22" i="8"/>
  <c r="N22" i="8"/>
  <c r="K22" i="8"/>
  <c r="H22" i="8"/>
  <c r="I22" i="8" s="1"/>
  <c r="L22" i="8" s="1"/>
  <c r="O22" i="8" s="1"/>
  <c r="AE21" i="8"/>
  <c r="AC21" i="8"/>
  <c r="Z21" i="8"/>
  <c r="W21" i="8"/>
  <c r="T21" i="8"/>
  <c r="Q21" i="8"/>
  <c r="N21" i="8"/>
  <c r="K21" i="8"/>
  <c r="H21" i="8"/>
  <c r="I21" i="8" s="1"/>
  <c r="AE20" i="8"/>
  <c r="AC20" i="8"/>
  <c r="Z20" i="8"/>
  <c r="W20" i="8"/>
  <c r="T20" i="8"/>
  <c r="Q20" i="8"/>
  <c r="N20" i="8"/>
  <c r="K20" i="8"/>
  <c r="H20" i="8"/>
  <c r="I20" i="8" s="1"/>
  <c r="L20" i="8" s="1"/>
  <c r="AE19" i="8"/>
  <c r="AC19" i="8"/>
  <c r="Z19" i="8"/>
  <c r="W19" i="8"/>
  <c r="T19" i="8"/>
  <c r="Q19" i="8"/>
  <c r="N19" i="8"/>
  <c r="K19" i="8"/>
  <c r="H19" i="8"/>
  <c r="I19" i="8" s="1"/>
  <c r="AE18" i="8"/>
  <c r="AC18" i="8"/>
  <c r="Z18" i="8"/>
  <c r="W18" i="8"/>
  <c r="T18" i="8"/>
  <c r="Q18" i="8"/>
  <c r="N18" i="8"/>
  <c r="K18" i="8"/>
  <c r="H18" i="8"/>
  <c r="I18" i="8" s="1"/>
  <c r="L18" i="8" s="1"/>
  <c r="O18" i="8" s="1"/>
  <c r="AE17" i="8"/>
  <c r="AC17" i="8"/>
  <c r="Z17" i="8"/>
  <c r="W17" i="8"/>
  <c r="T17" i="8"/>
  <c r="Q17" i="8"/>
  <c r="N17" i="8"/>
  <c r="K17" i="8"/>
  <c r="H17" i="8"/>
  <c r="I17" i="8" s="1"/>
  <c r="AE16" i="8"/>
  <c r="AC16" i="8"/>
  <c r="Z16" i="8"/>
  <c r="W16" i="8"/>
  <c r="T16" i="8"/>
  <c r="Q16" i="8"/>
  <c r="N16" i="8"/>
  <c r="K16" i="8"/>
  <c r="H16" i="8"/>
  <c r="I16" i="8" s="1"/>
  <c r="L16" i="8" s="1"/>
  <c r="AE15" i="8"/>
  <c r="AC15" i="8"/>
  <c r="Z15" i="8"/>
  <c r="W15" i="8"/>
  <c r="T15" i="8"/>
  <c r="Q15" i="8"/>
  <c r="N15" i="8"/>
  <c r="K15" i="8"/>
  <c r="H15" i="8"/>
  <c r="I15" i="8" s="1"/>
  <c r="AE14" i="8"/>
  <c r="AC14" i="8"/>
  <c r="Z14" i="8"/>
  <c r="W14" i="8"/>
  <c r="T14" i="8"/>
  <c r="Q14" i="8"/>
  <c r="N14" i="8"/>
  <c r="K14" i="8"/>
  <c r="H14" i="8"/>
  <c r="I14" i="8" s="1"/>
  <c r="L14" i="8" s="1"/>
  <c r="O14" i="8" s="1"/>
  <c r="AE13" i="8"/>
  <c r="AC13" i="8"/>
  <c r="Z13" i="8"/>
  <c r="W13" i="8"/>
  <c r="T13" i="8"/>
  <c r="Q13" i="8"/>
  <c r="N13" i="8"/>
  <c r="K13" i="8"/>
  <c r="H13" i="8"/>
  <c r="I13" i="8" s="1"/>
  <c r="AE12" i="8"/>
  <c r="AC12" i="8"/>
  <c r="Z12" i="8"/>
  <c r="W12" i="8"/>
  <c r="T12" i="8"/>
  <c r="Q12" i="8"/>
  <c r="N12" i="8"/>
  <c r="K12" i="8"/>
  <c r="H12" i="8"/>
  <c r="I12" i="8" s="1"/>
  <c r="L12" i="8" s="1"/>
  <c r="AE11" i="8"/>
  <c r="AC11" i="8"/>
  <c r="Z11" i="8"/>
  <c r="W11" i="8"/>
  <c r="T11" i="8"/>
  <c r="Q11" i="8"/>
  <c r="N11" i="8"/>
  <c r="K11" i="8"/>
  <c r="H11" i="8"/>
  <c r="I11" i="8" s="1"/>
  <c r="L11" i="8" s="1"/>
  <c r="O11" i="8" s="1"/>
  <c r="AE10" i="8"/>
  <c r="AC10" i="8"/>
  <c r="Z10" i="8"/>
  <c r="W10" i="8"/>
  <c r="T10" i="8"/>
  <c r="Q10" i="8"/>
  <c r="N10" i="8"/>
  <c r="K10" i="8"/>
  <c r="H10" i="8"/>
  <c r="I10" i="8" s="1"/>
  <c r="L10" i="8" s="1"/>
  <c r="O10" i="8" s="1"/>
  <c r="AE9" i="8"/>
  <c r="AC9" i="8"/>
  <c r="Z9" i="8"/>
  <c r="W9" i="8"/>
  <c r="T9" i="8"/>
  <c r="Q9" i="8"/>
  <c r="N9" i="8"/>
  <c r="K9" i="8"/>
  <c r="H9" i="8"/>
  <c r="I9" i="8" s="1"/>
  <c r="AE8" i="8"/>
  <c r="AC8" i="8"/>
  <c r="Z8" i="8"/>
  <c r="W8" i="8"/>
  <c r="T8" i="8"/>
  <c r="Q8" i="8"/>
  <c r="N8" i="8"/>
  <c r="K8" i="8"/>
  <c r="H8" i="8"/>
  <c r="I8" i="8" s="1"/>
  <c r="L8" i="8" s="1"/>
  <c r="O8" i="8" s="1"/>
  <c r="R8" i="8" s="1"/>
  <c r="U8" i="8" s="1"/>
  <c r="X8" i="8" s="1"/>
  <c r="AA8" i="8" s="1"/>
  <c r="AD8" i="8" s="1"/>
  <c r="AE7" i="8"/>
  <c r="AC7" i="8"/>
  <c r="Z7" i="8"/>
  <c r="W7" i="8"/>
  <c r="T7" i="8"/>
  <c r="Q7" i="8"/>
  <c r="N7" i="8"/>
  <c r="K7" i="8"/>
  <c r="H7" i="8"/>
  <c r="I7" i="8" s="1"/>
  <c r="AE47" i="7"/>
  <c r="AC47" i="7"/>
  <c r="Z47" i="7"/>
  <c r="W47" i="7"/>
  <c r="T47" i="7"/>
  <c r="Q47" i="7"/>
  <c r="N47" i="7"/>
  <c r="K47" i="7"/>
  <c r="H47" i="7"/>
  <c r="AE46" i="7"/>
  <c r="AC46" i="7"/>
  <c r="Z46" i="7"/>
  <c r="W46" i="7"/>
  <c r="T46" i="7"/>
  <c r="Q46" i="7"/>
  <c r="N46" i="7"/>
  <c r="K46" i="7"/>
  <c r="H46" i="7"/>
  <c r="AE45" i="7"/>
  <c r="AC45" i="7"/>
  <c r="Z45" i="7"/>
  <c r="W45" i="7"/>
  <c r="T45" i="7"/>
  <c r="Q45" i="7"/>
  <c r="N45" i="7"/>
  <c r="K45" i="7"/>
  <c r="H45" i="7"/>
  <c r="AE44" i="7"/>
  <c r="AC44" i="7"/>
  <c r="Z44" i="7"/>
  <c r="W44" i="7"/>
  <c r="T44" i="7"/>
  <c r="Q44" i="7"/>
  <c r="N44" i="7"/>
  <c r="K44" i="7"/>
  <c r="H44" i="7"/>
  <c r="AE43" i="7"/>
  <c r="AC43" i="7"/>
  <c r="Z43" i="7"/>
  <c r="W43" i="7"/>
  <c r="T43" i="7"/>
  <c r="Q43" i="7"/>
  <c r="N43" i="7"/>
  <c r="K43" i="7"/>
  <c r="H43" i="7"/>
  <c r="I43" i="7" s="1"/>
  <c r="AE42" i="7"/>
  <c r="AC42" i="7"/>
  <c r="Z42" i="7"/>
  <c r="W42" i="7"/>
  <c r="T42" i="7"/>
  <c r="Q42" i="7"/>
  <c r="N42" i="7"/>
  <c r="K42" i="7"/>
  <c r="H42" i="7"/>
  <c r="I42" i="7" s="1"/>
  <c r="AE41" i="7"/>
  <c r="AC41" i="7"/>
  <c r="Z41" i="7"/>
  <c r="W41" i="7"/>
  <c r="T41" i="7"/>
  <c r="Q41" i="7"/>
  <c r="N41" i="7"/>
  <c r="K41" i="7"/>
  <c r="H41" i="7"/>
  <c r="AE40" i="7"/>
  <c r="AC40" i="7"/>
  <c r="Z40" i="7"/>
  <c r="W40" i="7"/>
  <c r="T40" i="7"/>
  <c r="Q40" i="7"/>
  <c r="N40" i="7"/>
  <c r="K40" i="7"/>
  <c r="H40" i="7"/>
  <c r="AE39" i="7"/>
  <c r="AC39" i="7"/>
  <c r="Z39" i="7"/>
  <c r="W39" i="7"/>
  <c r="T39" i="7"/>
  <c r="Q39" i="7"/>
  <c r="N39" i="7"/>
  <c r="K39" i="7"/>
  <c r="H39" i="7"/>
  <c r="AE38" i="7"/>
  <c r="AC38" i="7"/>
  <c r="Z38" i="7"/>
  <c r="W38" i="7"/>
  <c r="T38" i="7"/>
  <c r="Q38" i="7"/>
  <c r="N38" i="7"/>
  <c r="K38" i="7"/>
  <c r="H38" i="7"/>
  <c r="AE37" i="7"/>
  <c r="AC37" i="7"/>
  <c r="Z37" i="7"/>
  <c r="W37" i="7"/>
  <c r="T37" i="7"/>
  <c r="Q37" i="7"/>
  <c r="N37" i="7"/>
  <c r="K37" i="7"/>
  <c r="H37" i="7"/>
  <c r="I37" i="7" s="1"/>
  <c r="AE36" i="7"/>
  <c r="AC36" i="7"/>
  <c r="Z36" i="7"/>
  <c r="W36" i="7"/>
  <c r="T36" i="7"/>
  <c r="Q36" i="7"/>
  <c r="N36" i="7"/>
  <c r="K36" i="7"/>
  <c r="H36" i="7"/>
  <c r="I36" i="7" s="1"/>
  <c r="AE35" i="7"/>
  <c r="AC35" i="7"/>
  <c r="Z35" i="7"/>
  <c r="W35" i="7"/>
  <c r="T35" i="7"/>
  <c r="Q35" i="7"/>
  <c r="N35" i="7"/>
  <c r="K35" i="7"/>
  <c r="H35" i="7"/>
  <c r="AE34" i="7"/>
  <c r="AC34" i="7"/>
  <c r="Z34" i="7"/>
  <c r="W34" i="7"/>
  <c r="T34" i="7"/>
  <c r="Q34" i="7"/>
  <c r="N34" i="7"/>
  <c r="K34" i="7"/>
  <c r="H34" i="7"/>
  <c r="I34" i="7" s="1"/>
  <c r="AE33" i="7"/>
  <c r="AC33" i="7"/>
  <c r="Z33" i="7"/>
  <c r="W33" i="7"/>
  <c r="T33" i="7"/>
  <c r="Q33" i="7"/>
  <c r="N33" i="7"/>
  <c r="K33" i="7"/>
  <c r="H33" i="7"/>
  <c r="AE32" i="7"/>
  <c r="AC32" i="7"/>
  <c r="Z32" i="7"/>
  <c r="W32" i="7"/>
  <c r="T32" i="7"/>
  <c r="Q32" i="7"/>
  <c r="N32" i="7"/>
  <c r="K32" i="7"/>
  <c r="H32" i="7"/>
  <c r="AE31" i="7"/>
  <c r="AC31" i="7"/>
  <c r="Z31" i="7"/>
  <c r="W31" i="7"/>
  <c r="T31" i="7"/>
  <c r="Q31" i="7"/>
  <c r="N31" i="7"/>
  <c r="K31" i="7"/>
  <c r="H31" i="7"/>
  <c r="I31" i="7" s="1"/>
  <c r="AE30" i="7"/>
  <c r="AC30" i="7"/>
  <c r="Z30" i="7"/>
  <c r="W30" i="7"/>
  <c r="T30" i="7"/>
  <c r="Q30" i="7"/>
  <c r="N30" i="7"/>
  <c r="K30" i="7"/>
  <c r="H30" i="7"/>
  <c r="I30" i="7" s="1"/>
  <c r="AE29" i="7"/>
  <c r="AC29" i="7"/>
  <c r="Z29" i="7"/>
  <c r="W29" i="7"/>
  <c r="T29" i="7"/>
  <c r="Q29" i="7"/>
  <c r="N29" i="7"/>
  <c r="K29" i="7"/>
  <c r="H29" i="7"/>
  <c r="AE28" i="7"/>
  <c r="AC28" i="7"/>
  <c r="Z28" i="7"/>
  <c r="W28" i="7"/>
  <c r="T28" i="7"/>
  <c r="Q28" i="7"/>
  <c r="N28" i="7"/>
  <c r="K28" i="7"/>
  <c r="H28" i="7"/>
  <c r="I28" i="7" s="1"/>
  <c r="AE27" i="7"/>
  <c r="AC27" i="7"/>
  <c r="Z27" i="7"/>
  <c r="W27" i="7"/>
  <c r="T27" i="7"/>
  <c r="Q27" i="7"/>
  <c r="N27" i="7"/>
  <c r="K27" i="7"/>
  <c r="H27" i="7"/>
  <c r="AE26" i="7"/>
  <c r="AC26" i="7"/>
  <c r="Z26" i="7"/>
  <c r="W26" i="7"/>
  <c r="T26" i="7"/>
  <c r="Q26" i="7"/>
  <c r="N26" i="7"/>
  <c r="K26" i="7"/>
  <c r="H26" i="7"/>
  <c r="AE25" i="7"/>
  <c r="AC25" i="7"/>
  <c r="Z25" i="7"/>
  <c r="W25" i="7"/>
  <c r="T25" i="7"/>
  <c r="Q25" i="7"/>
  <c r="N25" i="7"/>
  <c r="K25" i="7"/>
  <c r="H25" i="7"/>
  <c r="I25" i="7"/>
  <c r="AE24" i="7"/>
  <c r="AC24" i="7"/>
  <c r="Z24" i="7"/>
  <c r="W24" i="7"/>
  <c r="T24" i="7"/>
  <c r="Q24" i="7"/>
  <c r="N24" i="7"/>
  <c r="K24" i="7"/>
  <c r="H24" i="7"/>
  <c r="I24" i="7" s="1"/>
  <c r="AE23" i="7"/>
  <c r="AC23" i="7"/>
  <c r="Z23" i="7"/>
  <c r="W23" i="7"/>
  <c r="T23" i="7"/>
  <c r="Q23" i="7"/>
  <c r="N23" i="7"/>
  <c r="K23" i="7"/>
  <c r="H23" i="7"/>
  <c r="AE22" i="7"/>
  <c r="AC22" i="7"/>
  <c r="Z22" i="7"/>
  <c r="W22" i="7"/>
  <c r="T22" i="7"/>
  <c r="Q22" i="7"/>
  <c r="N22" i="7"/>
  <c r="K22" i="7"/>
  <c r="H22" i="7"/>
  <c r="AE21" i="7"/>
  <c r="AC21" i="7"/>
  <c r="Z21" i="7"/>
  <c r="W21" i="7"/>
  <c r="T21" i="7"/>
  <c r="Q21" i="7"/>
  <c r="N21" i="7"/>
  <c r="K21" i="7"/>
  <c r="H21" i="7"/>
  <c r="AE20" i="7"/>
  <c r="AC20" i="7"/>
  <c r="Z20" i="7"/>
  <c r="W20" i="7"/>
  <c r="T20" i="7"/>
  <c r="Q20" i="7"/>
  <c r="N20" i="7"/>
  <c r="K20" i="7"/>
  <c r="H20" i="7"/>
  <c r="AE19" i="7"/>
  <c r="AC19" i="7"/>
  <c r="Z19" i="7"/>
  <c r="W19" i="7"/>
  <c r="T19" i="7"/>
  <c r="Q19" i="7"/>
  <c r="N19" i="7"/>
  <c r="K19" i="7"/>
  <c r="H19" i="7"/>
  <c r="I19" i="7" s="1"/>
  <c r="AE18" i="7"/>
  <c r="AC18" i="7"/>
  <c r="Z18" i="7"/>
  <c r="W18" i="7"/>
  <c r="T18" i="7"/>
  <c r="Q18" i="7"/>
  <c r="N18" i="7"/>
  <c r="K18" i="7"/>
  <c r="H18" i="7"/>
  <c r="I18" i="7" s="1"/>
  <c r="AE17" i="7"/>
  <c r="AC17" i="7"/>
  <c r="Z17" i="7"/>
  <c r="W17" i="7"/>
  <c r="T17" i="7"/>
  <c r="Q17" i="7"/>
  <c r="N17" i="7"/>
  <c r="K17" i="7"/>
  <c r="H17" i="7"/>
  <c r="AE16" i="7"/>
  <c r="AC16" i="7"/>
  <c r="Z16" i="7"/>
  <c r="W16" i="7"/>
  <c r="T16" i="7"/>
  <c r="Q16" i="7"/>
  <c r="N16" i="7"/>
  <c r="K16" i="7"/>
  <c r="H16" i="7"/>
  <c r="I16" i="7"/>
  <c r="AE15" i="7"/>
  <c r="AC15" i="7"/>
  <c r="Z15" i="7"/>
  <c r="W15" i="7"/>
  <c r="T15" i="7"/>
  <c r="Q15" i="7"/>
  <c r="N15" i="7"/>
  <c r="K15" i="7"/>
  <c r="H15" i="7"/>
  <c r="AE14" i="7"/>
  <c r="AC14" i="7"/>
  <c r="Z14" i="7"/>
  <c r="W14" i="7"/>
  <c r="T14" i="7"/>
  <c r="Q14" i="7"/>
  <c r="N14" i="7"/>
  <c r="K14" i="7"/>
  <c r="H14" i="7"/>
  <c r="I14" i="7" s="1"/>
  <c r="AE13" i="7"/>
  <c r="AC13" i="7"/>
  <c r="Z13" i="7"/>
  <c r="W13" i="7"/>
  <c r="T13" i="7"/>
  <c r="Q13" i="7"/>
  <c r="N13" i="7"/>
  <c r="K13" i="7"/>
  <c r="H13" i="7"/>
  <c r="I13" i="7" s="1"/>
  <c r="AE12" i="7"/>
  <c r="AC12" i="7"/>
  <c r="Z12" i="7"/>
  <c r="W12" i="7"/>
  <c r="T12" i="7"/>
  <c r="Q12" i="7"/>
  <c r="N12" i="7"/>
  <c r="K12" i="7"/>
  <c r="H12" i="7"/>
  <c r="I12" i="7" s="1"/>
  <c r="L12" i="7" s="1"/>
  <c r="O12" i="7" s="1"/>
  <c r="AE11" i="7"/>
  <c r="AC11" i="7"/>
  <c r="Z11" i="7"/>
  <c r="W11" i="7"/>
  <c r="T11" i="7"/>
  <c r="Q11" i="7"/>
  <c r="N11" i="7"/>
  <c r="K11" i="7"/>
  <c r="H11" i="7"/>
  <c r="I11" i="7" s="1"/>
  <c r="AE10" i="7"/>
  <c r="AC10" i="7"/>
  <c r="Z10" i="7"/>
  <c r="W10" i="7"/>
  <c r="T10" i="7"/>
  <c r="Q10" i="7"/>
  <c r="N10" i="7"/>
  <c r="K10" i="7"/>
  <c r="H10" i="7"/>
  <c r="AE9" i="7"/>
  <c r="AC9" i="7"/>
  <c r="Z9" i="7"/>
  <c r="W9" i="7"/>
  <c r="T9" i="7"/>
  <c r="Q9" i="7"/>
  <c r="N9" i="7"/>
  <c r="K9" i="7"/>
  <c r="H9" i="7"/>
  <c r="AE8" i="7"/>
  <c r="AC8" i="7"/>
  <c r="Z8" i="7"/>
  <c r="W8" i="7"/>
  <c r="T8" i="7"/>
  <c r="Q8" i="7"/>
  <c r="N8" i="7"/>
  <c r="K8" i="7"/>
  <c r="H8" i="7"/>
  <c r="AE7" i="7"/>
  <c r="AC7" i="7"/>
  <c r="Z7" i="7"/>
  <c r="W7" i="7"/>
  <c r="T7" i="7"/>
  <c r="Q7" i="7"/>
  <c r="N7" i="7"/>
  <c r="K7" i="7"/>
  <c r="H7" i="7"/>
  <c r="L36" i="7" l="1"/>
  <c r="O36" i="7" s="1"/>
  <c r="R36" i="7" s="1"/>
  <c r="L11" i="7"/>
  <c r="L25" i="8"/>
  <c r="O25" i="8" s="1"/>
  <c r="R25" i="8" s="1"/>
  <c r="U25" i="8" s="1"/>
  <c r="X25" i="8" s="1"/>
  <c r="AA25" i="8" s="1"/>
  <c r="AD25" i="8" s="1"/>
  <c r="L24" i="7"/>
  <c r="O24" i="7" s="1"/>
  <c r="R24" i="7" s="1"/>
  <c r="U24" i="7" s="1"/>
  <c r="X24" i="7" s="1"/>
  <c r="U36" i="7"/>
  <c r="X36" i="7" s="1"/>
  <c r="O12" i="8"/>
  <c r="R12" i="8" s="1"/>
  <c r="U12" i="8" s="1"/>
  <c r="X12" i="8" s="1"/>
  <c r="AA12" i="8" s="1"/>
  <c r="AD12" i="8" s="1"/>
  <c r="O16" i="8"/>
  <c r="R16" i="8" s="1"/>
  <c r="U16" i="8" s="1"/>
  <c r="X16" i="8" s="1"/>
  <c r="AA16" i="8" s="1"/>
  <c r="AD16" i="8" s="1"/>
  <c r="O20" i="8"/>
  <c r="R20" i="8" s="1"/>
  <c r="U20" i="8" s="1"/>
  <c r="X20" i="8" s="1"/>
  <c r="AA20" i="8" s="1"/>
  <c r="AD20" i="8" s="1"/>
  <c r="R24" i="8"/>
  <c r="U24" i="8" s="1"/>
  <c r="X24" i="8" s="1"/>
  <c r="AA24" i="8" s="1"/>
  <c r="AD24" i="8" s="1"/>
  <c r="L14" i="7"/>
  <c r="L7" i="8"/>
  <c r="O7" i="8" s="1"/>
  <c r="R7" i="8" s="1"/>
  <c r="U7" i="8" s="1"/>
  <c r="X7" i="8" s="1"/>
  <c r="AA7" i="8" s="1"/>
  <c r="AD7" i="8" s="1"/>
  <c r="R11" i="8"/>
  <c r="U11" i="8" s="1"/>
  <c r="X11" i="8" s="1"/>
  <c r="AA11" i="8" s="1"/>
  <c r="AD11" i="8" s="1"/>
  <c r="R23" i="8"/>
  <c r="U23" i="8" s="1"/>
  <c r="X23" i="8" s="1"/>
  <c r="AA23" i="8" s="1"/>
  <c r="AD23" i="8" s="1"/>
  <c r="L30" i="7"/>
  <c r="O30" i="7" s="1"/>
  <c r="R30" i="7" s="1"/>
  <c r="U30" i="7" s="1"/>
  <c r="X30" i="7" s="1"/>
  <c r="L34" i="7"/>
  <c r="L42" i="7"/>
  <c r="O42" i="7" s="1"/>
  <c r="R42" i="7" s="1"/>
  <c r="U42" i="7" s="1"/>
  <c r="X42" i="7" s="1"/>
  <c r="L9" i="8"/>
  <c r="O9" i="8" s="1"/>
  <c r="R9" i="8" s="1"/>
  <c r="U9" i="8" s="1"/>
  <c r="X9" i="8" s="1"/>
  <c r="AA9" i="8" s="1"/>
  <c r="AD9" i="8" s="1"/>
  <c r="L13" i="8"/>
  <c r="O13" i="8" s="1"/>
  <c r="R13" i="8" s="1"/>
  <c r="U13" i="8" s="1"/>
  <c r="X13" i="8" s="1"/>
  <c r="AA13" i="8" s="1"/>
  <c r="AD13" i="8" s="1"/>
  <c r="L21" i="8"/>
  <c r="O21" i="8" s="1"/>
  <c r="R21" i="8" s="1"/>
  <c r="U21" i="8" s="1"/>
  <c r="X21" i="8" s="1"/>
  <c r="AA21" i="8" s="1"/>
  <c r="AD21" i="8" s="1"/>
  <c r="L15" i="8"/>
  <c r="O15" i="8" s="1"/>
  <c r="R15" i="8" s="1"/>
  <c r="U15" i="8" s="1"/>
  <c r="X15" i="8" s="1"/>
  <c r="AA15" i="8" s="1"/>
  <c r="AD15" i="8" s="1"/>
  <c r="L19" i="8"/>
  <c r="O19" i="8" s="1"/>
  <c r="R19" i="8" s="1"/>
  <c r="U19" i="8" s="1"/>
  <c r="X19" i="8" s="1"/>
  <c r="AA19" i="8" s="1"/>
  <c r="AD19" i="8" s="1"/>
  <c r="R10" i="8"/>
  <c r="U10" i="8" s="1"/>
  <c r="X10" i="8" s="1"/>
  <c r="AA10" i="8" s="1"/>
  <c r="AD10" i="8" s="1"/>
  <c r="R14" i="8"/>
  <c r="U14" i="8" s="1"/>
  <c r="X14" i="8" s="1"/>
  <c r="AA14" i="8" s="1"/>
  <c r="AD14" i="8" s="1"/>
  <c r="R18" i="8"/>
  <c r="U18" i="8" s="1"/>
  <c r="X18" i="8" s="1"/>
  <c r="AA18" i="8" s="1"/>
  <c r="AD18" i="8" s="1"/>
  <c r="R22" i="8"/>
  <c r="U22" i="8" s="1"/>
  <c r="X22" i="8" s="1"/>
  <c r="AA22" i="8" s="1"/>
  <c r="AD22" i="8" s="1"/>
  <c r="L17" i="8"/>
  <c r="O17" i="8" s="1"/>
  <c r="R17" i="8" s="1"/>
  <c r="U17" i="8" s="1"/>
  <c r="X17" i="8" s="1"/>
  <c r="AA17" i="8" s="1"/>
  <c r="AD17" i="8" s="1"/>
  <c r="AG16" i="8"/>
  <c r="L16" i="7"/>
  <c r="O16" i="7" s="1"/>
  <c r="R16" i="7" s="1"/>
  <c r="U16" i="7" s="1"/>
  <c r="X16" i="7" s="1"/>
  <c r="AA16" i="7" s="1"/>
  <c r="AD16" i="7" s="1"/>
  <c r="L28" i="7"/>
  <c r="O28" i="7" s="1"/>
  <c r="R28" i="7" s="1"/>
  <c r="U28" i="7" s="1"/>
  <c r="X28" i="7" s="1"/>
  <c r="AA28" i="7" s="1"/>
  <c r="AD28" i="7" s="1"/>
  <c r="L18" i="7"/>
  <c r="O18" i="7" s="1"/>
  <c r="R18" i="7" s="1"/>
  <c r="U18" i="7" s="1"/>
  <c r="X18" i="7" s="1"/>
  <c r="I22" i="7"/>
  <c r="L22" i="7" s="1"/>
  <c r="O22" i="7" s="1"/>
  <c r="R22" i="7" s="1"/>
  <c r="U22" i="7" s="1"/>
  <c r="X22" i="7" s="1"/>
  <c r="AA22" i="7" s="1"/>
  <c r="AD22" i="7" s="1"/>
  <c r="I40" i="7"/>
  <c r="L40" i="7" s="1"/>
  <c r="O40" i="7" s="1"/>
  <c r="R40" i="7" s="1"/>
  <c r="U40" i="7" s="1"/>
  <c r="X40" i="7" s="1"/>
  <c r="AA40" i="7" s="1"/>
  <c r="AD40" i="7" s="1"/>
  <c r="I15" i="7"/>
  <c r="L15" i="7" s="1"/>
  <c r="O15" i="7" s="1"/>
  <c r="R15" i="7" s="1"/>
  <c r="U15" i="7" s="1"/>
  <c r="X15" i="7" s="1"/>
  <c r="AA15" i="7" s="1"/>
  <c r="AD15" i="7" s="1"/>
  <c r="L13" i="7"/>
  <c r="O13" i="7" s="1"/>
  <c r="R13" i="7" s="1"/>
  <c r="U13" i="7" s="1"/>
  <c r="X13" i="7" s="1"/>
  <c r="AA13" i="7" s="1"/>
  <c r="AD13" i="7" s="1"/>
  <c r="L19" i="7"/>
  <c r="O19" i="7" s="1"/>
  <c r="R19" i="7" s="1"/>
  <c r="U19" i="7" s="1"/>
  <c r="X19" i="7" s="1"/>
  <c r="AA19" i="7" s="1"/>
  <c r="AD19" i="7" s="1"/>
  <c r="L25" i="7"/>
  <c r="O25" i="7" s="1"/>
  <c r="R25" i="7" s="1"/>
  <c r="U25" i="7" s="1"/>
  <c r="X25" i="7" s="1"/>
  <c r="AA25" i="7" s="1"/>
  <c r="AD25" i="7" s="1"/>
  <c r="L31" i="7"/>
  <c r="O31" i="7" s="1"/>
  <c r="R31" i="7" s="1"/>
  <c r="U31" i="7" s="1"/>
  <c r="X31" i="7" s="1"/>
  <c r="AA31" i="7" s="1"/>
  <c r="AD31" i="7" s="1"/>
  <c r="L37" i="7"/>
  <c r="O37" i="7" s="1"/>
  <c r="R37" i="7" s="1"/>
  <c r="U37" i="7" s="1"/>
  <c r="X37" i="7" s="1"/>
  <c r="AA37" i="7" s="1"/>
  <c r="AD37" i="7" s="1"/>
  <c r="L43" i="7"/>
  <c r="O43" i="7" s="1"/>
  <c r="R43" i="7" s="1"/>
  <c r="U43" i="7" s="1"/>
  <c r="X43" i="7" s="1"/>
  <c r="AA43" i="7" s="1"/>
  <c r="AD43" i="7" s="1"/>
  <c r="R12" i="7"/>
  <c r="U12" i="7" s="1"/>
  <c r="X12" i="7" s="1"/>
  <c r="AA12" i="7" s="1"/>
  <c r="AD12" i="7" s="1"/>
  <c r="I10" i="7"/>
  <c r="L10" i="7" s="1"/>
  <c r="O10" i="7" s="1"/>
  <c r="R10" i="7" s="1"/>
  <c r="U10" i="7" s="1"/>
  <c r="X10" i="7" s="1"/>
  <c r="AA10" i="7" s="1"/>
  <c r="AD10" i="7" s="1"/>
  <c r="I9" i="7"/>
  <c r="L9" i="7" s="1"/>
  <c r="O9" i="7" s="1"/>
  <c r="R9" i="7" s="1"/>
  <c r="U9" i="7" s="1"/>
  <c r="X9" i="7" s="1"/>
  <c r="AA9" i="7" s="1"/>
  <c r="AD9" i="7" s="1"/>
  <c r="I17" i="7"/>
  <c r="I23" i="7"/>
  <c r="L23" i="7" s="1"/>
  <c r="O23" i="7" s="1"/>
  <c r="R23" i="7" s="1"/>
  <c r="U23" i="7" s="1"/>
  <c r="X23" i="7" s="1"/>
  <c r="AA23" i="7" s="1"/>
  <c r="AD23" i="7" s="1"/>
  <c r="I29" i="7"/>
  <c r="L29" i="7" s="1"/>
  <c r="O29" i="7" s="1"/>
  <c r="R29" i="7" s="1"/>
  <c r="U29" i="7" s="1"/>
  <c r="X29" i="7" s="1"/>
  <c r="AA29" i="7" s="1"/>
  <c r="AD29" i="7" s="1"/>
  <c r="I35" i="7"/>
  <c r="L35" i="7" s="1"/>
  <c r="O35" i="7" s="1"/>
  <c r="R35" i="7" s="1"/>
  <c r="U35" i="7" s="1"/>
  <c r="X35" i="7" s="1"/>
  <c r="AA35" i="7" s="1"/>
  <c r="AD35" i="7" s="1"/>
  <c r="I41" i="7"/>
  <c r="L41" i="7" s="1"/>
  <c r="O41" i="7" s="1"/>
  <c r="R41" i="7" s="1"/>
  <c r="U41" i="7" s="1"/>
  <c r="X41" i="7" s="1"/>
  <c r="AA41" i="7" s="1"/>
  <c r="AD41" i="7" s="1"/>
  <c r="I47" i="7"/>
  <c r="L47" i="7" s="1"/>
  <c r="O47" i="7" s="1"/>
  <c r="R47" i="7" s="1"/>
  <c r="U47" i="7" s="1"/>
  <c r="X47" i="7" s="1"/>
  <c r="AA47" i="7" s="1"/>
  <c r="AD47" i="7" s="1"/>
  <c r="I7" i="7"/>
  <c r="L7" i="7" s="1"/>
  <c r="O7" i="7" s="1"/>
  <c r="R7" i="7" s="1"/>
  <c r="U7" i="7" s="1"/>
  <c r="X7" i="7" s="1"/>
  <c r="AA7" i="7" s="1"/>
  <c r="AD7" i="7" s="1"/>
  <c r="I8" i="7"/>
  <c r="L8" i="7" s="1"/>
  <c r="O8" i="7" s="1"/>
  <c r="R8" i="7" s="1"/>
  <c r="U8" i="7" s="1"/>
  <c r="X8" i="7" s="1"/>
  <c r="AA8" i="7" s="1"/>
  <c r="AD8" i="7" s="1"/>
  <c r="O34" i="7"/>
  <c r="R34" i="7" s="1"/>
  <c r="U34" i="7" s="1"/>
  <c r="X34" i="7" s="1"/>
  <c r="AA34" i="7" s="1"/>
  <c r="AD34" i="7" s="1"/>
  <c r="I46" i="7"/>
  <c r="L46" i="7" s="1"/>
  <c r="O46" i="7" s="1"/>
  <c r="R46" i="7" s="1"/>
  <c r="U46" i="7" s="1"/>
  <c r="X46" i="7" s="1"/>
  <c r="AA46" i="7" s="1"/>
  <c r="AD46" i="7" s="1"/>
  <c r="I21" i="7"/>
  <c r="L21" i="7" s="1"/>
  <c r="O21" i="7" s="1"/>
  <c r="R21" i="7" s="1"/>
  <c r="U21" i="7" s="1"/>
  <c r="X21" i="7" s="1"/>
  <c r="AA21" i="7" s="1"/>
  <c r="AD21" i="7" s="1"/>
  <c r="I27" i="7"/>
  <c r="L27" i="7" s="1"/>
  <c r="O27" i="7" s="1"/>
  <c r="R27" i="7" s="1"/>
  <c r="U27" i="7" s="1"/>
  <c r="X27" i="7" s="1"/>
  <c r="AA27" i="7" s="1"/>
  <c r="AD27" i="7" s="1"/>
  <c r="I33" i="7"/>
  <c r="L33" i="7" s="1"/>
  <c r="O33" i="7" s="1"/>
  <c r="R33" i="7" s="1"/>
  <c r="U33" i="7" s="1"/>
  <c r="X33" i="7" s="1"/>
  <c r="AA33" i="7" s="1"/>
  <c r="AD33" i="7" s="1"/>
  <c r="I39" i="7"/>
  <c r="L39" i="7" s="1"/>
  <c r="O39" i="7" s="1"/>
  <c r="R39" i="7" s="1"/>
  <c r="U39" i="7" s="1"/>
  <c r="X39" i="7" s="1"/>
  <c r="AA39" i="7" s="1"/>
  <c r="AD39" i="7" s="1"/>
  <c r="I45" i="7"/>
  <c r="L45" i="7" s="1"/>
  <c r="O45" i="7" s="1"/>
  <c r="R45" i="7" s="1"/>
  <c r="U45" i="7" s="1"/>
  <c r="X45" i="7" s="1"/>
  <c r="AA45" i="7" s="1"/>
  <c r="AD45" i="7" s="1"/>
  <c r="O14" i="7"/>
  <c r="R14" i="7" s="1"/>
  <c r="U14" i="7" s="1"/>
  <c r="X14" i="7" s="1"/>
  <c r="AA14" i="7" s="1"/>
  <c r="AD14" i="7" s="1"/>
  <c r="I20" i="7"/>
  <c r="L20" i="7" s="1"/>
  <c r="O20" i="7" s="1"/>
  <c r="R20" i="7" s="1"/>
  <c r="U20" i="7" s="1"/>
  <c r="X20" i="7" s="1"/>
  <c r="AA20" i="7" s="1"/>
  <c r="AD20" i="7" s="1"/>
  <c r="I26" i="7"/>
  <c r="L26" i="7" s="1"/>
  <c r="O26" i="7" s="1"/>
  <c r="R26" i="7" s="1"/>
  <c r="U26" i="7" s="1"/>
  <c r="X26" i="7" s="1"/>
  <c r="AA26" i="7" s="1"/>
  <c r="AD26" i="7" s="1"/>
  <c r="I32" i="7"/>
  <c r="L32" i="7" s="1"/>
  <c r="O32" i="7" s="1"/>
  <c r="R32" i="7" s="1"/>
  <c r="U32" i="7" s="1"/>
  <c r="X32" i="7" s="1"/>
  <c r="AA32" i="7" s="1"/>
  <c r="AD32" i="7" s="1"/>
  <c r="I38" i="7"/>
  <c r="L38" i="7" s="1"/>
  <c r="O38" i="7" s="1"/>
  <c r="R38" i="7" s="1"/>
  <c r="U38" i="7" s="1"/>
  <c r="X38" i="7" s="1"/>
  <c r="AA38" i="7" s="1"/>
  <c r="AD38" i="7" s="1"/>
  <c r="I44" i="7"/>
  <c r="L44" i="7" s="1"/>
  <c r="O44" i="7" s="1"/>
  <c r="R44" i="7" s="1"/>
  <c r="U44" i="7" s="1"/>
  <c r="X44" i="7" s="1"/>
  <c r="AA44" i="7" s="1"/>
  <c r="AD44" i="7" s="1"/>
  <c r="O11" i="7"/>
  <c r="R11" i="7" s="1"/>
  <c r="U11" i="7" s="1"/>
  <c r="X11" i="7" s="1"/>
  <c r="AA11" i="7" s="1"/>
  <c r="AD11" i="7" s="1"/>
  <c r="AA18" i="7"/>
  <c r="AD18" i="7" s="1"/>
  <c r="AA24" i="7"/>
  <c r="AD24" i="7" s="1"/>
  <c r="AA30" i="7"/>
  <c r="AD30" i="7" s="1"/>
  <c r="AA36" i="7"/>
  <c r="AD36" i="7" s="1"/>
  <c r="AA42" i="7"/>
  <c r="AD42" i="7" s="1"/>
  <c r="AT17" i="4"/>
  <c r="AY17" i="4" s="1"/>
  <c r="BD17" i="4" s="1"/>
  <c r="AU17" i="4"/>
  <c r="AT18" i="4"/>
  <c r="AY18" i="4" s="1"/>
  <c r="BD18" i="4" s="1"/>
  <c r="BF18" i="4" s="1"/>
  <c r="AU18" i="4"/>
  <c r="AZ18" i="4" s="1"/>
  <c r="BE18" i="4" s="1"/>
  <c r="AT19" i="4"/>
  <c r="AU19" i="4"/>
  <c r="AZ19" i="4" s="1"/>
  <c r="BE19" i="4" s="1"/>
  <c r="AT20" i="4"/>
  <c r="AU20" i="4"/>
  <c r="AZ20" i="4" s="1"/>
  <c r="BE20" i="4" s="1"/>
  <c r="AT21" i="4"/>
  <c r="AY21" i="4" s="1"/>
  <c r="BD21" i="4" s="1"/>
  <c r="AU21" i="4"/>
  <c r="AT22" i="4"/>
  <c r="AY22" i="4" s="1"/>
  <c r="BD22" i="4" s="1"/>
  <c r="AU22" i="4"/>
  <c r="AZ22" i="4" s="1"/>
  <c r="BE22" i="4" s="1"/>
  <c r="AT23" i="4"/>
  <c r="AY23" i="4" s="1"/>
  <c r="BD23" i="4" s="1"/>
  <c r="BF23" i="4" s="1"/>
  <c r="AU23" i="4"/>
  <c r="AZ23" i="4" s="1"/>
  <c r="BE23" i="4" s="1"/>
  <c r="AT24" i="4"/>
  <c r="AY24" i="4" s="1"/>
  <c r="BD24" i="4" s="1"/>
  <c r="AU24" i="4"/>
  <c r="AZ24" i="4" s="1"/>
  <c r="BE24" i="4" s="1"/>
  <c r="AT59" i="4"/>
  <c r="AU59" i="4"/>
  <c r="AZ59" i="4" s="1"/>
  <c r="AT60" i="4"/>
  <c r="AU60" i="4"/>
  <c r="AZ60" i="4" s="1"/>
  <c r="BF22" i="4" l="1"/>
  <c r="BF24" i="4"/>
  <c r="BA24" i="4"/>
  <c r="BA23" i="4"/>
  <c r="L17" i="7"/>
  <c r="O17" i="7" s="1"/>
  <c r="R17" i="7" s="1"/>
  <c r="U17" i="7" s="1"/>
  <c r="X17" i="7" s="1"/>
  <c r="AA17" i="7" s="1"/>
  <c r="AD17" i="7" s="1"/>
  <c r="AG16" i="7"/>
  <c r="BA22" i="4"/>
  <c r="AV60" i="4"/>
  <c r="AY60" i="4"/>
  <c r="BA60" i="4" s="1"/>
  <c r="AV59" i="4"/>
  <c r="AY59" i="4"/>
  <c r="BA59" i="4" s="1"/>
  <c r="AV20" i="4"/>
  <c r="AY20" i="4"/>
  <c r="AV19" i="4"/>
  <c r="AY19" i="4"/>
  <c r="BA18" i="4"/>
  <c r="AV21" i="4"/>
  <c r="AZ21" i="4"/>
  <c r="AV17" i="4"/>
  <c r="AZ17" i="4"/>
  <c r="AV18" i="4"/>
  <c r="AV23" i="4"/>
  <c r="AV24" i="4"/>
  <c r="AV22" i="4"/>
  <c r="BA17" i="4" l="1"/>
  <c r="BE17" i="4"/>
  <c r="BF17" i="4" s="1"/>
  <c r="BA19" i="4"/>
  <c r="BD19" i="4"/>
  <c r="BF19" i="4" s="1"/>
  <c r="BA21" i="4"/>
  <c r="BE21" i="4"/>
  <c r="BF21" i="4" s="1"/>
  <c r="BA20" i="4"/>
  <c r="BD20" i="4"/>
  <c r="BF20" i="4" s="1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9" i="6"/>
  <c r="N10" i="6" l="1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9" i="6"/>
  <c r="K28" i="6" l="1"/>
  <c r="H28" i="6"/>
  <c r="I28" i="6" s="1"/>
  <c r="K27" i="6"/>
  <c r="H27" i="6"/>
  <c r="I27" i="6" s="1"/>
  <c r="K26" i="6"/>
  <c r="H26" i="6"/>
  <c r="I26" i="6" s="1"/>
  <c r="K25" i="6"/>
  <c r="H25" i="6"/>
  <c r="I25" i="6" s="1"/>
  <c r="K24" i="6"/>
  <c r="H24" i="6"/>
  <c r="I24" i="6" s="1"/>
  <c r="K31" i="6"/>
  <c r="H31" i="6"/>
  <c r="I31" i="6" s="1"/>
  <c r="K23" i="6"/>
  <c r="H23" i="6"/>
  <c r="I23" i="6" s="1"/>
  <c r="K22" i="6"/>
  <c r="H22" i="6"/>
  <c r="I22" i="6" s="1"/>
  <c r="K21" i="6"/>
  <c r="H21" i="6"/>
  <c r="I21" i="6" s="1"/>
  <c r="K20" i="6"/>
  <c r="H20" i="6"/>
  <c r="I20" i="6" s="1"/>
  <c r="K19" i="6"/>
  <c r="H19" i="6"/>
  <c r="I19" i="6" s="1"/>
  <c r="K18" i="6"/>
  <c r="H18" i="6"/>
  <c r="I18" i="6" s="1"/>
  <c r="K17" i="6"/>
  <c r="H17" i="6"/>
  <c r="I17" i="6" s="1"/>
  <c r="K16" i="6"/>
  <c r="H16" i="6"/>
  <c r="I16" i="6" s="1"/>
  <c r="K15" i="6"/>
  <c r="H15" i="6"/>
  <c r="I15" i="6" s="1"/>
  <c r="K14" i="6"/>
  <c r="H14" i="6"/>
  <c r="I14" i="6" s="1"/>
  <c r="K30" i="6"/>
  <c r="H30" i="6"/>
  <c r="I30" i="6" s="1"/>
  <c r="K13" i="6"/>
  <c r="H13" i="6"/>
  <c r="I13" i="6" s="1"/>
  <c r="K12" i="6"/>
  <c r="H12" i="6"/>
  <c r="I12" i="6" s="1"/>
  <c r="K11" i="6"/>
  <c r="H11" i="6"/>
  <c r="I11" i="6" s="1"/>
  <c r="K10" i="6"/>
  <c r="H10" i="6"/>
  <c r="I10" i="6" s="1"/>
  <c r="K9" i="6"/>
  <c r="H9" i="6"/>
  <c r="I9" i="6" s="1"/>
  <c r="K29" i="6"/>
  <c r="H29" i="6"/>
  <c r="I29" i="6" s="1"/>
  <c r="W7" i="6"/>
  <c r="L30" i="6" l="1"/>
  <c r="O30" i="6" s="1"/>
  <c r="R30" i="6" s="1"/>
  <c r="L17" i="6"/>
  <c r="O17" i="6" s="1"/>
  <c r="R17" i="6" s="1"/>
  <c r="L21" i="6"/>
  <c r="O21" i="6" s="1"/>
  <c r="R21" i="6" s="1"/>
  <c r="L9" i="6"/>
  <c r="O9" i="6" s="1"/>
  <c r="R9" i="6" s="1"/>
  <c r="L29" i="6"/>
  <c r="O29" i="6" s="1"/>
  <c r="R29" i="6" s="1"/>
  <c r="L13" i="6"/>
  <c r="O13" i="6" s="1"/>
  <c r="R13" i="6" s="1"/>
  <c r="L20" i="6"/>
  <c r="O20" i="6" s="1"/>
  <c r="R20" i="6" s="1"/>
  <c r="L31" i="6"/>
  <c r="O31" i="6" s="1"/>
  <c r="R31" i="6" s="1"/>
  <c r="L27" i="6"/>
  <c r="O27" i="6" s="1"/>
  <c r="R27" i="6" s="1"/>
  <c r="L24" i="6"/>
  <c r="O24" i="6" s="1"/>
  <c r="R24" i="6" s="1"/>
  <c r="L28" i="6"/>
  <c r="O28" i="6" s="1"/>
  <c r="R28" i="6" s="1"/>
  <c r="L14" i="6"/>
  <c r="O14" i="6" s="1"/>
  <c r="R14" i="6" s="1"/>
  <c r="L22" i="6"/>
  <c r="O22" i="6" s="1"/>
  <c r="R22" i="6" s="1"/>
  <c r="L11" i="6"/>
  <c r="O11" i="6" s="1"/>
  <c r="R11" i="6" s="1"/>
  <c r="L23" i="6"/>
  <c r="O23" i="6" s="1"/>
  <c r="R23" i="6" s="1"/>
  <c r="L18" i="6"/>
  <c r="O18" i="6" s="1"/>
  <c r="R18" i="6" s="1"/>
  <c r="L25" i="6"/>
  <c r="O25" i="6" s="1"/>
  <c r="R25" i="6" s="1"/>
  <c r="L15" i="6"/>
  <c r="O15" i="6" s="1"/>
  <c r="R15" i="6" s="1"/>
  <c r="L19" i="6"/>
  <c r="O19" i="6" s="1"/>
  <c r="R19" i="6" s="1"/>
  <c r="L10" i="6"/>
  <c r="O10" i="6" s="1"/>
  <c r="R10" i="6" s="1"/>
  <c r="L12" i="6"/>
  <c r="O12" i="6" s="1"/>
  <c r="R12" i="6" s="1"/>
  <c r="L16" i="6"/>
  <c r="O16" i="6" s="1"/>
  <c r="R16" i="6" s="1"/>
  <c r="L26" i="6"/>
  <c r="O26" i="6" s="1"/>
  <c r="R26" i="6" s="1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9" i="3"/>
  <c r="R11" i="2"/>
  <c r="H93" i="5" l="1"/>
  <c r="I93" i="5" s="1"/>
  <c r="K93" i="5"/>
  <c r="N93" i="5"/>
  <c r="Q93" i="5"/>
  <c r="T93" i="5"/>
  <c r="W93" i="5"/>
  <c r="Z93" i="5"/>
  <c r="AC93" i="5"/>
  <c r="AF93" i="5"/>
  <c r="AH93" i="5"/>
  <c r="H94" i="5"/>
  <c r="I94" i="5" s="1"/>
  <c r="K94" i="5"/>
  <c r="N94" i="5"/>
  <c r="Q94" i="5"/>
  <c r="T94" i="5"/>
  <c r="W94" i="5"/>
  <c r="Z94" i="5"/>
  <c r="AC94" i="5"/>
  <c r="AF94" i="5"/>
  <c r="AH94" i="5"/>
  <c r="H95" i="5"/>
  <c r="I95" i="5" s="1"/>
  <c r="K95" i="5"/>
  <c r="N95" i="5"/>
  <c r="Q95" i="5"/>
  <c r="T95" i="5"/>
  <c r="W95" i="5"/>
  <c r="Z95" i="5"/>
  <c r="AC95" i="5"/>
  <c r="AF95" i="5"/>
  <c r="AH95" i="5"/>
  <c r="H96" i="5"/>
  <c r="I96" i="5" s="1"/>
  <c r="K96" i="5"/>
  <c r="N96" i="5"/>
  <c r="Q96" i="5"/>
  <c r="T96" i="5"/>
  <c r="W96" i="5"/>
  <c r="Z96" i="5"/>
  <c r="AC96" i="5"/>
  <c r="AF96" i="5"/>
  <c r="AH96" i="5"/>
  <c r="H97" i="5"/>
  <c r="I97" i="5" s="1"/>
  <c r="K97" i="5"/>
  <c r="N97" i="5"/>
  <c r="Q97" i="5"/>
  <c r="T97" i="5"/>
  <c r="W97" i="5"/>
  <c r="Z97" i="5"/>
  <c r="AC97" i="5"/>
  <c r="AF97" i="5"/>
  <c r="AH97" i="5"/>
  <c r="H98" i="5"/>
  <c r="I98" i="5" s="1"/>
  <c r="K98" i="5"/>
  <c r="N98" i="5"/>
  <c r="Q98" i="5"/>
  <c r="T98" i="5"/>
  <c r="W98" i="5"/>
  <c r="Z98" i="5"/>
  <c r="AC98" i="5"/>
  <c r="AF98" i="5"/>
  <c r="AH98" i="5"/>
  <c r="H99" i="5"/>
  <c r="I99" i="5" s="1"/>
  <c r="K99" i="5"/>
  <c r="N99" i="5"/>
  <c r="Q99" i="5"/>
  <c r="T99" i="5"/>
  <c r="W99" i="5"/>
  <c r="Z99" i="5"/>
  <c r="AC99" i="5"/>
  <c r="AF99" i="5"/>
  <c r="AH99" i="5"/>
  <c r="AH92" i="5"/>
  <c r="AF92" i="5"/>
  <c r="AC92" i="5"/>
  <c r="Z92" i="5"/>
  <c r="W92" i="5"/>
  <c r="T92" i="5"/>
  <c r="Q92" i="5"/>
  <c r="N92" i="5"/>
  <c r="K92" i="5"/>
  <c r="H92" i="5"/>
  <c r="I92" i="5" s="1"/>
  <c r="L92" i="5" s="1"/>
  <c r="O92" i="5" s="1"/>
  <c r="R92" i="5" s="1"/>
  <c r="U92" i="5" s="1"/>
  <c r="X92" i="5" s="1"/>
  <c r="AH91" i="5"/>
  <c r="AF91" i="5"/>
  <c r="AC91" i="5"/>
  <c r="Z91" i="5"/>
  <c r="W91" i="5"/>
  <c r="T91" i="5"/>
  <c r="Q91" i="5"/>
  <c r="N91" i="5"/>
  <c r="K91" i="5"/>
  <c r="H91" i="5"/>
  <c r="I91" i="5" s="1"/>
  <c r="AH90" i="5"/>
  <c r="AF90" i="5"/>
  <c r="AC90" i="5"/>
  <c r="Z90" i="5"/>
  <c r="W90" i="5"/>
  <c r="T90" i="5"/>
  <c r="Q90" i="5"/>
  <c r="N90" i="5"/>
  <c r="K90" i="5"/>
  <c r="H90" i="5"/>
  <c r="I90" i="5" s="1"/>
  <c r="L90" i="5" s="1"/>
  <c r="AH89" i="5"/>
  <c r="AF89" i="5"/>
  <c r="AC89" i="5"/>
  <c r="Z89" i="5"/>
  <c r="W89" i="5"/>
  <c r="T89" i="5"/>
  <c r="Q89" i="5"/>
  <c r="N89" i="5"/>
  <c r="K89" i="5"/>
  <c r="H89" i="5"/>
  <c r="I89" i="5" s="1"/>
  <c r="L89" i="5" s="1"/>
  <c r="AH88" i="5"/>
  <c r="AF88" i="5"/>
  <c r="AC88" i="5"/>
  <c r="Z88" i="5"/>
  <c r="W88" i="5"/>
  <c r="T88" i="5"/>
  <c r="Q88" i="5"/>
  <c r="N88" i="5"/>
  <c r="K88" i="5"/>
  <c r="H88" i="5"/>
  <c r="I88" i="5" s="1"/>
  <c r="AH87" i="5"/>
  <c r="AF87" i="5"/>
  <c r="AC87" i="5"/>
  <c r="Z87" i="5"/>
  <c r="W87" i="5"/>
  <c r="T87" i="5"/>
  <c r="Q87" i="5"/>
  <c r="N87" i="5"/>
  <c r="K87" i="5"/>
  <c r="H87" i="5"/>
  <c r="I87" i="5" s="1"/>
  <c r="AH86" i="5"/>
  <c r="AF86" i="5"/>
  <c r="AC86" i="5"/>
  <c r="Z86" i="5"/>
  <c r="W86" i="5"/>
  <c r="T86" i="5"/>
  <c r="Q86" i="5"/>
  <c r="N86" i="5"/>
  <c r="K86" i="5"/>
  <c r="H86" i="5"/>
  <c r="I86" i="5" s="1"/>
  <c r="L86" i="5" s="1"/>
  <c r="O86" i="5" s="1"/>
  <c r="R86" i="5" s="1"/>
  <c r="U86" i="5" s="1"/>
  <c r="X86" i="5" s="1"/>
  <c r="AH85" i="5"/>
  <c r="AF85" i="5"/>
  <c r="AC85" i="5"/>
  <c r="Z85" i="5"/>
  <c r="W85" i="5"/>
  <c r="T85" i="5"/>
  <c r="Q85" i="5"/>
  <c r="N85" i="5"/>
  <c r="K85" i="5"/>
  <c r="H85" i="5"/>
  <c r="I85" i="5" s="1"/>
  <c r="AH84" i="5"/>
  <c r="AF84" i="5"/>
  <c r="AC84" i="5"/>
  <c r="Z84" i="5"/>
  <c r="W84" i="5"/>
  <c r="T84" i="5"/>
  <c r="Q84" i="5"/>
  <c r="N84" i="5"/>
  <c r="K84" i="5"/>
  <c r="H84" i="5"/>
  <c r="I84" i="5" s="1"/>
  <c r="AH83" i="5"/>
  <c r="AF83" i="5"/>
  <c r="AC83" i="5"/>
  <c r="Z83" i="5"/>
  <c r="W83" i="5"/>
  <c r="T83" i="5"/>
  <c r="Q83" i="5"/>
  <c r="N83" i="5"/>
  <c r="K83" i="5"/>
  <c r="H83" i="5"/>
  <c r="I83" i="5" s="1"/>
  <c r="L83" i="5" s="1"/>
  <c r="AH82" i="5"/>
  <c r="AF82" i="5"/>
  <c r="AC82" i="5"/>
  <c r="Z82" i="5"/>
  <c r="W82" i="5"/>
  <c r="T82" i="5"/>
  <c r="Q82" i="5"/>
  <c r="N82" i="5"/>
  <c r="K82" i="5"/>
  <c r="H82" i="5"/>
  <c r="I82" i="5" s="1"/>
  <c r="AH81" i="5"/>
  <c r="AF81" i="5"/>
  <c r="AC81" i="5"/>
  <c r="Z81" i="5"/>
  <c r="W81" i="5"/>
  <c r="T81" i="5"/>
  <c r="Q81" i="5"/>
  <c r="N81" i="5"/>
  <c r="K81" i="5"/>
  <c r="H81" i="5"/>
  <c r="I81" i="5" s="1"/>
  <c r="AH80" i="5"/>
  <c r="AF80" i="5"/>
  <c r="AC80" i="5"/>
  <c r="Z80" i="5"/>
  <c r="W80" i="5"/>
  <c r="T80" i="5"/>
  <c r="Q80" i="5"/>
  <c r="N80" i="5"/>
  <c r="K80" i="5"/>
  <c r="H80" i="5"/>
  <c r="I80" i="5" s="1"/>
  <c r="L80" i="5" s="1"/>
  <c r="AH79" i="5"/>
  <c r="AF79" i="5"/>
  <c r="AC79" i="5"/>
  <c r="Z79" i="5"/>
  <c r="W79" i="5"/>
  <c r="T79" i="5"/>
  <c r="Q79" i="5"/>
  <c r="N79" i="5"/>
  <c r="K79" i="5"/>
  <c r="H79" i="5"/>
  <c r="I79" i="5" s="1"/>
  <c r="AH78" i="5"/>
  <c r="AF78" i="5"/>
  <c r="AC78" i="5"/>
  <c r="Z78" i="5"/>
  <c r="W78" i="5"/>
  <c r="T78" i="5"/>
  <c r="Q78" i="5"/>
  <c r="N78" i="5"/>
  <c r="K78" i="5"/>
  <c r="H78" i="5"/>
  <c r="I78" i="5" s="1"/>
  <c r="AH77" i="5"/>
  <c r="AF77" i="5"/>
  <c r="AC77" i="5"/>
  <c r="Z77" i="5"/>
  <c r="W77" i="5"/>
  <c r="T77" i="5"/>
  <c r="Q77" i="5"/>
  <c r="N77" i="5"/>
  <c r="K77" i="5"/>
  <c r="H77" i="5"/>
  <c r="I77" i="5" s="1"/>
  <c r="L77" i="5" s="1"/>
  <c r="AH76" i="5"/>
  <c r="AF76" i="5"/>
  <c r="AC76" i="5"/>
  <c r="Z76" i="5"/>
  <c r="W76" i="5"/>
  <c r="T76" i="5"/>
  <c r="Q76" i="5"/>
  <c r="N76" i="5"/>
  <c r="K76" i="5"/>
  <c r="H76" i="5"/>
  <c r="I76" i="5" s="1"/>
  <c r="AH75" i="5"/>
  <c r="AF75" i="5"/>
  <c r="AC75" i="5"/>
  <c r="Z75" i="5"/>
  <c r="W75" i="5"/>
  <c r="T75" i="5"/>
  <c r="Q75" i="5"/>
  <c r="N75" i="5"/>
  <c r="K75" i="5"/>
  <c r="H75" i="5"/>
  <c r="I75" i="5" s="1"/>
  <c r="AH74" i="5"/>
  <c r="AF74" i="5"/>
  <c r="AC74" i="5"/>
  <c r="Z74" i="5"/>
  <c r="W74" i="5"/>
  <c r="T74" i="5"/>
  <c r="Q74" i="5"/>
  <c r="N74" i="5"/>
  <c r="K74" i="5"/>
  <c r="H74" i="5"/>
  <c r="I74" i="5" s="1"/>
  <c r="L74" i="5" s="1"/>
  <c r="O74" i="5" s="1"/>
  <c r="R74" i="5" s="1"/>
  <c r="U74" i="5" s="1"/>
  <c r="AH73" i="5"/>
  <c r="AF73" i="5"/>
  <c r="AC73" i="5"/>
  <c r="Z73" i="5"/>
  <c r="W73" i="5"/>
  <c r="T73" i="5"/>
  <c r="Q73" i="5"/>
  <c r="N73" i="5"/>
  <c r="K73" i="5"/>
  <c r="H73" i="5"/>
  <c r="I73" i="5" s="1"/>
  <c r="AH72" i="5"/>
  <c r="AF72" i="5"/>
  <c r="AC72" i="5"/>
  <c r="Z72" i="5"/>
  <c r="W72" i="5"/>
  <c r="T72" i="5"/>
  <c r="Q72" i="5"/>
  <c r="N72" i="5"/>
  <c r="K72" i="5"/>
  <c r="H72" i="5"/>
  <c r="I72" i="5" s="1"/>
  <c r="AH71" i="5"/>
  <c r="AF71" i="5"/>
  <c r="AC71" i="5"/>
  <c r="Z71" i="5"/>
  <c r="W71" i="5"/>
  <c r="T71" i="5"/>
  <c r="Q71" i="5"/>
  <c r="N71" i="5"/>
  <c r="K71" i="5"/>
  <c r="H71" i="5"/>
  <c r="I71" i="5" s="1"/>
  <c r="AH70" i="5"/>
  <c r="AF70" i="5"/>
  <c r="AC70" i="5"/>
  <c r="Z70" i="5"/>
  <c r="W70" i="5"/>
  <c r="T70" i="5"/>
  <c r="Q70" i="5"/>
  <c r="N70" i="5"/>
  <c r="K70" i="5"/>
  <c r="H70" i="5"/>
  <c r="I70" i="5" s="1"/>
  <c r="AH69" i="5"/>
  <c r="AF69" i="5"/>
  <c r="AC69" i="5"/>
  <c r="Z69" i="5"/>
  <c r="W69" i="5"/>
  <c r="T69" i="5"/>
  <c r="Q69" i="5"/>
  <c r="N69" i="5"/>
  <c r="K69" i="5"/>
  <c r="H69" i="5"/>
  <c r="I69" i="5" s="1"/>
  <c r="AH68" i="5"/>
  <c r="AF68" i="5"/>
  <c r="AC68" i="5"/>
  <c r="Z68" i="5"/>
  <c r="W68" i="5"/>
  <c r="T68" i="5"/>
  <c r="Q68" i="5"/>
  <c r="N68" i="5"/>
  <c r="K68" i="5"/>
  <c r="H68" i="5"/>
  <c r="I68" i="5" s="1"/>
  <c r="AH67" i="5"/>
  <c r="AF67" i="5"/>
  <c r="AC67" i="5"/>
  <c r="Z67" i="5"/>
  <c r="W67" i="5"/>
  <c r="T67" i="5"/>
  <c r="Q67" i="5"/>
  <c r="N67" i="5"/>
  <c r="K67" i="5"/>
  <c r="H67" i="5"/>
  <c r="I67" i="5" s="1"/>
  <c r="AH66" i="5"/>
  <c r="AF66" i="5"/>
  <c r="AC66" i="5"/>
  <c r="Z66" i="5"/>
  <c r="W66" i="5"/>
  <c r="T66" i="5"/>
  <c r="Q66" i="5"/>
  <c r="N66" i="5"/>
  <c r="K66" i="5"/>
  <c r="H66" i="5"/>
  <c r="I66" i="5" s="1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39" i="5"/>
  <c r="AH32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6" i="5"/>
  <c r="O80" i="5" l="1"/>
  <c r="R80" i="5" s="1"/>
  <c r="U80" i="5" s="1"/>
  <c r="L70" i="5"/>
  <c r="L69" i="5"/>
  <c r="O69" i="5" s="1"/>
  <c r="R69" i="5" s="1"/>
  <c r="U69" i="5" s="1"/>
  <c r="X69" i="5" s="1"/>
  <c r="AA69" i="5" s="1"/>
  <c r="AD69" i="5" s="1"/>
  <c r="AG69" i="5" s="1"/>
  <c r="L81" i="5"/>
  <c r="O81" i="5" s="1"/>
  <c r="R81" i="5" s="1"/>
  <c r="U81" i="5" s="1"/>
  <c r="X81" i="5" s="1"/>
  <c r="AA81" i="5" s="1"/>
  <c r="AD81" i="5" s="1"/>
  <c r="AG81" i="5" s="1"/>
  <c r="X74" i="5"/>
  <c r="X80" i="5"/>
  <c r="AA80" i="5" s="1"/>
  <c r="AD80" i="5" s="1"/>
  <c r="AG80" i="5" s="1"/>
  <c r="L73" i="5"/>
  <c r="O73" i="5" s="1"/>
  <c r="R73" i="5" s="1"/>
  <c r="U73" i="5" s="1"/>
  <c r="X73" i="5" s="1"/>
  <c r="AA73" i="5" s="1"/>
  <c r="AD73" i="5" s="1"/>
  <c r="AG73" i="5" s="1"/>
  <c r="L79" i="5"/>
  <c r="O79" i="5" s="1"/>
  <c r="R79" i="5" s="1"/>
  <c r="U79" i="5" s="1"/>
  <c r="X79" i="5" s="1"/>
  <c r="AA79" i="5" s="1"/>
  <c r="AD79" i="5" s="1"/>
  <c r="AG79" i="5" s="1"/>
  <c r="L85" i="5"/>
  <c r="O85" i="5" s="1"/>
  <c r="R85" i="5" s="1"/>
  <c r="U85" i="5" s="1"/>
  <c r="X85" i="5" s="1"/>
  <c r="AA85" i="5" s="1"/>
  <c r="AD85" i="5" s="1"/>
  <c r="AG85" i="5" s="1"/>
  <c r="L66" i="5"/>
  <c r="O66" i="5" s="1"/>
  <c r="R66" i="5" s="1"/>
  <c r="U66" i="5" s="1"/>
  <c r="X66" i="5" s="1"/>
  <c r="AA66" i="5" s="1"/>
  <c r="AD66" i="5" s="1"/>
  <c r="AG66" i="5" s="1"/>
  <c r="L78" i="5"/>
  <c r="O78" i="5" s="1"/>
  <c r="R78" i="5" s="1"/>
  <c r="U78" i="5" s="1"/>
  <c r="X78" i="5" s="1"/>
  <c r="AA78" i="5" s="1"/>
  <c r="AD78" i="5" s="1"/>
  <c r="AG78" i="5" s="1"/>
  <c r="L75" i="5"/>
  <c r="O75" i="5" s="1"/>
  <c r="R75" i="5" s="1"/>
  <c r="U75" i="5" s="1"/>
  <c r="X75" i="5" s="1"/>
  <c r="AA75" i="5" s="1"/>
  <c r="AD75" i="5" s="1"/>
  <c r="AG75" i="5" s="1"/>
  <c r="AA86" i="5"/>
  <c r="AD86" i="5" s="1"/>
  <c r="L72" i="5"/>
  <c r="O72" i="5" s="1"/>
  <c r="R72" i="5" s="1"/>
  <c r="U72" i="5" s="1"/>
  <c r="X72" i="5" s="1"/>
  <c r="AA72" i="5" s="1"/>
  <c r="AD72" i="5" s="1"/>
  <c r="AG72" i="5" s="1"/>
  <c r="O90" i="5"/>
  <c r="R90" i="5" s="1"/>
  <c r="U90" i="5" s="1"/>
  <c r="X90" i="5" s="1"/>
  <c r="AA90" i="5" s="1"/>
  <c r="AD90" i="5" s="1"/>
  <c r="AG90" i="5" s="1"/>
  <c r="AA74" i="5"/>
  <c r="AD74" i="5" s="1"/>
  <c r="AG74" i="5" s="1"/>
  <c r="AA92" i="5"/>
  <c r="AD92" i="5" s="1"/>
  <c r="AG92" i="5" s="1"/>
  <c r="L91" i="5"/>
  <c r="O91" i="5" s="1"/>
  <c r="L68" i="5"/>
  <c r="O68" i="5" s="1"/>
  <c r="R68" i="5" s="1"/>
  <c r="U68" i="5" s="1"/>
  <c r="X68" i="5" s="1"/>
  <c r="AA68" i="5" s="1"/>
  <c r="AD68" i="5" s="1"/>
  <c r="AG68" i="5" s="1"/>
  <c r="AG86" i="5"/>
  <c r="L67" i="5"/>
  <c r="O67" i="5" s="1"/>
  <c r="R67" i="5" s="1"/>
  <c r="U67" i="5" s="1"/>
  <c r="X67" i="5" s="1"/>
  <c r="AA67" i="5" s="1"/>
  <c r="AD67" i="5" s="1"/>
  <c r="AG67" i="5" s="1"/>
  <c r="L98" i="5"/>
  <c r="O98" i="5" s="1"/>
  <c r="R98" i="5" s="1"/>
  <c r="U98" i="5" s="1"/>
  <c r="X98" i="5" s="1"/>
  <c r="AA98" i="5" s="1"/>
  <c r="AD98" i="5" s="1"/>
  <c r="AG98" i="5" s="1"/>
  <c r="O77" i="5"/>
  <c r="R77" i="5" s="1"/>
  <c r="U77" i="5" s="1"/>
  <c r="X77" i="5" s="1"/>
  <c r="AA77" i="5" s="1"/>
  <c r="AD77" i="5" s="1"/>
  <c r="AG77" i="5" s="1"/>
  <c r="O83" i="5"/>
  <c r="R83" i="5" s="1"/>
  <c r="U83" i="5" s="1"/>
  <c r="X83" i="5" s="1"/>
  <c r="AA83" i="5" s="1"/>
  <c r="AD83" i="5" s="1"/>
  <c r="AG83" i="5" s="1"/>
  <c r="O89" i="5"/>
  <c r="R89" i="5" s="1"/>
  <c r="U89" i="5" s="1"/>
  <c r="X89" i="5" s="1"/>
  <c r="AA89" i="5" s="1"/>
  <c r="AD89" i="5" s="1"/>
  <c r="AG89" i="5" s="1"/>
  <c r="L94" i="5"/>
  <c r="O94" i="5" s="1"/>
  <c r="R94" i="5" s="1"/>
  <c r="U94" i="5" s="1"/>
  <c r="X94" i="5" s="1"/>
  <c r="AA94" i="5" s="1"/>
  <c r="AD94" i="5" s="1"/>
  <c r="AG94" i="5" s="1"/>
  <c r="L95" i="5"/>
  <c r="O95" i="5" s="1"/>
  <c r="R95" i="5" s="1"/>
  <c r="U95" i="5" s="1"/>
  <c r="X95" i="5" s="1"/>
  <c r="AA95" i="5" s="1"/>
  <c r="AD95" i="5" s="1"/>
  <c r="AG95" i="5" s="1"/>
  <c r="L96" i="5"/>
  <c r="O96" i="5" s="1"/>
  <c r="R96" i="5" s="1"/>
  <c r="U96" i="5" s="1"/>
  <c r="X96" i="5" s="1"/>
  <c r="AA96" i="5" s="1"/>
  <c r="AD96" i="5" s="1"/>
  <c r="AG96" i="5" s="1"/>
  <c r="L84" i="5"/>
  <c r="O84" i="5" s="1"/>
  <c r="R84" i="5" s="1"/>
  <c r="U84" i="5" s="1"/>
  <c r="X84" i="5" s="1"/>
  <c r="AA84" i="5" s="1"/>
  <c r="AD84" i="5" s="1"/>
  <c r="AG84" i="5" s="1"/>
  <c r="L97" i="5"/>
  <c r="O97" i="5" s="1"/>
  <c r="R97" i="5" s="1"/>
  <c r="U97" i="5" s="1"/>
  <c r="X97" i="5" s="1"/>
  <c r="AA97" i="5" s="1"/>
  <c r="AD97" i="5" s="1"/>
  <c r="AG97" i="5" s="1"/>
  <c r="R91" i="5"/>
  <c r="U91" i="5" s="1"/>
  <c r="X91" i="5" s="1"/>
  <c r="AA91" i="5" s="1"/>
  <c r="AD91" i="5" s="1"/>
  <c r="AG91" i="5" s="1"/>
  <c r="L71" i="5"/>
  <c r="O71" i="5" s="1"/>
  <c r="R71" i="5" s="1"/>
  <c r="U71" i="5" s="1"/>
  <c r="X71" i="5" s="1"/>
  <c r="AA71" i="5" s="1"/>
  <c r="AD71" i="5" s="1"/>
  <c r="AG71" i="5" s="1"/>
  <c r="O70" i="5"/>
  <c r="R70" i="5" s="1"/>
  <c r="U70" i="5" s="1"/>
  <c r="X70" i="5" s="1"/>
  <c r="AA70" i="5" s="1"/>
  <c r="AD70" i="5" s="1"/>
  <c r="AG70" i="5" s="1"/>
  <c r="L76" i="5"/>
  <c r="O76" i="5" s="1"/>
  <c r="R76" i="5" s="1"/>
  <c r="U76" i="5" s="1"/>
  <c r="X76" i="5" s="1"/>
  <c r="AA76" i="5" s="1"/>
  <c r="AD76" i="5" s="1"/>
  <c r="AG76" i="5" s="1"/>
  <c r="L82" i="5"/>
  <c r="O82" i="5" s="1"/>
  <c r="R82" i="5" s="1"/>
  <c r="U82" i="5" s="1"/>
  <c r="X82" i="5" s="1"/>
  <c r="AA82" i="5" s="1"/>
  <c r="AD82" i="5" s="1"/>
  <c r="AG82" i="5" s="1"/>
  <c r="L88" i="5"/>
  <c r="O88" i="5" s="1"/>
  <c r="R88" i="5" s="1"/>
  <c r="U88" i="5" s="1"/>
  <c r="X88" i="5" s="1"/>
  <c r="AA88" i="5" s="1"/>
  <c r="AD88" i="5" s="1"/>
  <c r="AG88" i="5" s="1"/>
  <c r="L99" i="5"/>
  <c r="O99" i="5" s="1"/>
  <c r="R99" i="5" s="1"/>
  <c r="U99" i="5" s="1"/>
  <c r="X99" i="5" s="1"/>
  <c r="AA99" i="5" s="1"/>
  <c r="AD99" i="5" s="1"/>
  <c r="AG99" i="5" s="1"/>
  <c r="L93" i="5"/>
  <c r="O93" i="5" s="1"/>
  <c r="R93" i="5" s="1"/>
  <c r="U93" i="5" s="1"/>
  <c r="X93" i="5" s="1"/>
  <c r="AA93" i="5" s="1"/>
  <c r="AD93" i="5" s="1"/>
  <c r="AG93" i="5" s="1"/>
  <c r="L87" i="5"/>
  <c r="O87" i="5" s="1"/>
  <c r="R87" i="5" s="1"/>
  <c r="U87" i="5" s="1"/>
  <c r="X87" i="5" s="1"/>
  <c r="AA87" i="5" s="1"/>
  <c r="AD87" i="5" s="1"/>
  <c r="AG87" i="5" s="1"/>
  <c r="AF59" i="5"/>
  <c r="AC59" i="5"/>
  <c r="Z59" i="5"/>
  <c r="W59" i="5"/>
  <c r="T59" i="5"/>
  <c r="Q59" i="5"/>
  <c r="N59" i="5"/>
  <c r="K59" i="5"/>
  <c r="H59" i="5"/>
  <c r="I59" i="5" s="1"/>
  <c r="AF58" i="5"/>
  <c r="AC58" i="5"/>
  <c r="Z58" i="5"/>
  <c r="W58" i="5"/>
  <c r="T58" i="5"/>
  <c r="Q58" i="5"/>
  <c r="N58" i="5"/>
  <c r="K58" i="5"/>
  <c r="H58" i="5"/>
  <c r="I58" i="5" s="1"/>
  <c r="AF57" i="5"/>
  <c r="AC57" i="5"/>
  <c r="Z57" i="5"/>
  <c r="W57" i="5"/>
  <c r="T57" i="5"/>
  <c r="Q57" i="5"/>
  <c r="N57" i="5"/>
  <c r="K57" i="5"/>
  <c r="H57" i="5"/>
  <c r="I57" i="5" s="1"/>
  <c r="AF56" i="5"/>
  <c r="AC56" i="5"/>
  <c r="Z56" i="5"/>
  <c r="W56" i="5"/>
  <c r="T56" i="5"/>
  <c r="Q56" i="5"/>
  <c r="N56" i="5"/>
  <c r="K56" i="5"/>
  <c r="H56" i="5"/>
  <c r="I56" i="5" s="1"/>
  <c r="AF55" i="5"/>
  <c r="AC55" i="5"/>
  <c r="Z55" i="5"/>
  <c r="W55" i="5"/>
  <c r="T55" i="5"/>
  <c r="Q55" i="5"/>
  <c r="N55" i="5"/>
  <c r="K55" i="5"/>
  <c r="H55" i="5"/>
  <c r="I55" i="5" s="1"/>
  <c r="AF54" i="5"/>
  <c r="AC54" i="5"/>
  <c r="Z54" i="5"/>
  <c r="W54" i="5"/>
  <c r="T54" i="5"/>
  <c r="Q54" i="5"/>
  <c r="N54" i="5"/>
  <c r="K54" i="5"/>
  <c r="H54" i="5"/>
  <c r="I54" i="5" s="1"/>
  <c r="AF53" i="5"/>
  <c r="AC53" i="5"/>
  <c r="Z53" i="5"/>
  <c r="W53" i="5"/>
  <c r="T53" i="5"/>
  <c r="Q53" i="5"/>
  <c r="N53" i="5"/>
  <c r="K53" i="5"/>
  <c r="H53" i="5"/>
  <c r="I53" i="5" s="1"/>
  <c r="AF52" i="5"/>
  <c r="AC52" i="5"/>
  <c r="Z52" i="5"/>
  <c r="W52" i="5"/>
  <c r="T52" i="5"/>
  <c r="Q52" i="5"/>
  <c r="N52" i="5"/>
  <c r="K52" i="5"/>
  <c r="H52" i="5"/>
  <c r="I52" i="5" s="1"/>
  <c r="AF51" i="5"/>
  <c r="AC51" i="5"/>
  <c r="Z51" i="5"/>
  <c r="W51" i="5"/>
  <c r="T51" i="5"/>
  <c r="Q51" i="5"/>
  <c r="N51" i="5"/>
  <c r="K51" i="5"/>
  <c r="H51" i="5"/>
  <c r="I51" i="5" s="1"/>
  <c r="AF50" i="5"/>
  <c r="AC50" i="5"/>
  <c r="Z50" i="5"/>
  <c r="W50" i="5"/>
  <c r="T50" i="5"/>
  <c r="Q50" i="5"/>
  <c r="N50" i="5"/>
  <c r="K50" i="5"/>
  <c r="H50" i="5"/>
  <c r="I50" i="5" s="1"/>
  <c r="AF49" i="5"/>
  <c r="AC49" i="5"/>
  <c r="Z49" i="5"/>
  <c r="W49" i="5"/>
  <c r="T49" i="5"/>
  <c r="Q49" i="5"/>
  <c r="N49" i="5"/>
  <c r="K49" i="5"/>
  <c r="H49" i="5"/>
  <c r="I49" i="5" s="1"/>
  <c r="AF48" i="5"/>
  <c r="AC48" i="5"/>
  <c r="Z48" i="5"/>
  <c r="W48" i="5"/>
  <c r="T48" i="5"/>
  <c r="Q48" i="5"/>
  <c r="N48" i="5"/>
  <c r="K48" i="5"/>
  <c r="H48" i="5"/>
  <c r="I48" i="5" s="1"/>
  <c r="AF47" i="5"/>
  <c r="AC47" i="5"/>
  <c r="Z47" i="5"/>
  <c r="W47" i="5"/>
  <c r="T47" i="5"/>
  <c r="Q47" i="5"/>
  <c r="N47" i="5"/>
  <c r="K47" i="5"/>
  <c r="H47" i="5"/>
  <c r="I47" i="5" s="1"/>
  <c r="AF46" i="5"/>
  <c r="AC46" i="5"/>
  <c r="Z46" i="5"/>
  <c r="W46" i="5"/>
  <c r="T46" i="5"/>
  <c r="Q46" i="5"/>
  <c r="N46" i="5"/>
  <c r="K46" i="5"/>
  <c r="H46" i="5"/>
  <c r="I46" i="5" s="1"/>
  <c r="AF45" i="5"/>
  <c r="AC45" i="5"/>
  <c r="Z45" i="5"/>
  <c r="W45" i="5"/>
  <c r="T45" i="5"/>
  <c r="Q45" i="5"/>
  <c r="N45" i="5"/>
  <c r="K45" i="5"/>
  <c r="H45" i="5"/>
  <c r="I45" i="5" s="1"/>
  <c r="AF44" i="5"/>
  <c r="AC44" i="5"/>
  <c r="Z44" i="5"/>
  <c r="W44" i="5"/>
  <c r="T44" i="5"/>
  <c r="Q44" i="5"/>
  <c r="N44" i="5"/>
  <c r="K44" i="5"/>
  <c r="H44" i="5"/>
  <c r="I44" i="5" s="1"/>
  <c r="AF43" i="5"/>
  <c r="AC43" i="5"/>
  <c r="Z43" i="5"/>
  <c r="W43" i="5"/>
  <c r="T43" i="5"/>
  <c r="Q43" i="5"/>
  <c r="N43" i="5"/>
  <c r="K43" i="5"/>
  <c r="H43" i="5"/>
  <c r="I43" i="5" s="1"/>
  <c r="AF42" i="5"/>
  <c r="AC42" i="5"/>
  <c r="Z42" i="5"/>
  <c r="W42" i="5"/>
  <c r="T42" i="5"/>
  <c r="Q42" i="5"/>
  <c r="N42" i="5"/>
  <c r="K42" i="5"/>
  <c r="H42" i="5"/>
  <c r="I42" i="5" s="1"/>
  <c r="AF41" i="5"/>
  <c r="AC41" i="5"/>
  <c r="Z41" i="5"/>
  <c r="W41" i="5"/>
  <c r="T41" i="5"/>
  <c r="Q41" i="5"/>
  <c r="N41" i="5"/>
  <c r="K41" i="5"/>
  <c r="H41" i="5"/>
  <c r="I41" i="5" s="1"/>
  <c r="AF40" i="5"/>
  <c r="AC40" i="5"/>
  <c r="Z40" i="5"/>
  <c r="W40" i="5"/>
  <c r="T40" i="5"/>
  <c r="Q40" i="5"/>
  <c r="N40" i="5"/>
  <c r="K40" i="5"/>
  <c r="H40" i="5"/>
  <c r="I40" i="5" s="1"/>
  <c r="AF39" i="5"/>
  <c r="AC39" i="5"/>
  <c r="Z39" i="5"/>
  <c r="W39" i="5"/>
  <c r="T39" i="5"/>
  <c r="Q39" i="5"/>
  <c r="N39" i="5"/>
  <c r="K39" i="5"/>
  <c r="H39" i="5"/>
  <c r="I39" i="5" s="1"/>
  <c r="AF32" i="5"/>
  <c r="AC32" i="5"/>
  <c r="Z32" i="5"/>
  <c r="W32" i="5"/>
  <c r="T32" i="5"/>
  <c r="Q32" i="5"/>
  <c r="N32" i="5"/>
  <c r="K32" i="5"/>
  <c r="H32" i="5"/>
  <c r="I32" i="5" s="1"/>
  <c r="AF31" i="5"/>
  <c r="AC31" i="5"/>
  <c r="Z31" i="5"/>
  <c r="W31" i="5"/>
  <c r="T31" i="5"/>
  <c r="Q31" i="5"/>
  <c r="N31" i="5"/>
  <c r="K31" i="5"/>
  <c r="H31" i="5"/>
  <c r="I31" i="5" s="1"/>
  <c r="AF30" i="5"/>
  <c r="AC30" i="5"/>
  <c r="Z30" i="5"/>
  <c r="W30" i="5"/>
  <c r="T30" i="5"/>
  <c r="Q30" i="5"/>
  <c r="N30" i="5"/>
  <c r="K30" i="5"/>
  <c r="H30" i="5"/>
  <c r="I30" i="5" s="1"/>
  <c r="AF29" i="5"/>
  <c r="AC29" i="5"/>
  <c r="Z29" i="5"/>
  <c r="W29" i="5"/>
  <c r="T29" i="5"/>
  <c r="Q29" i="5"/>
  <c r="N29" i="5"/>
  <c r="K29" i="5"/>
  <c r="H29" i="5"/>
  <c r="I29" i="5" s="1"/>
  <c r="AF28" i="5"/>
  <c r="AC28" i="5"/>
  <c r="Z28" i="5"/>
  <c r="W28" i="5"/>
  <c r="T28" i="5"/>
  <c r="Q28" i="5"/>
  <c r="N28" i="5"/>
  <c r="K28" i="5"/>
  <c r="H28" i="5"/>
  <c r="I28" i="5" s="1"/>
  <c r="AF27" i="5"/>
  <c r="AC27" i="5"/>
  <c r="Z27" i="5"/>
  <c r="W27" i="5"/>
  <c r="T27" i="5"/>
  <c r="Q27" i="5"/>
  <c r="N27" i="5"/>
  <c r="K27" i="5"/>
  <c r="H27" i="5"/>
  <c r="I27" i="5" s="1"/>
  <c r="AF26" i="5"/>
  <c r="AC26" i="5"/>
  <c r="Z26" i="5"/>
  <c r="W26" i="5"/>
  <c r="T26" i="5"/>
  <c r="Q26" i="5"/>
  <c r="N26" i="5"/>
  <c r="K26" i="5"/>
  <c r="H26" i="5"/>
  <c r="I26" i="5" s="1"/>
  <c r="AF25" i="5"/>
  <c r="AC25" i="5"/>
  <c r="Z25" i="5"/>
  <c r="W25" i="5"/>
  <c r="T25" i="5"/>
  <c r="Q25" i="5"/>
  <c r="N25" i="5"/>
  <c r="K25" i="5"/>
  <c r="H25" i="5"/>
  <c r="I25" i="5" s="1"/>
  <c r="AF24" i="5"/>
  <c r="AC24" i="5"/>
  <c r="Z24" i="5"/>
  <c r="W24" i="5"/>
  <c r="T24" i="5"/>
  <c r="Q24" i="5"/>
  <c r="N24" i="5"/>
  <c r="K24" i="5"/>
  <c r="H24" i="5"/>
  <c r="I24" i="5" s="1"/>
  <c r="AF23" i="5"/>
  <c r="AC23" i="5"/>
  <c r="Z23" i="5"/>
  <c r="W23" i="5"/>
  <c r="T23" i="5"/>
  <c r="Q23" i="5"/>
  <c r="N23" i="5"/>
  <c r="K23" i="5"/>
  <c r="H23" i="5"/>
  <c r="I23" i="5" s="1"/>
  <c r="AF22" i="5"/>
  <c r="AC22" i="5"/>
  <c r="Z22" i="5"/>
  <c r="W22" i="5"/>
  <c r="T22" i="5"/>
  <c r="Q22" i="5"/>
  <c r="N22" i="5"/>
  <c r="K22" i="5"/>
  <c r="H22" i="5"/>
  <c r="I22" i="5" s="1"/>
  <c r="AF21" i="5"/>
  <c r="AC21" i="5"/>
  <c r="Z21" i="5"/>
  <c r="W21" i="5"/>
  <c r="T21" i="5"/>
  <c r="Q21" i="5"/>
  <c r="N21" i="5"/>
  <c r="K21" i="5"/>
  <c r="H21" i="5"/>
  <c r="I21" i="5" s="1"/>
  <c r="AF20" i="5"/>
  <c r="AC20" i="5"/>
  <c r="Z20" i="5"/>
  <c r="W20" i="5"/>
  <c r="T20" i="5"/>
  <c r="Q20" i="5"/>
  <c r="N20" i="5"/>
  <c r="K20" i="5"/>
  <c r="H20" i="5"/>
  <c r="I20" i="5" s="1"/>
  <c r="AF19" i="5"/>
  <c r="AC19" i="5"/>
  <c r="Z19" i="5"/>
  <c r="W19" i="5"/>
  <c r="T19" i="5"/>
  <c r="Q19" i="5"/>
  <c r="N19" i="5"/>
  <c r="K19" i="5"/>
  <c r="H19" i="5"/>
  <c r="I19" i="5" s="1"/>
  <c r="AF18" i="5"/>
  <c r="AC18" i="5"/>
  <c r="Z18" i="5"/>
  <c r="W18" i="5"/>
  <c r="T18" i="5"/>
  <c r="Q18" i="5"/>
  <c r="N18" i="5"/>
  <c r="K18" i="5"/>
  <c r="H18" i="5"/>
  <c r="I18" i="5" s="1"/>
  <c r="AF17" i="5"/>
  <c r="AC17" i="5"/>
  <c r="Z17" i="5"/>
  <c r="W17" i="5"/>
  <c r="T17" i="5"/>
  <c r="Q17" i="5"/>
  <c r="N17" i="5"/>
  <c r="K17" i="5"/>
  <c r="H17" i="5"/>
  <c r="I17" i="5" s="1"/>
  <c r="AF16" i="5"/>
  <c r="AC16" i="5"/>
  <c r="Z16" i="5"/>
  <c r="W16" i="5"/>
  <c r="T16" i="5"/>
  <c r="Q16" i="5"/>
  <c r="N16" i="5"/>
  <c r="K16" i="5"/>
  <c r="H16" i="5"/>
  <c r="I16" i="5" s="1"/>
  <c r="AF15" i="5"/>
  <c r="AC15" i="5"/>
  <c r="Z15" i="5"/>
  <c r="W15" i="5"/>
  <c r="T15" i="5"/>
  <c r="Q15" i="5"/>
  <c r="N15" i="5"/>
  <c r="K15" i="5"/>
  <c r="H15" i="5"/>
  <c r="I15" i="5" s="1"/>
  <c r="AF14" i="5"/>
  <c r="AC14" i="5"/>
  <c r="Z14" i="5"/>
  <c r="W14" i="5"/>
  <c r="T14" i="5"/>
  <c r="Q14" i="5"/>
  <c r="N14" i="5"/>
  <c r="K14" i="5"/>
  <c r="H14" i="5"/>
  <c r="I14" i="5" s="1"/>
  <c r="AF13" i="5"/>
  <c r="AC13" i="5"/>
  <c r="Z13" i="5"/>
  <c r="W13" i="5"/>
  <c r="T13" i="5"/>
  <c r="Q13" i="5"/>
  <c r="N13" i="5"/>
  <c r="K13" i="5"/>
  <c r="H13" i="5"/>
  <c r="I13" i="5" s="1"/>
  <c r="AF12" i="5"/>
  <c r="AC12" i="5"/>
  <c r="Z12" i="5"/>
  <c r="W12" i="5"/>
  <c r="T12" i="5"/>
  <c r="Q12" i="5"/>
  <c r="N12" i="5"/>
  <c r="K12" i="5"/>
  <c r="H12" i="5"/>
  <c r="I12" i="5" s="1"/>
  <c r="AF11" i="5"/>
  <c r="AC11" i="5"/>
  <c r="Z11" i="5"/>
  <c r="W11" i="5"/>
  <c r="T11" i="5"/>
  <c r="Q11" i="5"/>
  <c r="N11" i="5"/>
  <c r="K11" i="5"/>
  <c r="H11" i="5"/>
  <c r="I11" i="5" s="1"/>
  <c r="AF10" i="5"/>
  <c r="AC10" i="5"/>
  <c r="Z10" i="5"/>
  <c r="W10" i="5"/>
  <c r="T10" i="5"/>
  <c r="Q10" i="5"/>
  <c r="N10" i="5"/>
  <c r="K10" i="5"/>
  <c r="H10" i="5"/>
  <c r="I10" i="5" s="1"/>
  <c r="AF9" i="5"/>
  <c r="AC9" i="5"/>
  <c r="Z9" i="5"/>
  <c r="W9" i="5"/>
  <c r="T9" i="5"/>
  <c r="Q9" i="5"/>
  <c r="N9" i="5"/>
  <c r="K9" i="5"/>
  <c r="H9" i="5"/>
  <c r="I9" i="5" s="1"/>
  <c r="AF8" i="5"/>
  <c r="AC8" i="5"/>
  <c r="Z8" i="5"/>
  <c r="W8" i="5"/>
  <c r="T8" i="5"/>
  <c r="Q8" i="5"/>
  <c r="N8" i="5"/>
  <c r="K8" i="5"/>
  <c r="H8" i="5"/>
  <c r="I8" i="5" s="1"/>
  <c r="AF7" i="5"/>
  <c r="AC7" i="5"/>
  <c r="Z7" i="5"/>
  <c r="W7" i="5"/>
  <c r="T7" i="5"/>
  <c r="Q7" i="5"/>
  <c r="N7" i="5"/>
  <c r="K7" i="5"/>
  <c r="H7" i="5"/>
  <c r="I7" i="5" s="1"/>
  <c r="AF6" i="5"/>
  <c r="AC6" i="5"/>
  <c r="Z6" i="5"/>
  <c r="W6" i="5"/>
  <c r="T6" i="5"/>
  <c r="Q6" i="5"/>
  <c r="N6" i="5"/>
  <c r="K6" i="5"/>
  <c r="H6" i="5"/>
  <c r="I6" i="5" s="1"/>
  <c r="AJ75" i="5" l="1"/>
  <c r="L54" i="5"/>
  <c r="L58" i="5"/>
  <c r="L11" i="5"/>
  <c r="L41" i="5"/>
  <c r="L45" i="5"/>
  <c r="O45" i="5" s="1"/>
  <c r="R45" i="5" s="1"/>
  <c r="U45" i="5" s="1"/>
  <c r="X45" i="5" s="1"/>
  <c r="AA45" i="5" s="1"/>
  <c r="AD45" i="5" s="1"/>
  <c r="AG45" i="5" s="1"/>
  <c r="L49" i="5"/>
  <c r="O49" i="5" s="1"/>
  <c r="R49" i="5" s="1"/>
  <c r="U49" i="5" s="1"/>
  <c r="X49" i="5" s="1"/>
  <c r="AA49" i="5" s="1"/>
  <c r="AD49" i="5" s="1"/>
  <c r="AG49" i="5" s="1"/>
  <c r="L53" i="5"/>
  <c r="O53" i="5" s="1"/>
  <c r="R53" i="5" s="1"/>
  <c r="U53" i="5" s="1"/>
  <c r="X53" i="5" s="1"/>
  <c r="AA53" i="5" s="1"/>
  <c r="AD53" i="5" s="1"/>
  <c r="AG53" i="5" s="1"/>
  <c r="L51" i="5"/>
  <c r="O51" i="5" s="1"/>
  <c r="R51" i="5" s="1"/>
  <c r="U51" i="5" s="1"/>
  <c r="X51" i="5" s="1"/>
  <c r="AA51" i="5" s="1"/>
  <c r="AD51" i="5" s="1"/>
  <c r="AG51" i="5" s="1"/>
  <c r="L23" i="5"/>
  <c r="O23" i="5" s="1"/>
  <c r="R23" i="5" s="1"/>
  <c r="U23" i="5" s="1"/>
  <c r="X23" i="5" s="1"/>
  <c r="AA23" i="5" s="1"/>
  <c r="AD23" i="5" s="1"/>
  <c r="AG23" i="5" s="1"/>
  <c r="L27" i="5"/>
  <c r="O27" i="5" s="1"/>
  <c r="R27" i="5" s="1"/>
  <c r="U27" i="5" s="1"/>
  <c r="X27" i="5" s="1"/>
  <c r="AA27" i="5" s="1"/>
  <c r="AD27" i="5" s="1"/>
  <c r="AG27" i="5" s="1"/>
  <c r="L17" i="5"/>
  <c r="O17" i="5" s="1"/>
  <c r="R17" i="5" s="1"/>
  <c r="U17" i="5" s="1"/>
  <c r="X17" i="5" s="1"/>
  <c r="AA17" i="5" s="1"/>
  <c r="AD17" i="5" s="1"/>
  <c r="AG17" i="5" s="1"/>
  <c r="L25" i="5"/>
  <c r="O25" i="5" s="1"/>
  <c r="R25" i="5" s="1"/>
  <c r="U25" i="5" s="1"/>
  <c r="X25" i="5" s="1"/>
  <c r="AA25" i="5" s="1"/>
  <c r="AD25" i="5" s="1"/>
  <c r="AG25" i="5" s="1"/>
  <c r="L10" i="5"/>
  <c r="O10" i="5" s="1"/>
  <c r="R10" i="5" s="1"/>
  <c r="U10" i="5" s="1"/>
  <c r="X10" i="5" s="1"/>
  <c r="AA10" i="5" s="1"/>
  <c r="AD10" i="5" s="1"/>
  <c r="AG10" i="5" s="1"/>
  <c r="L18" i="5"/>
  <c r="O18" i="5" s="1"/>
  <c r="R18" i="5" s="1"/>
  <c r="U18" i="5" s="1"/>
  <c r="X18" i="5" s="1"/>
  <c r="AA18" i="5" s="1"/>
  <c r="AD18" i="5" s="1"/>
  <c r="AG18" i="5" s="1"/>
  <c r="L8" i="5"/>
  <c r="O8" i="5" s="1"/>
  <c r="R8" i="5" s="1"/>
  <c r="U8" i="5" s="1"/>
  <c r="X8" i="5" s="1"/>
  <c r="AA8" i="5" s="1"/>
  <c r="AD8" i="5" s="1"/>
  <c r="AG8" i="5" s="1"/>
  <c r="L16" i="5"/>
  <c r="O16" i="5" s="1"/>
  <c r="R16" i="5" s="1"/>
  <c r="U16" i="5" s="1"/>
  <c r="X16" i="5" s="1"/>
  <c r="AA16" i="5" s="1"/>
  <c r="AD16" i="5" s="1"/>
  <c r="AG16" i="5" s="1"/>
  <c r="L24" i="5"/>
  <c r="O24" i="5" s="1"/>
  <c r="R24" i="5" s="1"/>
  <c r="U24" i="5" s="1"/>
  <c r="X24" i="5" s="1"/>
  <c r="AA24" i="5" s="1"/>
  <c r="AD24" i="5" s="1"/>
  <c r="AG24" i="5" s="1"/>
  <c r="L32" i="5"/>
  <c r="O32" i="5" s="1"/>
  <c r="R32" i="5" s="1"/>
  <c r="U32" i="5" s="1"/>
  <c r="X32" i="5" s="1"/>
  <c r="AA32" i="5" s="1"/>
  <c r="AD32" i="5" s="1"/>
  <c r="AG32" i="5" s="1"/>
  <c r="O11" i="5"/>
  <c r="R11" i="5" s="1"/>
  <c r="U11" i="5" s="1"/>
  <c r="X11" i="5" s="1"/>
  <c r="AA11" i="5" s="1"/>
  <c r="AD11" i="5" s="1"/>
  <c r="AG11" i="5" s="1"/>
  <c r="L19" i="5"/>
  <c r="O19" i="5" s="1"/>
  <c r="R19" i="5" s="1"/>
  <c r="U19" i="5" s="1"/>
  <c r="X19" i="5" s="1"/>
  <c r="AA19" i="5" s="1"/>
  <c r="AD19" i="5" s="1"/>
  <c r="AG19" i="5" s="1"/>
  <c r="L56" i="5"/>
  <c r="O56" i="5" s="1"/>
  <c r="R56" i="5" s="1"/>
  <c r="U56" i="5" s="1"/>
  <c r="X56" i="5" s="1"/>
  <c r="AA56" i="5" s="1"/>
  <c r="AD56" i="5" s="1"/>
  <c r="AG56" i="5" s="1"/>
  <c r="L12" i="5"/>
  <c r="O12" i="5" s="1"/>
  <c r="R12" i="5" s="1"/>
  <c r="U12" i="5" s="1"/>
  <c r="X12" i="5" s="1"/>
  <c r="AA12" i="5" s="1"/>
  <c r="AD12" i="5" s="1"/>
  <c r="AG12" i="5" s="1"/>
  <c r="L20" i="5"/>
  <c r="O20" i="5" s="1"/>
  <c r="R20" i="5" s="1"/>
  <c r="U20" i="5" s="1"/>
  <c r="X20" i="5" s="1"/>
  <c r="AA20" i="5" s="1"/>
  <c r="AD20" i="5" s="1"/>
  <c r="AG20" i="5" s="1"/>
  <c r="L57" i="5"/>
  <c r="O57" i="5" s="1"/>
  <c r="R57" i="5" s="1"/>
  <c r="U57" i="5" s="1"/>
  <c r="X57" i="5" s="1"/>
  <c r="AA57" i="5" s="1"/>
  <c r="AD57" i="5" s="1"/>
  <c r="AG57" i="5" s="1"/>
  <c r="O58" i="5"/>
  <c r="R58" i="5" s="1"/>
  <c r="U58" i="5" s="1"/>
  <c r="X58" i="5" s="1"/>
  <c r="AA58" i="5" s="1"/>
  <c r="AD58" i="5" s="1"/>
  <c r="AG58" i="5" s="1"/>
  <c r="L6" i="5"/>
  <c r="O6" i="5" s="1"/>
  <c r="R6" i="5" s="1"/>
  <c r="U6" i="5" s="1"/>
  <c r="X6" i="5" s="1"/>
  <c r="AA6" i="5" s="1"/>
  <c r="AD6" i="5" s="1"/>
  <c r="AG6" i="5" s="1"/>
  <c r="L14" i="5"/>
  <c r="O14" i="5" s="1"/>
  <c r="R14" i="5" s="1"/>
  <c r="U14" i="5" s="1"/>
  <c r="X14" i="5" s="1"/>
  <c r="AA14" i="5" s="1"/>
  <c r="AD14" i="5" s="1"/>
  <c r="AG14" i="5" s="1"/>
  <c r="L22" i="5"/>
  <c r="O22" i="5" s="1"/>
  <c r="R22" i="5" s="1"/>
  <c r="U22" i="5" s="1"/>
  <c r="X22" i="5" s="1"/>
  <c r="AA22" i="5" s="1"/>
  <c r="AD22" i="5" s="1"/>
  <c r="AG22" i="5" s="1"/>
  <c r="L30" i="5"/>
  <c r="O30" i="5" s="1"/>
  <c r="R30" i="5" s="1"/>
  <c r="U30" i="5" s="1"/>
  <c r="X30" i="5" s="1"/>
  <c r="AA30" i="5" s="1"/>
  <c r="AD30" i="5" s="1"/>
  <c r="AG30" i="5" s="1"/>
  <c r="L44" i="5"/>
  <c r="O44" i="5" s="1"/>
  <c r="R44" i="5" s="1"/>
  <c r="U44" i="5" s="1"/>
  <c r="X44" i="5" s="1"/>
  <c r="AA44" i="5" s="1"/>
  <c r="AD44" i="5" s="1"/>
  <c r="AG44" i="5" s="1"/>
  <c r="L52" i="5"/>
  <c r="O52" i="5" s="1"/>
  <c r="R52" i="5" s="1"/>
  <c r="U52" i="5" s="1"/>
  <c r="X52" i="5" s="1"/>
  <c r="AA52" i="5" s="1"/>
  <c r="AD52" i="5" s="1"/>
  <c r="AG52" i="5" s="1"/>
  <c r="L46" i="5"/>
  <c r="O46" i="5" s="1"/>
  <c r="R46" i="5" s="1"/>
  <c r="U46" i="5" s="1"/>
  <c r="X46" i="5" s="1"/>
  <c r="AA46" i="5" s="1"/>
  <c r="AD46" i="5" s="1"/>
  <c r="AG46" i="5" s="1"/>
  <c r="L47" i="5"/>
  <c r="L59" i="5"/>
  <c r="O59" i="5" s="1"/>
  <c r="R59" i="5" s="1"/>
  <c r="U59" i="5" s="1"/>
  <c r="X59" i="5" s="1"/>
  <c r="AA59" i="5" s="1"/>
  <c r="AD59" i="5" s="1"/>
  <c r="AG59" i="5" s="1"/>
  <c r="L7" i="5"/>
  <c r="O7" i="5" s="1"/>
  <c r="R7" i="5" s="1"/>
  <c r="U7" i="5" s="1"/>
  <c r="X7" i="5" s="1"/>
  <c r="AA7" i="5" s="1"/>
  <c r="AD7" i="5" s="1"/>
  <c r="AG7" i="5" s="1"/>
  <c r="L13" i="5"/>
  <c r="L26" i="5"/>
  <c r="O26" i="5" s="1"/>
  <c r="R26" i="5" s="1"/>
  <c r="U26" i="5" s="1"/>
  <c r="X26" i="5" s="1"/>
  <c r="AA26" i="5" s="1"/>
  <c r="AD26" i="5" s="1"/>
  <c r="AG26" i="5" s="1"/>
  <c r="L40" i="5"/>
  <c r="O40" i="5" s="1"/>
  <c r="R40" i="5" s="1"/>
  <c r="U40" i="5" s="1"/>
  <c r="X40" i="5" s="1"/>
  <c r="AA40" i="5" s="1"/>
  <c r="AD40" i="5" s="1"/>
  <c r="AG40" i="5" s="1"/>
  <c r="L48" i="5"/>
  <c r="O48" i="5" s="1"/>
  <c r="R48" i="5" s="1"/>
  <c r="U48" i="5" s="1"/>
  <c r="X48" i="5" s="1"/>
  <c r="AA48" i="5" s="1"/>
  <c r="AD48" i="5" s="1"/>
  <c r="AG48" i="5" s="1"/>
  <c r="O41" i="5"/>
  <c r="R41" i="5" s="1"/>
  <c r="U41" i="5" s="1"/>
  <c r="X41" i="5" s="1"/>
  <c r="AA41" i="5" s="1"/>
  <c r="AD41" i="5" s="1"/>
  <c r="AG41" i="5" s="1"/>
  <c r="O54" i="5"/>
  <c r="R54" i="5" s="1"/>
  <c r="U54" i="5" s="1"/>
  <c r="X54" i="5" s="1"/>
  <c r="AA54" i="5" s="1"/>
  <c r="AD54" i="5" s="1"/>
  <c r="AG54" i="5" s="1"/>
  <c r="L9" i="5"/>
  <c r="O9" i="5" s="1"/>
  <c r="R9" i="5" s="1"/>
  <c r="U9" i="5" s="1"/>
  <c r="X9" i="5" s="1"/>
  <c r="AA9" i="5" s="1"/>
  <c r="AD9" i="5" s="1"/>
  <c r="AG9" i="5" s="1"/>
  <c r="L15" i="5"/>
  <c r="O15" i="5" s="1"/>
  <c r="R15" i="5" s="1"/>
  <c r="U15" i="5" s="1"/>
  <c r="X15" i="5" s="1"/>
  <c r="AA15" i="5" s="1"/>
  <c r="AD15" i="5" s="1"/>
  <c r="AG15" i="5" s="1"/>
  <c r="L21" i="5"/>
  <c r="O21" i="5" s="1"/>
  <c r="R21" i="5" s="1"/>
  <c r="U21" i="5" s="1"/>
  <c r="X21" i="5" s="1"/>
  <c r="AA21" i="5" s="1"/>
  <c r="AD21" i="5" s="1"/>
  <c r="AG21" i="5" s="1"/>
  <c r="L50" i="5"/>
  <c r="O50" i="5" s="1"/>
  <c r="R50" i="5" s="1"/>
  <c r="U50" i="5" s="1"/>
  <c r="X50" i="5" s="1"/>
  <c r="AA50" i="5" s="1"/>
  <c r="AD50" i="5" s="1"/>
  <c r="AG50" i="5" s="1"/>
  <c r="L55" i="5"/>
  <c r="O55" i="5" s="1"/>
  <c r="R55" i="5" s="1"/>
  <c r="U55" i="5" s="1"/>
  <c r="X55" i="5" s="1"/>
  <c r="AA55" i="5" s="1"/>
  <c r="AD55" i="5" s="1"/>
  <c r="AG55" i="5" s="1"/>
  <c r="L28" i="5"/>
  <c r="O28" i="5" s="1"/>
  <c r="R28" i="5" s="1"/>
  <c r="U28" i="5" s="1"/>
  <c r="X28" i="5" s="1"/>
  <c r="AA28" i="5" s="1"/>
  <c r="AD28" i="5" s="1"/>
  <c r="AG28" i="5" s="1"/>
  <c r="L42" i="5"/>
  <c r="O42" i="5" s="1"/>
  <c r="R42" i="5" s="1"/>
  <c r="U42" i="5" s="1"/>
  <c r="X42" i="5" s="1"/>
  <c r="AA42" i="5" s="1"/>
  <c r="AD42" i="5" s="1"/>
  <c r="AG42" i="5" s="1"/>
  <c r="L29" i="5"/>
  <c r="O29" i="5" s="1"/>
  <c r="R29" i="5" s="1"/>
  <c r="U29" i="5" s="1"/>
  <c r="X29" i="5" s="1"/>
  <c r="AA29" i="5" s="1"/>
  <c r="AD29" i="5" s="1"/>
  <c r="AG29" i="5" s="1"/>
  <c r="L43" i="5"/>
  <c r="O43" i="5" s="1"/>
  <c r="R43" i="5" s="1"/>
  <c r="U43" i="5" s="1"/>
  <c r="X43" i="5" s="1"/>
  <c r="AA43" i="5" s="1"/>
  <c r="AD43" i="5" s="1"/>
  <c r="AG43" i="5" s="1"/>
  <c r="L31" i="5"/>
  <c r="O31" i="5" s="1"/>
  <c r="R31" i="5" s="1"/>
  <c r="U31" i="5" s="1"/>
  <c r="X31" i="5" s="1"/>
  <c r="AA31" i="5" s="1"/>
  <c r="AD31" i="5" s="1"/>
  <c r="AG31" i="5" s="1"/>
  <c r="L39" i="5"/>
  <c r="O39" i="5" s="1"/>
  <c r="R39" i="5" s="1"/>
  <c r="U39" i="5" s="1"/>
  <c r="X39" i="5" s="1"/>
  <c r="AA39" i="5" s="1"/>
  <c r="AD39" i="5" s="1"/>
  <c r="AG39" i="5" s="1"/>
  <c r="O47" i="5" l="1"/>
  <c r="R47" i="5" s="1"/>
  <c r="U47" i="5" s="1"/>
  <c r="X47" i="5" s="1"/>
  <c r="AA47" i="5" s="1"/>
  <c r="AD47" i="5" s="1"/>
  <c r="AG47" i="5" s="1"/>
  <c r="O13" i="5"/>
  <c r="R13" i="5" s="1"/>
  <c r="U13" i="5" s="1"/>
  <c r="X13" i="5" s="1"/>
  <c r="AA13" i="5" s="1"/>
  <c r="AD13" i="5" s="1"/>
  <c r="AG13" i="5" s="1"/>
  <c r="L13" i="2"/>
  <c r="L12" i="2"/>
  <c r="Z34" i="4"/>
  <c r="AE34" i="4" s="1"/>
  <c r="AJ34" i="4" s="1"/>
  <c r="AO34" i="4" s="1"/>
  <c r="AA34" i="4"/>
  <c r="AF34" i="4" s="1"/>
  <c r="AK34" i="4" s="1"/>
  <c r="AP34" i="4" s="1"/>
  <c r="AU34" i="4" s="1"/>
  <c r="Z35" i="4"/>
  <c r="AE35" i="4" s="1"/>
  <c r="AJ35" i="4" s="1"/>
  <c r="AO35" i="4" s="1"/>
  <c r="AT35" i="4" s="1"/>
  <c r="AA35" i="4"/>
  <c r="Z36" i="4"/>
  <c r="AA36" i="4"/>
  <c r="AF36" i="4" s="1"/>
  <c r="AK36" i="4" s="1"/>
  <c r="AP36" i="4" s="1"/>
  <c r="AU36" i="4" s="1"/>
  <c r="AB35" i="4" l="1"/>
  <c r="AQ34" i="4"/>
  <c r="AT34" i="4"/>
  <c r="AV34" i="4" s="1"/>
  <c r="AL34" i="4"/>
  <c r="AG34" i="4"/>
  <c r="AB36" i="4"/>
  <c r="AB34" i="4"/>
  <c r="AF35" i="4"/>
  <c r="AK35" i="4" s="1"/>
  <c r="AE36" i="4"/>
  <c r="AJ36" i="4" s="1"/>
  <c r="AG35" i="4" l="1"/>
  <c r="AL35" i="4"/>
  <c r="AP35" i="4"/>
  <c r="AL36" i="4"/>
  <c r="AO36" i="4"/>
  <c r="AG36" i="4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AQ35" i="4" l="1"/>
  <c r="AU35" i="4"/>
  <c r="AV35" i="4" s="1"/>
  <c r="AQ36" i="4"/>
  <c r="AT36" i="4"/>
  <c r="AV36" i="4" s="1"/>
  <c r="U65" i="4"/>
  <c r="V65" i="4"/>
  <c r="AA65" i="4" s="1"/>
  <c r="AF65" i="4" s="1"/>
  <c r="AK65" i="4" s="1"/>
  <c r="AP65" i="4" s="1"/>
  <c r="AU65" i="4" s="1"/>
  <c r="AZ65" i="4" s="1"/>
  <c r="BE65" i="4" s="1"/>
  <c r="U66" i="4"/>
  <c r="Z66" i="4" s="1"/>
  <c r="V66" i="4"/>
  <c r="AA66" i="4" s="1"/>
  <c r="AF66" i="4" s="1"/>
  <c r="AK66" i="4" s="1"/>
  <c r="AP66" i="4" s="1"/>
  <c r="AU66" i="4" s="1"/>
  <c r="AZ66" i="4" s="1"/>
  <c r="BE66" i="4" s="1"/>
  <c r="W66" i="4"/>
  <c r="V33" i="4"/>
  <c r="U33" i="4"/>
  <c r="Z33" i="4" s="1"/>
  <c r="V32" i="4"/>
  <c r="AA32" i="4" s="1"/>
  <c r="AF32" i="4" s="1"/>
  <c r="AK32" i="4" s="1"/>
  <c r="AP32" i="4" s="1"/>
  <c r="AU32" i="4" s="1"/>
  <c r="U32" i="4"/>
  <c r="V31" i="4"/>
  <c r="AA31" i="4" s="1"/>
  <c r="AF31" i="4" s="1"/>
  <c r="AK31" i="4" s="1"/>
  <c r="AP31" i="4" s="1"/>
  <c r="AU31" i="4" s="1"/>
  <c r="U31" i="4"/>
  <c r="Z31" i="4" s="1"/>
  <c r="V30" i="4"/>
  <c r="AA30" i="4" s="1"/>
  <c r="U30" i="4"/>
  <c r="V29" i="4"/>
  <c r="AA29" i="4" s="1"/>
  <c r="AF29" i="4" s="1"/>
  <c r="AK29" i="4" s="1"/>
  <c r="AP29" i="4" s="1"/>
  <c r="AU29" i="4" s="1"/>
  <c r="AZ29" i="4" s="1"/>
  <c r="U29" i="4"/>
  <c r="Z29" i="4" s="1"/>
  <c r="V28" i="4"/>
  <c r="AA28" i="4" s="1"/>
  <c r="AF28" i="4" s="1"/>
  <c r="AK28" i="4" s="1"/>
  <c r="AP28" i="4" s="1"/>
  <c r="AU28" i="4" s="1"/>
  <c r="AZ28" i="4" s="1"/>
  <c r="U28" i="4"/>
  <c r="Z28" i="4" s="1"/>
  <c r="V27" i="4"/>
  <c r="AA27" i="4" s="1"/>
  <c r="AF27" i="4" s="1"/>
  <c r="AK27" i="4" s="1"/>
  <c r="AP27" i="4" s="1"/>
  <c r="AU27" i="4" s="1"/>
  <c r="AZ27" i="4" s="1"/>
  <c r="U27" i="4"/>
  <c r="V26" i="4"/>
  <c r="AA26" i="4" s="1"/>
  <c r="AF26" i="4" s="1"/>
  <c r="AK26" i="4" s="1"/>
  <c r="AP26" i="4" s="1"/>
  <c r="AU26" i="4" s="1"/>
  <c r="AZ26" i="4" s="1"/>
  <c r="U26" i="4"/>
  <c r="V25" i="4"/>
  <c r="U25" i="4"/>
  <c r="Z25" i="4" s="1"/>
  <c r="V13" i="4"/>
  <c r="AA13" i="4" s="1"/>
  <c r="AF13" i="4" s="1"/>
  <c r="AK13" i="4" s="1"/>
  <c r="AP13" i="4" s="1"/>
  <c r="AU13" i="4" s="1"/>
  <c r="AZ13" i="4" s="1"/>
  <c r="BE13" i="4" s="1"/>
  <c r="U13" i="4"/>
  <c r="Z13" i="4" s="1"/>
  <c r="V12" i="4"/>
  <c r="AA12" i="4" s="1"/>
  <c r="AF12" i="4" s="1"/>
  <c r="AK12" i="4" s="1"/>
  <c r="AP12" i="4" s="1"/>
  <c r="AU12" i="4" s="1"/>
  <c r="AZ12" i="4" s="1"/>
  <c r="BE12" i="4" s="1"/>
  <c r="U12" i="4"/>
  <c r="V11" i="4"/>
  <c r="AA11" i="4" s="1"/>
  <c r="U11" i="4"/>
  <c r="Z11" i="4" s="1"/>
  <c r="AE11" i="4" s="1"/>
  <c r="AJ11" i="4" s="1"/>
  <c r="AO11" i="4" s="1"/>
  <c r="AT11" i="4" s="1"/>
  <c r="AY11" i="4" s="1"/>
  <c r="BD11" i="4" s="1"/>
  <c r="V10" i="4"/>
  <c r="AA10" i="4" s="1"/>
  <c r="U10" i="4"/>
  <c r="Z10" i="4" s="1"/>
  <c r="AE10" i="4" s="1"/>
  <c r="AJ10" i="4" s="1"/>
  <c r="AO10" i="4" s="1"/>
  <c r="AT10" i="4" s="1"/>
  <c r="AY10" i="4" s="1"/>
  <c r="BD10" i="4" s="1"/>
  <c r="AE13" i="4" l="1"/>
  <c r="AB13" i="4"/>
  <c r="AB31" i="4"/>
  <c r="AE31" i="4"/>
  <c r="W30" i="4"/>
  <c r="Z30" i="4"/>
  <c r="AE30" i="4" s="1"/>
  <c r="AJ30" i="4" s="1"/>
  <c r="AO30" i="4" s="1"/>
  <c r="AT30" i="4" s="1"/>
  <c r="AE25" i="4"/>
  <c r="AJ25" i="4" s="1"/>
  <c r="AE33" i="4"/>
  <c r="AF30" i="4"/>
  <c r="W26" i="4"/>
  <c r="Z26" i="4"/>
  <c r="W33" i="4"/>
  <c r="AA33" i="4"/>
  <c r="AF33" i="4" s="1"/>
  <c r="AK33" i="4" s="1"/>
  <c r="AP33" i="4" s="1"/>
  <c r="AU33" i="4" s="1"/>
  <c r="W65" i="4"/>
  <c r="Z65" i="4"/>
  <c r="W27" i="4"/>
  <c r="Z27" i="4"/>
  <c r="W25" i="4"/>
  <c r="AA25" i="4"/>
  <c r="AF25" i="4" s="1"/>
  <c r="AK25" i="4" s="1"/>
  <c r="AP25" i="4" s="1"/>
  <c r="AU25" i="4" s="1"/>
  <c r="AZ25" i="4" s="1"/>
  <c r="BE25" i="4" s="1"/>
  <c r="AB10" i="4"/>
  <c r="AF10" i="4"/>
  <c r="AB11" i="4"/>
  <c r="AF11" i="4"/>
  <c r="AK11" i="4" s="1"/>
  <c r="AG66" i="4"/>
  <c r="W32" i="4"/>
  <c r="Z32" i="4"/>
  <c r="AB28" i="4"/>
  <c r="AE28" i="4"/>
  <c r="W12" i="4"/>
  <c r="Z12" i="4"/>
  <c r="AE29" i="4"/>
  <c r="AB29" i="4"/>
  <c r="AE66" i="4"/>
  <c r="AJ66" i="4" s="1"/>
  <c r="AB66" i="4"/>
  <c r="W11" i="4"/>
  <c r="W13" i="4"/>
  <c r="W28" i="4"/>
  <c r="W31" i="4"/>
  <c r="W10" i="4"/>
  <c r="W29" i="4"/>
  <c r="AG11" i="4" l="1"/>
  <c r="AB33" i="4"/>
  <c r="AL25" i="4"/>
  <c r="AO25" i="4"/>
  <c r="AL66" i="4"/>
  <c r="AO66" i="4"/>
  <c r="AL11" i="4"/>
  <c r="AP11" i="4"/>
  <c r="AG13" i="4"/>
  <c r="AJ13" i="4"/>
  <c r="AG28" i="4"/>
  <c r="AJ28" i="4"/>
  <c r="AG31" i="4"/>
  <c r="AJ31" i="4"/>
  <c r="AG30" i="4"/>
  <c r="AK30" i="4"/>
  <c r="AG29" i="4"/>
  <c r="AJ29" i="4"/>
  <c r="AB30" i="4"/>
  <c r="AG10" i="4"/>
  <c r="AK10" i="4"/>
  <c r="AG33" i="4"/>
  <c r="AJ33" i="4"/>
  <c r="AG25" i="4"/>
  <c r="AB32" i="4"/>
  <c r="AE32" i="4"/>
  <c r="AB65" i="4"/>
  <c r="AE65" i="4"/>
  <c r="AB12" i="4"/>
  <c r="AE12" i="4"/>
  <c r="AB25" i="4"/>
  <c r="AE26" i="4"/>
  <c r="AB26" i="4"/>
  <c r="AB27" i="4"/>
  <c r="AE27" i="4"/>
  <c r="P7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9" i="3"/>
  <c r="H26" i="3"/>
  <c r="I26" i="3" s="1"/>
  <c r="M26" i="3" s="1"/>
  <c r="H15" i="3"/>
  <c r="I15" i="3" s="1"/>
  <c r="M15" i="3" s="1"/>
  <c r="H9" i="3"/>
  <c r="I9" i="3" s="1"/>
  <c r="M9" i="3" s="1"/>
  <c r="N12" i="2"/>
  <c r="N13" i="2"/>
  <c r="N11" i="2"/>
  <c r="H31" i="3"/>
  <c r="I31" i="3" s="1"/>
  <c r="M31" i="3" s="1"/>
  <c r="AQ66" i="4" l="1"/>
  <c r="AT66" i="4"/>
  <c r="AQ25" i="4"/>
  <c r="AT25" i="4"/>
  <c r="AQ11" i="4"/>
  <c r="AU11" i="4"/>
  <c r="AL28" i="4"/>
  <c r="AO28" i="4"/>
  <c r="AL13" i="4"/>
  <c r="AO13" i="4"/>
  <c r="AL33" i="4"/>
  <c r="AO33" i="4"/>
  <c r="AL10" i="4"/>
  <c r="AP10" i="4"/>
  <c r="AL30" i="4"/>
  <c r="AP30" i="4"/>
  <c r="AL29" i="4"/>
  <c r="AO29" i="4"/>
  <c r="AL31" i="4"/>
  <c r="AO31" i="4"/>
  <c r="AG65" i="4"/>
  <c r="AJ65" i="4"/>
  <c r="AG32" i="4"/>
  <c r="AJ32" i="4"/>
  <c r="AG12" i="4"/>
  <c r="AJ12" i="4"/>
  <c r="AG27" i="4"/>
  <c r="AJ27" i="4"/>
  <c r="AG26" i="4"/>
  <c r="AJ26" i="4"/>
  <c r="K40" i="4"/>
  <c r="P40" i="4" s="1"/>
  <c r="L40" i="4"/>
  <c r="Q40" i="4" s="1"/>
  <c r="V40" i="4" s="1"/>
  <c r="AA40" i="4" s="1"/>
  <c r="K41" i="4"/>
  <c r="P41" i="4" s="1"/>
  <c r="L41" i="4"/>
  <c r="Q41" i="4" s="1"/>
  <c r="V41" i="4" s="1"/>
  <c r="AA41" i="4" s="1"/>
  <c r="AF41" i="4" s="1"/>
  <c r="AK41" i="4" s="1"/>
  <c r="K42" i="4"/>
  <c r="P42" i="4" s="1"/>
  <c r="L42" i="4"/>
  <c r="Q42" i="4" s="1"/>
  <c r="V42" i="4" s="1"/>
  <c r="AA42" i="4" s="1"/>
  <c r="AF42" i="4" s="1"/>
  <c r="AK42" i="4" s="1"/>
  <c r="K43" i="4"/>
  <c r="P43" i="4" s="1"/>
  <c r="L43" i="4"/>
  <c r="Q43" i="4" s="1"/>
  <c r="V43" i="4" s="1"/>
  <c r="AA43" i="4" s="1"/>
  <c r="AF43" i="4" s="1"/>
  <c r="AK43" i="4" s="1"/>
  <c r="K44" i="4"/>
  <c r="P44" i="4" s="1"/>
  <c r="L44" i="4"/>
  <c r="Q44" i="4" s="1"/>
  <c r="V44" i="4" s="1"/>
  <c r="AA44" i="4" s="1"/>
  <c r="AF44" i="4" s="1"/>
  <c r="AK44" i="4" s="1"/>
  <c r="K45" i="4"/>
  <c r="P45" i="4" s="1"/>
  <c r="L45" i="4"/>
  <c r="Q45" i="4" s="1"/>
  <c r="V45" i="4" s="1"/>
  <c r="AA45" i="4" s="1"/>
  <c r="AF45" i="4" s="1"/>
  <c r="AK45" i="4" s="1"/>
  <c r="K46" i="4"/>
  <c r="P46" i="4" s="1"/>
  <c r="L46" i="4"/>
  <c r="Q46" i="4" s="1"/>
  <c r="V46" i="4" s="1"/>
  <c r="AA46" i="4" s="1"/>
  <c r="AF46" i="4" s="1"/>
  <c r="AK46" i="4" s="1"/>
  <c r="K47" i="4"/>
  <c r="P47" i="4" s="1"/>
  <c r="L47" i="4"/>
  <c r="Q47" i="4" s="1"/>
  <c r="V47" i="4" s="1"/>
  <c r="AA47" i="4" s="1"/>
  <c r="AF47" i="4" s="1"/>
  <c r="AK47" i="4" s="1"/>
  <c r="K48" i="4"/>
  <c r="P48" i="4" s="1"/>
  <c r="L48" i="4"/>
  <c r="Q48" i="4" s="1"/>
  <c r="V48" i="4" s="1"/>
  <c r="AA48" i="4" s="1"/>
  <c r="AF48" i="4" s="1"/>
  <c r="AK48" i="4" s="1"/>
  <c r="K49" i="4"/>
  <c r="P49" i="4" s="1"/>
  <c r="L49" i="4"/>
  <c r="Q49" i="4" s="1"/>
  <c r="V49" i="4" s="1"/>
  <c r="AA49" i="4" s="1"/>
  <c r="AF49" i="4" s="1"/>
  <c r="AK49" i="4" s="1"/>
  <c r="K50" i="4"/>
  <c r="P50" i="4" s="1"/>
  <c r="L50" i="4"/>
  <c r="Q50" i="4" s="1"/>
  <c r="V50" i="4" s="1"/>
  <c r="AA50" i="4" s="1"/>
  <c r="AF50" i="4" s="1"/>
  <c r="AK50" i="4" s="1"/>
  <c r="K51" i="4"/>
  <c r="P51" i="4" s="1"/>
  <c r="L51" i="4"/>
  <c r="Q51" i="4" s="1"/>
  <c r="V51" i="4" s="1"/>
  <c r="AA51" i="4" s="1"/>
  <c r="K52" i="4"/>
  <c r="P52" i="4" s="1"/>
  <c r="L52" i="4"/>
  <c r="Q52" i="4" s="1"/>
  <c r="V52" i="4" s="1"/>
  <c r="AA52" i="4" s="1"/>
  <c r="AF52" i="4" s="1"/>
  <c r="AK52" i="4" s="1"/>
  <c r="K61" i="4"/>
  <c r="P61" i="4" s="1"/>
  <c r="L61" i="4"/>
  <c r="Q61" i="4" s="1"/>
  <c r="V61" i="4" s="1"/>
  <c r="AA61" i="4" s="1"/>
  <c r="AF61" i="4" s="1"/>
  <c r="AK61" i="4" s="1"/>
  <c r="AP61" i="4" s="1"/>
  <c r="AU61" i="4" s="1"/>
  <c r="AZ61" i="4" s="1"/>
  <c r="BE61" i="4" s="1"/>
  <c r="K62" i="4"/>
  <c r="P62" i="4" s="1"/>
  <c r="L62" i="4"/>
  <c r="Q62" i="4" s="1"/>
  <c r="V62" i="4" s="1"/>
  <c r="AA62" i="4" s="1"/>
  <c r="AF62" i="4" s="1"/>
  <c r="AK62" i="4" s="1"/>
  <c r="AP62" i="4" s="1"/>
  <c r="AU62" i="4" s="1"/>
  <c r="AZ62" i="4" s="1"/>
  <c r="BE62" i="4" s="1"/>
  <c r="K63" i="4"/>
  <c r="P63" i="4" s="1"/>
  <c r="L63" i="4"/>
  <c r="Q63" i="4" s="1"/>
  <c r="V63" i="4" s="1"/>
  <c r="AA63" i="4" s="1"/>
  <c r="AF63" i="4" s="1"/>
  <c r="AK63" i="4" s="1"/>
  <c r="AP63" i="4" s="1"/>
  <c r="AU63" i="4" s="1"/>
  <c r="AZ63" i="4" s="1"/>
  <c r="BE63" i="4" s="1"/>
  <c r="K64" i="4"/>
  <c r="P64" i="4" s="1"/>
  <c r="L64" i="4"/>
  <c r="Q64" i="4" s="1"/>
  <c r="V64" i="4" s="1"/>
  <c r="AA64" i="4" s="1"/>
  <c r="AF64" i="4" s="1"/>
  <c r="AK64" i="4" s="1"/>
  <c r="AP64" i="4" s="1"/>
  <c r="AU64" i="4" s="1"/>
  <c r="AZ64" i="4" s="1"/>
  <c r="BE64" i="4" s="1"/>
  <c r="H21" i="3"/>
  <c r="I21" i="3" s="1"/>
  <c r="M21" i="3" s="1"/>
  <c r="H22" i="3"/>
  <c r="I22" i="3" s="1"/>
  <c r="M22" i="3" s="1"/>
  <c r="H23" i="3"/>
  <c r="I23" i="3" s="1"/>
  <c r="M23" i="3" s="1"/>
  <c r="H24" i="3"/>
  <c r="I24" i="3" s="1"/>
  <c r="M24" i="3" s="1"/>
  <c r="H25" i="3"/>
  <c r="I25" i="3" s="1"/>
  <c r="M25" i="3" s="1"/>
  <c r="H27" i="3"/>
  <c r="I27" i="3" s="1"/>
  <c r="M27" i="3" s="1"/>
  <c r="H28" i="3"/>
  <c r="I28" i="3" s="1"/>
  <c r="M28" i="3" s="1"/>
  <c r="H29" i="3"/>
  <c r="I29" i="3" s="1"/>
  <c r="M29" i="3" s="1"/>
  <c r="H30" i="3"/>
  <c r="I30" i="3" s="1"/>
  <c r="M30" i="3" s="1"/>
  <c r="AV11" i="4" l="1"/>
  <c r="AZ11" i="4"/>
  <c r="AV25" i="4"/>
  <c r="AY25" i="4"/>
  <c r="AV66" i="4"/>
  <c r="AY66" i="4"/>
  <c r="AQ13" i="4"/>
  <c r="AT13" i="4"/>
  <c r="AQ31" i="4"/>
  <c r="AT31" i="4"/>
  <c r="AV31" i="4" s="1"/>
  <c r="AQ28" i="4"/>
  <c r="AT28" i="4"/>
  <c r="AQ29" i="4"/>
  <c r="AT29" i="4"/>
  <c r="AQ30" i="4"/>
  <c r="AU30" i="4"/>
  <c r="AV30" i="4" s="1"/>
  <c r="AQ33" i="4"/>
  <c r="AT33" i="4"/>
  <c r="AV33" i="4" s="1"/>
  <c r="AQ10" i="4"/>
  <c r="AU10" i="4"/>
  <c r="AL26" i="4"/>
  <c r="AO26" i="4"/>
  <c r="AL12" i="4"/>
  <c r="AO12" i="4"/>
  <c r="AL32" i="4"/>
  <c r="AO32" i="4"/>
  <c r="AL65" i="4"/>
  <c r="AO65" i="4"/>
  <c r="AL27" i="4"/>
  <c r="AO27" i="4"/>
  <c r="AF51" i="4"/>
  <c r="AK51" i="4" s="1"/>
  <c r="AF40" i="4"/>
  <c r="AK40" i="4" s="1"/>
  <c r="R52" i="4"/>
  <c r="U52" i="4"/>
  <c r="R44" i="4"/>
  <c r="U44" i="4"/>
  <c r="R40" i="4"/>
  <c r="U40" i="4"/>
  <c r="R51" i="4"/>
  <c r="U51" i="4"/>
  <c r="R47" i="4"/>
  <c r="U47" i="4"/>
  <c r="R43" i="4"/>
  <c r="U43" i="4"/>
  <c r="R63" i="4"/>
  <c r="U63" i="4"/>
  <c r="W46" i="4"/>
  <c r="U64" i="4"/>
  <c r="R64" i="4"/>
  <c r="R48" i="4"/>
  <c r="U48" i="4"/>
  <c r="R62" i="4"/>
  <c r="U62" i="4"/>
  <c r="R50" i="4"/>
  <c r="U50" i="4"/>
  <c r="R46" i="4"/>
  <c r="U46" i="4"/>
  <c r="Z46" i="4" s="1"/>
  <c r="R42" i="4"/>
  <c r="U42" i="4"/>
  <c r="U61" i="4"/>
  <c r="R61" i="4"/>
  <c r="U49" i="4"/>
  <c r="R49" i="4"/>
  <c r="R45" i="4"/>
  <c r="U45" i="4"/>
  <c r="U41" i="4"/>
  <c r="R41" i="4"/>
  <c r="M61" i="4"/>
  <c r="M62" i="4"/>
  <c r="M64" i="4"/>
  <c r="M49" i="4"/>
  <c r="M46" i="4"/>
  <c r="M40" i="4"/>
  <c r="M41" i="4"/>
  <c r="M63" i="4"/>
  <c r="M51" i="4"/>
  <c r="M44" i="4"/>
  <c r="M42" i="4"/>
  <c r="M47" i="4"/>
  <c r="M52" i="4"/>
  <c r="M50" i="4"/>
  <c r="M48" i="4"/>
  <c r="M45" i="4"/>
  <c r="M43" i="4"/>
  <c r="BA66" i="4" l="1"/>
  <c r="BD66" i="4"/>
  <c r="BF66" i="4" s="1"/>
  <c r="BA25" i="4"/>
  <c r="BD25" i="4"/>
  <c r="BF25" i="4" s="1"/>
  <c r="BA11" i="4"/>
  <c r="BE11" i="4"/>
  <c r="BF11" i="4" s="1"/>
  <c r="AV28" i="4"/>
  <c r="AY28" i="4"/>
  <c r="BA28" i="4" s="1"/>
  <c r="AV13" i="4"/>
  <c r="AY13" i="4"/>
  <c r="AV10" i="4"/>
  <c r="AZ10" i="4"/>
  <c r="AV29" i="4"/>
  <c r="AY29" i="4"/>
  <c r="BA29" i="4" s="1"/>
  <c r="AQ65" i="4"/>
  <c r="AT65" i="4"/>
  <c r="AQ12" i="4"/>
  <c r="AT12" i="4"/>
  <c r="AQ32" i="4"/>
  <c r="AT32" i="4"/>
  <c r="AV32" i="4" s="1"/>
  <c r="AQ27" i="4"/>
  <c r="AT27" i="4"/>
  <c r="AQ26" i="4"/>
  <c r="AT26" i="4"/>
  <c r="W61" i="4"/>
  <c r="Z61" i="4"/>
  <c r="W63" i="4"/>
  <c r="Z63" i="4"/>
  <c r="W64" i="4"/>
  <c r="Z64" i="4"/>
  <c r="W52" i="4"/>
  <c r="Z52" i="4"/>
  <c r="W40" i="4"/>
  <c r="Z40" i="4"/>
  <c r="W41" i="4"/>
  <c r="Z41" i="4"/>
  <c r="W47" i="4"/>
  <c r="Z47" i="4"/>
  <c r="AE46" i="4"/>
  <c r="AB46" i="4"/>
  <c r="W49" i="4"/>
  <c r="Z49" i="4"/>
  <c r="W42" i="4"/>
  <c r="Z42" i="4"/>
  <c r="W51" i="4"/>
  <c r="Z51" i="4"/>
  <c r="W44" i="4"/>
  <c r="Z44" i="4"/>
  <c r="W43" i="4"/>
  <c r="Z43" i="4"/>
  <c r="W50" i="4"/>
  <c r="Z50" i="4"/>
  <c r="W45" i="4"/>
  <c r="Z45" i="4"/>
  <c r="W62" i="4"/>
  <c r="Z62" i="4"/>
  <c r="W48" i="4"/>
  <c r="Z48" i="4"/>
  <c r="H20" i="3"/>
  <c r="I20" i="3" s="1"/>
  <c r="M20" i="3" s="1"/>
  <c r="H19" i="3"/>
  <c r="I19" i="3" s="1"/>
  <c r="M19" i="3" s="1"/>
  <c r="H18" i="3"/>
  <c r="I18" i="3" s="1"/>
  <c r="M18" i="3" s="1"/>
  <c r="H17" i="3"/>
  <c r="I17" i="3" s="1"/>
  <c r="M17" i="3" s="1"/>
  <c r="H16" i="3"/>
  <c r="I16" i="3" s="1"/>
  <c r="M16" i="3" s="1"/>
  <c r="H14" i="3"/>
  <c r="I14" i="3" s="1"/>
  <c r="M14" i="3" s="1"/>
  <c r="H13" i="3"/>
  <c r="I13" i="3" s="1"/>
  <c r="M13" i="3" s="1"/>
  <c r="H12" i="3"/>
  <c r="I12" i="3" s="1"/>
  <c r="M12" i="3" s="1"/>
  <c r="H11" i="3"/>
  <c r="I11" i="3" s="1"/>
  <c r="M11" i="3" s="1"/>
  <c r="H10" i="3"/>
  <c r="I10" i="3" s="1"/>
  <c r="M10" i="3" s="1"/>
  <c r="H13" i="2"/>
  <c r="I13" i="2" s="1"/>
  <c r="M13" i="2" s="1"/>
  <c r="H12" i="2"/>
  <c r="I12" i="2" s="1"/>
  <c r="M12" i="2" s="1"/>
  <c r="BA13" i="4" l="1"/>
  <c r="BD13" i="4"/>
  <c r="BF13" i="4" s="1"/>
  <c r="BA10" i="4"/>
  <c r="BE10" i="4"/>
  <c r="BF10" i="4" s="1"/>
  <c r="AV65" i="4"/>
  <c r="AY65" i="4"/>
  <c r="AV26" i="4"/>
  <c r="AY26" i="4"/>
  <c r="BA26" i="4" s="1"/>
  <c r="AV27" i="4"/>
  <c r="AY27" i="4"/>
  <c r="BA27" i="4" s="1"/>
  <c r="AV12" i="4"/>
  <c r="AY12" i="4"/>
  <c r="AG46" i="4"/>
  <c r="AJ46" i="4"/>
  <c r="AL46" i="4" s="1"/>
  <c r="AE51" i="4"/>
  <c r="AB51" i="4"/>
  <c r="AE52" i="4"/>
  <c r="AB52" i="4"/>
  <c r="AE44" i="4"/>
  <c r="AB44" i="4"/>
  <c r="AB48" i="4"/>
  <c r="AE48" i="4"/>
  <c r="AE42" i="4"/>
  <c r="AB42" i="4"/>
  <c r="AB41" i="4"/>
  <c r="AE41" i="4"/>
  <c r="AE40" i="4"/>
  <c r="AB40" i="4"/>
  <c r="AB49" i="4"/>
  <c r="AE49" i="4"/>
  <c r="AB50" i="4"/>
  <c r="AE50" i="4"/>
  <c r="AB63" i="4"/>
  <c r="AE63" i="4"/>
  <c r="AE62" i="4"/>
  <c r="AB62" i="4"/>
  <c r="AB45" i="4"/>
  <c r="AE45" i="4"/>
  <c r="AE64" i="4"/>
  <c r="AB64" i="4"/>
  <c r="AE43" i="4"/>
  <c r="AB43" i="4"/>
  <c r="AB47" i="4"/>
  <c r="AE47" i="4"/>
  <c r="AB61" i="4"/>
  <c r="AE61" i="4"/>
  <c r="BA65" i="4" l="1"/>
  <c r="BD65" i="4"/>
  <c r="BF65" i="4" s="1"/>
  <c r="BA12" i="4"/>
  <c r="BD12" i="4"/>
  <c r="BF12" i="4" s="1"/>
  <c r="AG63" i="4"/>
  <c r="AJ63" i="4"/>
  <c r="AG48" i="4"/>
  <c r="AJ48" i="4"/>
  <c r="AL48" i="4" s="1"/>
  <c r="AG61" i="4"/>
  <c r="AJ61" i="4"/>
  <c r="AG50" i="4"/>
  <c r="AJ50" i="4"/>
  <c r="AL50" i="4" s="1"/>
  <c r="AG44" i="4"/>
  <c r="AJ44" i="4"/>
  <c r="AL44" i="4" s="1"/>
  <c r="AG52" i="4"/>
  <c r="AJ52" i="4"/>
  <c r="AL52" i="4" s="1"/>
  <c r="AG51" i="4"/>
  <c r="AJ51" i="4"/>
  <c r="AL51" i="4" s="1"/>
  <c r="AG42" i="4"/>
  <c r="AJ42" i="4"/>
  <c r="AL42" i="4" s="1"/>
  <c r="AG62" i="4"/>
  <c r="AJ62" i="4"/>
  <c r="AG47" i="4"/>
  <c r="AJ47" i="4"/>
  <c r="AL47" i="4" s="1"/>
  <c r="AG49" i="4"/>
  <c r="AJ49" i="4"/>
  <c r="AL49" i="4" s="1"/>
  <c r="AG43" i="4"/>
  <c r="AJ43" i="4"/>
  <c r="AL43" i="4" s="1"/>
  <c r="AG64" i="4"/>
  <c r="AJ64" i="4"/>
  <c r="AG40" i="4"/>
  <c r="AJ40" i="4"/>
  <c r="AL40" i="4" s="1"/>
  <c r="AG45" i="4"/>
  <c r="AJ45" i="4"/>
  <c r="AL45" i="4" s="1"/>
  <c r="AG41" i="4"/>
  <c r="AJ41" i="4"/>
  <c r="AL41" i="4" s="1"/>
  <c r="AL61" i="4" l="1"/>
  <c r="AO61" i="4"/>
  <c r="AL64" i="4"/>
  <c r="AO64" i="4"/>
  <c r="AL63" i="4"/>
  <c r="AO63" i="4"/>
  <c r="AL62" i="4"/>
  <c r="AO62" i="4"/>
  <c r="AQ64" i="4" l="1"/>
  <c r="AT64" i="4"/>
  <c r="AQ62" i="4"/>
  <c r="AT62" i="4"/>
  <c r="AQ63" i="4"/>
  <c r="AT63" i="4"/>
  <c r="AQ61" i="4"/>
  <c r="AT61" i="4"/>
  <c r="AV64" i="4" l="1"/>
  <c r="AY64" i="4"/>
  <c r="AV61" i="4"/>
  <c r="AY61" i="4"/>
  <c r="AV63" i="4"/>
  <c r="AY63" i="4"/>
  <c r="AV62" i="4"/>
  <c r="AY62" i="4"/>
  <c r="BA62" i="4" l="1"/>
  <c r="BD62" i="4"/>
  <c r="BF62" i="4" s="1"/>
  <c r="BA63" i="4"/>
  <c r="BD63" i="4"/>
  <c r="BF63" i="4" s="1"/>
  <c r="BA61" i="4"/>
  <c r="BD61" i="4"/>
  <c r="BF61" i="4" s="1"/>
  <c r="BA64" i="4"/>
  <c r="BD64" i="4"/>
  <c r="BF64" i="4" s="1"/>
</calcChain>
</file>

<file path=xl/sharedStrings.xml><?xml version="1.0" encoding="utf-8"?>
<sst xmlns="http://schemas.openxmlformats.org/spreadsheetml/2006/main" count="2100" uniqueCount="252">
  <si>
    <t>Ведомость</t>
  </si>
  <si>
    <t>№ марки</t>
  </si>
  <si>
    <t>Отметка, м</t>
  </si>
  <si>
    <t>Осадка, мм</t>
  </si>
  <si>
    <t>Общая осадка, мм</t>
  </si>
  <si>
    <t>высот и осадок деформационных знаков, расположенных</t>
  </si>
  <si>
    <t>Ведомость стабильности реперной основы</t>
  </si>
  <si>
    <t>№ репера</t>
  </si>
  <si>
    <t>Техническая характеристика</t>
  </si>
  <si>
    <t>Расчетные деформации согласно ПГМ [16], мм</t>
  </si>
  <si>
    <t>X</t>
  </si>
  <si>
    <t>Y</t>
  </si>
  <si>
    <t>dX(мм)</t>
  </si>
  <si>
    <t>dY(мм)</t>
  </si>
  <si>
    <t>Вектор</t>
  </si>
  <si>
    <t xml:space="preserve">Ведомость координат и плановых перемещений </t>
  </si>
  <si>
    <t>деформационных марок, расположенных на ограждающих конструкциях котлована</t>
  </si>
  <si>
    <t>-</t>
  </si>
  <si>
    <t>Продолжение</t>
  </si>
  <si>
    <t>на инженерных коммуникациях</t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</si>
  <si>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22.04.2025</t>
    </r>
  </si>
  <si>
    <r>
      <t xml:space="preserve">Цикл № 1-й (нулевой)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01.04.2025</t>
    </r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</si>
  <si>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01.04.2025</t>
    </r>
  </si>
  <si>
    <r>
      <t xml:space="preserve">Цикл № 2-й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22.04.2025</t>
    </r>
  </si>
  <si>
    <t>Таблица 1</t>
  </si>
  <si>
    <t>Таблица 2</t>
  </si>
  <si>
    <t>нет конструкции</t>
  </si>
  <si>
    <t>нет доступа</t>
  </si>
  <si>
    <t>стены возводимого здания</t>
  </si>
  <si>
    <t>Rp1</t>
  </si>
  <si>
    <t>Rp2</t>
  </si>
  <si>
    <t>Rp3</t>
  </si>
  <si>
    <t xml:space="preserve">нет доступа в связи с возведением </t>
  </si>
  <si>
    <t>№ знака</t>
  </si>
  <si>
    <r>
      <t>Цикл № 1 (нулевой)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 xml:space="preserve"> 01.04.2025</t>
    </r>
  </si>
  <si>
    <t>ТС</t>
  </si>
  <si>
    <t>К ливн</t>
  </si>
  <si>
    <t>К хоз-быт</t>
  </si>
  <si>
    <t>В</t>
  </si>
  <si>
    <r>
      <t xml:space="preserve">Цикл № 3-й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14.05.2025</t>
    </r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</si>
  <si>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14.05.2025</t>
    </r>
  </si>
  <si>
    <r>
      <t xml:space="preserve">Цикл № 4-й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28.05.2025</t>
    </r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</si>
  <si>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28.05.2025</t>
    </r>
  </si>
  <si>
    <r>
      <t xml:space="preserve">Цикл № 2-й </t>
    </r>
    <r>
      <rPr>
        <b/>
        <sz val="12"/>
        <color indexed="62"/>
        <rFont val="Times New Roman"/>
        <family val="1"/>
        <charset val="204"/>
      </rPr>
      <t xml:space="preserve">  </t>
    </r>
    <r>
      <rPr>
        <b/>
        <sz val="12"/>
        <color rgb="FF0070C0"/>
        <rFont val="Times New Roman"/>
        <family val="1"/>
        <charset val="204"/>
      </rPr>
      <t>14.05.2025</t>
    </r>
  </si>
  <si>
    <r>
      <t>Цикл № 1-й (нулевой)</t>
    </r>
    <r>
      <rPr>
        <b/>
        <sz val="12"/>
        <color indexed="62"/>
        <rFont val="Times New Roman"/>
        <family val="1"/>
        <charset val="204"/>
      </rPr>
      <t xml:space="preserve">  </t>
    </r>
    <r>
      <rPr>
        <b/>
        <sz val="12"/>
        <color rgb="FF0070C0"/>
        <rFont val="Times New Roman"/>
        <family val="1"/>
        <charset val="204"/>
      </rPr>
      <t>01.04.2025</t>
    </r>
  </si>
  <si>
    <t>Отметка в Московской системе высот, м</t>
  </si>
  <si>
    <r>
      <t xml:space="preserve">Цикл № 5-й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16.06.2025</t>
    </r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</si>
  <si>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16.06.2025</t>
    </r>
  </si>
  <si>
    <r>
      <t xml:space="preserve">Цикл № 6-й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30.06.2025</t>
    </r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</si>
  <si>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30.06.2025</t>
    </r>
  </si>
  <si>
    <t xml:space="preserve"> - </t>
  </si>
  <si>
    <t xml:space="preserve">Ведомость высот и осадок деформационных марок, </t>
  </si>
  <si>
    <r>
      <t xml:space="preserve">Цикл "4-й"   </t>
    </r>
    <r>
      <rPr>
        <b/>
        <sz val="12"/>
        <color rgb="FF0070C0"/>
        <rFont val="Times New Roman"/>
        <family val="1"/>
        <charset val="204"/>
      </rPr>
      <t>22.11.2024г.</t>
    </r>
  </si>
  <si>
    <r>
      <t xml:space="preserve">Цикл "5-й"  </t>
    </r>
    <r>
      <rPr>
        <sz val="12"/>
        <color rgb="FF0070C0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17.12.2024г.</t>
    </r>
  </si>
  <si>
    <r>
      <t xml:space="preserve">Цикл "6-й"  </t>
    </r>
    <r>
      <rPr>
        <sz val="12"/>
        <color rgb="FF0070C0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24.01.2025г.</t>
    </r>
  </si>
  <si>
    <r>
      <t xml:space="preserve">Цикл "7-й"  </t>
    </r>
    <r>
      <rPr>
        <sz val="12"/>
        <color rgb="FF0070C0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25.02.2025г.</t>
    </r>
  </si>
  <si>
    <r>
      <t xml:space="preserve">Цикл "8-й"  </t>
    </r>
    <r>
      <rPr>
        <sz val="12"/>
        <color rgb="FF0070C0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25.03.2025г.</t>
    </r>
  </si>
  <si>
    <r>
      <t xml:space="preserve">Цикл "9-й"  </t>
    </r>
    <r>
      <rPr>
        <sz val="12"/>
        <color rgb="FF0070C0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30.04.2025г.</t>
    </r>
  </si>
  <si>
    <t>Таблица 3</t>
  </si>
  <si>
    <t>Таблица 4</t>
  </si>
  <si>
    <t>Таблица 5</t>
  </si>
  <si>
    <t>установленных на строящемся здании Корпус 3</t>
  </si>
  <si>
    <r>
      <t>Цикл № 1 (нулевой)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 xml:space="preserve"> 30.06.2025</t>
    </r>
  </si>
  <si>
    <r>
      <t xml:space="preserve">Цикл № 3-й </t>
    </r>
    <r>
      <rPr>
        <b/>
        <sz val="12"/>
        <color indexed="62"/>
        <rFont val="Times New Roman"/>
        <family val="1"/>
        <charset val="204"/>
      </rPr>
      <t xml:space="preserve">  </t>
    </r>
    <r>
      <rPr>
        <b/>
        <sz val="12"/>
        <color rgb="FF0070C0"/>
        <rFont val="Times New Roman"/>
        <family val="1"/>
        <charset val="204"/>
      </rPr>
      <t>30.06.2025</t>
    </r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</si>
  <si>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</si>
  <si>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</si>
  <si>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</si>
  <si>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</si>
  <si>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</si>
  <si>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</si>
  <si>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</si>
  <si>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</si>
  <si>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</si>
  <si>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</si>
  <si>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</si>
  <si>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</si>
  <si>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</si>
  <si>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</si>
  <si>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</si>
  <si>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</si>
  <si>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</si>
  <si>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</si>
  <si>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</si>
  <si>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</si>
  <si>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</si>
  <si>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</si>
  <si>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</si>
  <si>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3.24.</t>
  </si>
  <si>
    <t>3.25.</t>
  </si>
  <si>
    <t>3.26.</t>
  </si>
  <si>
    <t>3.27.</t>
  </si>
  <si>
    <t>установленных на строящемся здании Корпус 4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</si>
  <si>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</si>
  <si>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</si>
  <si>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</si>
  <si>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</si>
  <si>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</si>
  <si>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</si>
  <si>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</si>
  <si>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</si>
  <si>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</si>
  <si>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4.10.</t>
  </si>
  <si>
    <t>4.11.</t>
  </si>
  <si>
    <t>4.12.</t>
  </si>
  <si>
    <t>4.13.</t>
  </si>
  <si>
    <t>4.14.</t>
  </si>
  <si>
    <t>4.15.</t>
  </si>
  <si>
    <t>4.16.</t>
  </si>
  <si>
    <t>4.17.</t>
  </si>
  <si>
    <t>4.18.</t>
  </si>
  <si>
    <t>4.19.</t>
  </si>
  <si>
    <t>4.20.</t>
  </si>
  <si>
    <t>4.21.</t>
  </si>
  <si>
    <t>установленных на строящемся здании Корпус 5</t>
  </si>
  <si>
    <t>График осадок деформационных марок, установленных на строящемся здании Корпус 3</t>
  </si>
  <si>
    <t>График осадок деформационных марок, установленных на строящемся здании Корпус 4</t>
  </si>
  <si>
    <t>График осадок деформационных марок, установленных на строящемся здании Корпус 5</t>
  </si>
  <si>
    <t>5.1.</t>
  </si>
  <si>
    <t>5.2.</t>
  </si>
  <si>
    <t>5.3.</t>
  </si>
  <si>
    <t>5.4.</t>
  </si>
  <si>
    <t>5.5.</t>
  </si>
  <si>
    <t>5.6.</t>
  </si>
  <si>
    <t>5.7.</t>
  </si>
  <si>
    <t>5.8.</t>
  </si>
  <si>
    <t>5.9.</t>
  </si>
  <si>
    <t>5.10.</t>
  </si>
  <si>
    <t>5.11.</t>
  </si>
  <si>
    <t>5.12.</t>
  </si>
  <si>
    <t>5.13.</t>
  </si>
  <si>
    <t>5.14.</t>
  </si>
  <si>
    <t>5.15.</t>
  </si>
  <si>
    <t>5.16.</t>
  </si>
  <si>
    <t>5.17.</t>
  </si>
  <si>
    <t>5.18.</t>
  </si>
  <si>
    <t>5.19.</t>
  </si>
  <si>
    <t>5.20.</t>
  </si>
  <si>
    <t>5.21.</t>
  </si>
  <si>
    <t>5.22.</t>
  </si>
  <si>
    <t>5.23.</t>
  </si>
  <si>
    <t>5.24.</t>
  </si>
  <si>
    <t>5.25.</t>
  </si>
  <si>
    <t>5.26.</t>
  </si>
  <si>
    <t>5.27.</t>
  </si>
  <si>
    <t>5.28.</t>
  </si>
  <si>
    <t>5.29.</t>
  </si>
  <si>
    <t>5.30.</t>
  </si>
  <si>
    <t>5.31.</t>
  </si>
  <si>
    <t>5.32.</t>
  </si>
  <si>
    <t>5.33.</t>
  </si>
  <si>
    <t>5.34.</t>
  </si>
  <si>
    <r>
      <t xml:space="preserve">Цикл № 3-й </t>
    </r>
    <r>
      <rPr>
        <b/>
        <sz val="12"/>
        <color indexed="62"/>
        <rFont val="Times New Roman"/>
        <family val="1"/>
        <charset val="204"/>
      </rPr>
      <t xml:space="preserve">  </t>
    </r>
    <r>
      <rPr>
        <b/>
        <sz val="12"/>
        <color rgb="FF0070C0"/>
        <rFont val="Times New Roman"/>
        <family val="1"/>
        <charset val="204"/>
      </rPr>
      <t>16.06.2025</t>
    </r>
  </si>
  <si>
    <r>
      <t xml:space="preserve">Цикл № 4-й </t>
    </r>
    <r>
      <rPr>
        <b/>
        <sz val="12"/>
        <color indexed="62"/>
        <rFont val="Times New Roman"/>
        <family val="1"/>
        <charset val="204"/>
      </rPr>
      <t xml:space="preserve">  </t>
    </r>
    <r>
      <rPr>
        <b/>
        <sz val="12"/>
        <color rgb="FF0070C0"/>
        <rFont val="Times New Roman"/>
        <family val="1"/>
        <charset val="204"/>
      </rPr>
      <t>17.07.2025</t>
    </r>
  </si>
  <si>
    <r>
      <t xml:space="preserve">Цикл № 7-й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17.07.2025</t>
    </r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</si>
  <si>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17.07.2025</t>
    </r>
  </si>
  <si>
    <r>
      <t xml:space="preserve">Цикл № 8-й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31.07.2025</t>
    </r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</si>
  <si>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31.07.2025</t>
    </r>
  </si>
  <si>
    <t>новая</t>
  </si>
  <si>
    <r>
      <t>Цикл № 2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 xml:space="preserve"> 31.07.2025</t>
    </r>
  </si>
  <si>
    <t>Таблица 6</t>
  </si>
  <si>
    <t>установленных на строящемся здании Корпус 6</t>
  </si>
  <si>
    <t>6.1.</t>
  </si>
  <si>
    <t>6.2.</t>
  </si>
  <si>
    <t>6.3.</t>
  </si>
  <si>
    <t>6.4.</t>
  </si>
  <si>
    <t>6.5.</t>
  </si>
  <si>
    <t>6.6.</t>
  </si>
  <si>
    <t>6.7.</t>
  </si>
  <si>
    <t>6.8.</t>
  </si>
  <si>
    <t>6.9.</t>
  </si>
  <si>
    <t>6.10.</t>
  </si>
  <si>
    <t>6.11.</t>
  </si>
  <si>
    <t>6.12.</t>
  </si>
  <si>
    <t>6.13.</t>
  </si>
  <si>
    <t>6.14.</t>
  </si>
  <si>
    <t>6.15.</t>
  </si>
  <si>
    <t>6.16.</t>
  </si>
  <si>
    <t>6.17.</t>
  </si>
  <si>
    <t>6.18.</t>
  </si>
  <si>
    <t>6.19.</t>
  </si>
  <si>
    <t>6.20.</t>
  </si>
  <si>
    <t>6.21.</t>
  </si>
  <si>
    <t>6.22.</t>
  </si>
  <si>
    <t>6.23.</t>
  </si>
  <si>
    <t>6.24.</t>
  </si>
  <si>
    <t>6.25.</t>
  </si>
  <si>
    <t>6.26.</t>
  </si>
  <si>
    <t>6.27.</t>
  </si>
  <si>
    <t>6.28.</t>
  </si>
  <si>
    <t>6.29.</t>
  </si>
  <si>
    <t>6.30.</t>
  </si>
  <si>
    <t>6.31.</t>
  </si>
  <si>
    <t>6.32.</t>
  </si>
  <si>
    <t>6.33.</t>
  </si>
  <si>
    <t>6.34.</t>
  </si>
  <si>
    <t>6.35.</t>
  </si>
  <si>
    <t>6.36.</t>
  </si>
  <si>
    <t>6.37.</t>
  </si>
  <si>
    <t>6.38.</t>
  </si>
  <si>
    <t>6.39.</t>
  </si>
  <si>
    <t>6.40.</t>
  </si>
  <si>
    <t>6.41.</t>
  </si>
  <si>
    <t>График осадок деформационных марок, установленных на строящемся здании Корпус 6</t>
  </si>
  <si>
    <r>
      <t>Цикл № 1 (нулевой)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 xml:space="preserve"> 31.07.2025</t>
    </r>
  </si>
  <si>
    <r>
      <t xml:space="preserve">Цикл № 5-й </t>
    </r>
    <r>
      <rPr>
        <b/>
        <sz val="12"/>
        <color indexed="62"/>
        <rFont val="Times New Roman"/>
        <family val="1"/>
        <charset val="204"/>
      </rPr>
      <t xml:space="preserve">  </t>
    </r>
    <r>
      <rPr>
        <b/>
        <sz val="12"/>
        <color rgb="FF0070C0"/>
        <rFont val="Times New Roman"/>
        <family val="1"/>
        <charset val="204"/>
      </rPr>
      <t>14.08.2025</t>
    </r>
  </si>
  <si>
    <t>График осадок деформационных знаков, расположенных на инженерных коммуникациях</t>
  </si>
  <si>
    <r>
      <t xml:space="preserve">Цикл № 9-й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14.08.2025</t>
    </r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</si>
  <si>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14.08.2025</t>
    </r>
  </si>
  <si>
    <r>
      <t xml:space="preserve">Цикл № 10-й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28.08.2025</t>
    </r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</si>
  <si>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28.08.2025</t>
    </r>
  </si>
  <si>
    <r>
      <t>Цикл № 3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 xml:space="preserve"> 28.08.2025</t>
    </r>
  </si>
  <si>
    <t>3,4//3,8</t>
  </si>
  <si>
    <t>3,18//3,19</t>
  </si>
  <si>
    <t>4,4//4,9</t>
  </si>
  <si>
    <t>5,8//5,10</t>
  </si>
  <si>
    <t>5,15//5,16</t>
  </si>
  <si>
    <r>
      <t>Цикл № 2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 xml:space="preserve"> 28.08.2025</t>
    </r>
  </si>
  <si>
    <t>6,9//6,11</t>
  </si>
  <si>
    <t>Таблица 7</t>
  </si>
  <si>
    <r>
      <t>Цикл № 1 (нулевой)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 xml:space="preserve"> 28.08.2025</t>
    </r>
  </si>
  <si>
    <t>2.1.</t>
  </si>
  <si>
    <t>2.2.</t>
  </si>
  <si>
    <t>2.3.</t>
  </si>
  <si>
    <t>2.4.</t>
  </si>
  <si>
    <t>2.5.</t>
  </si>
  <si>
    <t>2.6.</t>
  </si>
  <si>
    <t>2.7.</t>
  </si>
  <si>
    <t>2.8.</t>
  </si>
  <si>
    <t>2.9.</t>
  </si>
  <si>
    <t>2.10.</t>
  </si>
  <si>
    <t>2.11.</t>
  </si>
  <si>
    <t>2.12.</t>
  </si>
  <si>
    <t>2.13.</t>
  </si>
  <si>
    <t>2.14.</t>
  </si>
  <si>
    <t>2.15.</t>
  </si>
  <si>
    <t>2.16.</t>
  </si>
  <si>
    <t>2.17.</t>
  </si>
  <si>
    <t>2.18.</t>
  </si>
  <si>
    <t>2.19.</t>
  </si>
  <si>
    <t>установленных на строящемся здании Корпус 2 Секция 3</t>
  </si>
  <si>
    <t>График осадок деформационных марок, установленных на строящемся здании Корпус 2 Секция 3</t>
  </si>
  <si>
    <t>10 циклов по Договору</t>
  </si>
  <si>
    <t xml:space="preserve">   + 4 цикла по ДС 1</t>
  </si>
  <si>
    <r>
      <t xml:space="preserve">Цикл № 6-й </t>
    </r>
    <r>
      <rPr>
        <b/>
        <sz val="12"/>
        <color indexed="62"/>
        <rFont val="Times New Roman"/>
        <family val="1"/>
        <charset val="204"/>
      </rPr>
      <t xml:space="preserve">  </t>
    </r>
    <r>
      <rPr>
        <b/>
        <sz val="12"/>
        <color rgb="FF0070C0"/>
        <rFont val="Times New Roman"/>
        <family val="1"/>
        <charset val="204"/>
      </rPr>
      <t>15.09.2025</t>
    </r>
  </si>
  <si>
    <r>
      <t xml:space="preserve">Цикл № 11-й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15.09.2025</t>
    </r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</si>
  <si>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15.09.2025</t>
    </r>
  </si>
  <si>
    <r>
      <t xml:space="preserve">Цикл № 12-й 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>29.09.2025</t>
    </r>
  </si>
  <si>
    <r>
      <t xml:space="preserve">Общие отклонения  </t>
    </r>
    <r>
      <rPr>
        <b/>
        <sz val="12"/>
        <color rgb="FF0070C0"/>
        <rFont val="Times New Roman"/>
        <family val="1"/>
        <charset val="204"/>
      </rPr>
      <t>29.09.2025</t>
    </r>
  </si>
  <si>
    <r>
      <t>Цикл № 3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 xml:space="preserve"> 29.09.2026</t>
    </r>
  </si>
  <si>
    <r>
      <t>Цикл № 2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 xml:space="preserve"> 29.09.2025</t>
    </r>
  </si>
  <si>
    <r>
      <t>Цикл № 3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 xml:space="preserve"> 29.09.2025</t>
    </r>
  </si>
  <si>
    <r>
      <t>Цикл № 4</t>
    </r>
    <r>
      <rPr>
        <b/>
        <sz val="12"/>
        <color indexed="62"/>
        <rFont val="Times New Roman"/>
        <family val="1"/>
        <charset val="204"/>
      </rPr>
      <t xml:space="preserve"> </t>
    </r>
    <r>
      <rPr>
        <b/>
        <sz val="12"/>
        <color rgb="FF0070C0"/>
        <rFont val="Times New Roman"/>
        <family val="1"/>
        <charset val="204"/>
      </rPr>
      <t xml:space="preserve"> 29.09.2025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</si>
</sst>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"/>
    <numFmt numFmtId="166" formatCode="0.000"/>
    <numFmt numFmtId="167" formatCode="#,##0.0_ ;\-#,##0.0\ "/>
    <numFmt numFmtId="168" formatCode="0.00000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indexed="6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sz val="12"/>
      <color rgb="FF00B0F0"/>
      <name val="Times New Roman"/>
      <family val="1"/>
      <charset val="204"/>
    </font>
    <font>
      <sz val="12"/>
      <color rgb="FF7030A0"/>
      <name val="Times New Roman"/>
      <family val="1"/>
      <charset val="204"/>
    </font>
    <font>
      <sz val="12"/>
      <color rgb="FFFFFF00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</cellStyleXfs>
  <cellXfs count="175">
    <xf numFmtId="0" fontId="0" fillId="0" borderId="0" xfId="0"/>
    <xf numFmtId="0" fontId="18" fillId="0" borderId="0" xfId="0" applyFont="1"/>
    <xf numFmtId="0" fontId="23" fillId="0" borderId="0" xfId="0" applyFont="1" applyFill="1" applyAlignment="1">
      <alignment horizontal="center" vertical="center"/>
    </xf>
    <xf numFmtId="0" fontId="21" fillId="33" borderId="0" xfId="0" applyFont="1" applyFill="1" applyBorder="1" applyAlignment="1">
      <alignment vertical="center"/>
    </xf>
    <xf numFmtId="0" fontId="23" fillId="0" borderId="0" xfId="0" applyFont="1" applyFill="1"/>
    <xf numFmtId="165" fontId="22" fillId="33" borderId="0" xfId="42" applyNumberFormat="1" applyFont="1" applyFill="1" applyBorder="1" applyAlignment="1">
      <alignment horizontal="center" vertical="center"/>
    </xf>
    <xf numFmtId="0" fontId="22" fillId="33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vertical="center"/>
    </xf>
    <xf numFmtId="0" fontId="23" fillId="0" borderId="0" xfId="0" applyFont="1" applyFill="1" applyBorder="1" applyAlignment="1">
      <alignment vertical="center" textRotation="90"/>
    </xf>
    <xf numFmtId="165" fontId="22" fillId="33" borderId="0" xfId="42" applyNumberFormat="1" applyFont="1" applyFill="1" applyBorder="1" applyAlignment="1">
      <alignment horizontal="center" vertical="center" wrapText="1"/>
    </xf>
    <xf numFmtId="164" fontId="22" fillId="33" borderId="11" xfId="42" applyNumberFormat="1" applyFont="1" applyFill="1" applyBorder="1" applyAlignment="1">
      <alignment horizontal="center" vertical="center" wrapText="1"/>
    </xf>
    <xf numFmtId="165" fontId="22" fillId="33" borderId="11" xfId="42" applyNumberFormat="1" applyFont="1" applyFill="1" applyBorder="1" applyAlignment="1">
      <alignment horizontal="center" vertical="center" wrapText="1"/>
    </xf>
    <xf numFmtId="164" fontId="18" fillId="0" borderId="0" xfId="0" applyNumberFormat="1" applyFont="1"/>
    <xf numFmtId="0" fontId="23" fillId="33" borderId="0" xfId="0" applyFont="1" applyFill="1" applyAlignment="1">
      <alignment horizontal="center" vertical="center"/>
    </xf>
    <xf numFmtId="0" fontId="23" fillId="33" borderId="0" xfId="0" applyFont="1" applyFill="1"/>
    <xf numFmtId="0" fontId="23" fillId="33" borderId="0" xfId="0" applyFont="1" applyFill="1" applyAlignment="1">
      <alignment horizontal="right"/>
    </xf>
    <xf numFmtId="0" fontId="23" fillId="0" borderId="0" xfId="0" applyFont="1"/>
    <xf numFmtId="0" fontId="21" fillId="0" borderId="0" xfId="0" applyFont="1" applyFill="1" applyAlignment="1">
      <alignment vertical="top"/>
    </xf>
    <xf numFmtId="0" fontId="21" fillId="0" borderId="0" xfId="0" applyFont="1" applyFill="1" applyBorder="1" applyAlignment="1"/>
    <xf numFmtId="0" fontId="23" fillId="0" borderId="0" xfId="0" applyFont="1" applyFill="1" applyBorder="1"/>
    <xf numFmtId="164" fontId="22" fillId="33" borderId="11" xfId="43" applyNumberFormat="1" applyFont="1" applyFill="1" applyBorder="1" applyAlignment="1">
      <alignment horizontal="center" vertical="center" wrapText="1"/>
    </xf>
    <xf numFmtId="165" fontId="22" fillId="33" borderId="11" xfId="43" applyNumberFormat="1" applyFont="1" applyFill="1" applyBorder="1" applyAlignment="1">
      <alignment horizontal="center" vertical="center" wrapText="1"/>
    </xf>
    <xf numFmtId="167" fontId="22" fillId="33" borderId="11" xfId="43" applyNumberFormat="1" applyFont="1" applyFill="1" applyBorder="1" applyAlignment="1">
      <alignment horizontal="center" vertical="center"/>
    </xf>
    <xf numFmtId="167" fontId="25" fillId="33" borderId="11" xfId="43" applyNumberFormat="1" applyFont="1" applyFill="1" applyBorder="1" applyAlignment="1">
      <alignment horizontal="center" vertical="center"/>
    </xf>
    <xf numFmtId="164" fontId="23" fillId="0" borderId="11" xfId="0" applyNumberFormat="1" applyFont="1" applyBorder="1" applyAlignment="1">
      <alignment horizontal="center" vertical="center"/>
    </xf>
    <xf numFmtId="0" fontId="22" fillId="33" borderId="13" xfId="43" applyNumberFormat="1" applyFont="1" applyFill="1" applyBorder="1" applyAlignment="1">
      <alignment horizontal="center" vertical="center" wrapText="1"/>
    </xf>
    <xf numFmtId="0" fontId="25" fillId="33" borderId="13" xfId="43" applyNumberFormat="1" applyFont="1" applyFill="1" applyBorder="1" applyAlignment="1">
      <alignment horizontal="center" vertical="center" wrapText="1"/>
    </xf>
    <xf numFmtId="164" fontId="25" fillId="33" borderId="11" xfId="43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vertical="top"/>
    </xf>
    <xf numFmtId="0" fontId="23" fillId="33" borderId="0" xfId="0" applyFont="1" applyFill="1" applyAlignment="1">
      <alignment horizontal="center"/>
    </xf>
    <xf numFmtId="0" fontId="21" fillId="33" borderId="11" xfId="0" applyFont="1" applyFill="1" applyBorder="1" applyAlignment="1">
      <alignment horizontal="center" vertical="center"/>
    </xf>
    <xf numFmtId="166" fontId="21" fillId="0" borderId="11" xfId="0" applyNumberFormat="1" applyFont="1" applyFill="1" applyBorder="1" applyAlignment="1">
      <alignment horizontal="center" vertical="center"/>
    </xf>
    <xf numFmtId="0" fontId="21" fillId="33" borderId="11" xfId="43" applyFont="1" applyFill="1" applyBorder="1" applyAlignment="1">
      <alignment horizontal="center" vertical="center"/>
    </xf>
    <xf numFmtId="1" fontId="22" fillId="33" borderId="11" xfId="0" applyNumberFormat="1" applyFont="1" applyFill="1" applyBorder="1" applyAlignment="1">
      <alignment horizontal="center" vertical="center"/>
    </xf>
    <xf numFmtId="166" fontId="23" fillId="0" borderId="11" xfId="0" applyNumberFormat="1" applyFont="1" applyBorder="1" applyAlignment="1">
      <alignment horizontal="center" vertical="center"/>
    </xf>
    <xf numFmtId="0" fontId="25" fillId="33" borderId="0" xfId="0" applyFont="1" applyFill="1" applyBorder="1" applyAlignment="1">
      <alignment horizontal="left" vertical="center"/>
    </xf>
    <xf numFmtId="0" fontId="22" fillId="33" borderId="0" xfId="42" applyNumberFormat="1" applyFont="1" applyFill="1" applyBorder="1" applyAlignment="1">
      <alignment vertical="center" textRotation="90" wrapText="1"/>
    </xf>
    <xf numFmtId="0" fontId="27" fillId="33" borderId="0" xfId="0" applyFont="1" applyFill="1"/>
    <xf numFmtId="166" fontId="23" fillId="0" borderId="0" xfId="0" applyNumberFormat="1" applyFont="1" applyFill="1"/>
    <xf numFmtId="166" fontId="25" fillId="33" borderId="0" xfId="0" applyNumberFormat="1" applyFont="1" applyFill="1" applyBorder="1" applyAlignment="1">
      <alignment horizontal="left" vertical="center"/>
    </xf>
    <xf numFmtId="166" fontId="23" fillId="0" borderId="0" xfId="0" applyNumberFormat="1" applyFont="1"/>
    <xf numFmtId="0" fontId="23" fillId="34" borderId="17" xfId="0" applyFont="1" applyFill="1" applyBorder="1" applyAlignment="1"/>
    <xf numFmtId="0" fontId="23" fillId="34" borderId="0" xfId="0" applyFont="1" applyFill="1" applyBorder="1" applyAlignment="1"/>
    <xf numFmtId="164" fontId="22" fillId="33" borderId="0" xfId="42" applyNumberFormat="1" applyFont="1" applyFill="1" applyBorder="1" applyAlignment="1">
      <alignment horizontal="center" vertical="center"/>
    </xf>
    <xf numFmtId="0" fontId="22" fillId="33" borderId="0" xfId="0" applyFont="1" applyFill="1" applyBorder="1" applyAlignment="1">
      <alignment horizontal="center" vertical="center"/>
    </xf>
    <xf numFmtId="0" fontId="27" fillId="33" borderId="0" xfId="0" applyFont="1" applyFill="1" applyAlignment="1">
      <alignment horizontal="right"/>
    </xf>
    <xf numFmtId="0" fontId="23" fillId="33" borderId="0" xfId="0" applyFont="1" applyFill="1" applyAlignment="1">
      <alignment horizontal="center"/>
    </xf>
    <xf numFmtId="166" fontId="21" fillId="33" borderId="11" xfId="0" applyNumberFormat="1" applyFont="1" applyFill="1" applyBorder="1" applyAlignment="1">
      <alignment horizontal="center" vertical="center"/>
    </xf>
    <xf numFmtId="166" fontId="23" fillId="33" borderId="11" xfId="0" applyNumberFormat="1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/>
    </xf>
    <xf numFmtId="164" fontId="22" fillId="34" borderId="11" xfId="42" applyNumberFormat="1" applyFont="1" applyFill="1" applyBorder="1" applyAlignment="1">
      <alignment horizontal="center" vertical="center"/>
    </xf>
    <xf numFmtId="165" fontId="22" fillId="34" borderId="11" xfId="42" applyNumberFormat="1" applyFont="1" applyFill="1" applyBorder="1" applyAlignment="1">
      <alignment horizontal="center" vertical="center"/>
    </xf>
    <xf numFmtId="164" fontId="23" fillId="34" borderId="11" xfId="0" applyNumberFormat="1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23" fillId="35" borderId="11" xfId="0" applyFont="1" applyFill="1" applyBorder="1" applyAlignment="1">
      <alignment horizontal="center"/>
    </xf>
    <xf numFmtId="164" fontId="22" fillId="35" borderId="11" xfId="42" applyNumberFormat="1" applyFont="1" applyFill="1" applyBorder="1" applyAlignment="1">
      <alignment horizontal="center" vertical="center"/>
    </xf>
    <xf numFmtId="165" fontId="22" fillId="35" borderId="11" xfId="42" applyNumberFormat="1" applyFont="1" applyFill="1" applyBorder="1" applyAlignment="1">
      <alignment horizontal="center" vertical="center"/>
    </xf>
    <xf numFmtId="0" fontId="22" fillId="35" borderId="11" xfId="0" applyFont="1" applyFill="1" applyBorder="1" applyAlignment="1">
      <alignment horizontal="center" vertical="center"/>
    </xf>
    <xf numFmtId="164" fontId="23" fillId="35" borderId="11" xfId="0" applyNumberFormat="1" applyFont="1" applyFill="1" applyBorder="1" applyAlignment="1">
      <alignment horizontal="center" vertical="center"/>
    </xf>
    <xf numFmtId="0" fontId="23" fillId="36" borderId="11" xfId="0" applyFont="1" applyFill="1" applyBorder="1" applyAlignment="1">
      <alignment horizontal="center"/>
    </xf>
    <xf numFmtId="164" fontId="22" fillId="36" borderId="11" xfId="42" applyNumberFormat="1" applyFont="1" applyFill="1" applyBorder="1" applyAlignment="1">
      <alignment horizontal="center" vertical="center"/>
    </xf>
    <xf numFmtId="165" fontId="22" fillId="36" borderId="11" xfId="42" applyNumberFormat="1" applyFont="1" applyFill="1" applyBorder="1" applyAlignment="1">
      <alignment horizontal="center" vertical="center"/>
    </xf>
    <xf numFmtId="0" fontId="22" fillId="36" borderId="11" xfId="0" applyFont="1" applyFill="1" applyBorder="1" applyAlignment="1">
      <alignment horizontal="center" vertical="center"/>
    </xf>
    <xf numFmtId="0" fontId="23" fillId="37" borderId="11" xfId="0" applyFont="1" applyFill="1" applyBorder="1" applyAlignment="1">
      <alignment horizontal="center"/>
    </xf>
    <xf numFmtId="164" fontId="22" fillId="37" borderId="11" xfId="42" applyNumberFormat="1" applyFont="1" applyFill="1" applyBorder="1" applyAlignment="1">
      <alignment horizontal="center" vertical="center"/>
    </xf>
    <xf numFmtId="165" fontId="22" fillId="37" borderId="11" xfId="42" applyNumberFormat="1" applyFont="1" applyFill="1" applyBorder="1" applyAlignment="1">
      <alignment horizontal="center" vertical="center"/>
    </xf>
    <xf numFmtId="0" fontId="22" fillId="37" borderId="11" xfId="0" applyFont="1" applyFill="1" applyBorder="1" applyAlignment="1">
      <alignment horizontal="center" vertical="center"/>
    </xf>
    <xf numFmtId="164" fontId="23" fillId="37" borderId="11" xfId="0" applyNumberFormat="1" applyFont="1" applyFill="1" applyBorder="1" applyAlignment="1">
      <alignment horizontal="center" vertical="center"/>
    </xf>
    <xf numFmtId="164" fontId="27" fillId="34" borderId="11" xfId="0" applyNumberFormat="1" applyFont="1" applyFill="1" applyBorder="1" applyAlignment="1">
      <alignment horizontal="center" vertical="center"/>
    </xf>
    <xf numFmtId="164" fontId="27" fillId="35" borderId="11" xfId="42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66" fontId="23" fillId="0" borderId="11" xfId="0" applyNumberFormat="1" applyFont="1" applyFill="1" applyBorder="1" applyAlignment="1">
      <alignment horizontal="center" vertical="center"/>
    </xf>
    <xf numFmtId="1" fontId="22" fillId="0" borderId="11" xfId="0" applyNumberFormat="1" applyFont="1" applyFill="1" applyBorder="1" applyAlignment="1">
      <alignment horizontal="center" vertical="center"/>
    </xf>
    <xf numFmtId="164" fontId="27" fillId="0" borderId="11" xfId="0" applyNumberFormat="1" applyFont="1" applyBorder="1" applyAlignment="1">
      <alignment horizontal="center" vertical="center"/>
    </xf>
    <xf numFmtId="0" fontId="30" fillId="33" borderId="0" xfId="0" applyFont="1" applyFill="1"/>
    <xf numFmtId="164" fontId="30" fillId="33" borderId="0" xfId="0" applyNumberFormat="1" applyFont="1" applyFill="1"/>
    <xf numFmtId="0" fontId="30" fillId="33" borderId="0" xfId="0" applyFont="1" applyFill="1" applyAlignment="1">
      <alignment horizontal="right"/>
    </xf>
    <xf numFmtId="0" fontId="30" fillId="0" borderId="0" xfId="0" applyFont="1"/>
    <xf numFmtId="0" fontId="30" fillId="33" borderId="0" xfId="0" applyFont="1" applyFill="1" applyAlignment="1">
      <alignment horizontal="center"/>
    </xf>
    <xf numFmtId="0" fontId="30" fillId="33" borderId="0" xfId="0" applyFont="1" applyFill="1" applyBorder="1" applyAlignment="1">
      <alignment horizontal="center"/>
    </xf>
    <xf numFmtId="0" fontId="31" fillId="0" borderId="0" xfId="0" applyFont="1"/>
    <xf numFmtId="0" fontId="22" fillId="33" borderId="0" xfId="42" applyFont="1" applyFill="1" applyBorder="1" applyAlignment="1">
      <alignment horizontal="center" vertical="center" textRotation="90" wrapText="1"/>
    </xf>
    <xf numFmtId="0" fontId="22" fillId="33" borderId="11" xfId="42" applyFont="1" applyFill="1" applyBorder="1" applyAlignment="1">
      <alignment horizontal="center" vertical="center" wrapText="1"/>
    </xf>
    <xf numFmtId="14" fontId="30" fillId="0" borderId="0" xfId="0" applyNumberFormat="1" applyFont="1"/>
    <xf numFmtId="164" fontId="23" fillId="33" borderId="11" xfId="0" applyNumberFormat="1" applyFont="1" applyFill="1" applyBorder="1" applyAlignment="1">
      <alignment horizontal="center" vertical="center"/>
    </xf>
    <xf numFmtId="167" fontId="23" fillId="33" borderId="11" xfId="0" applyNumberFormat="1" applyFont="1" applyFill="1" applyBorder="1" applyAlignment="1">
      <alignment horizontal="center" vertical="center" wrapText="1"/>
    </xf>
    <xf numFmtId="164" fontId="23" fillId="33" borderId="11" xfId="0" applyNumberFormat="1" applyFont="1" applyFill="1" applyBorder="1" applyAlignment="1">
      <alignment horizontal="center" vertical="center" wrapText="1"/>
    </xf>
    <xf numFmtId="0" fontId="23" fillId="33" borderId="0" xfId="0" applyFont="1" applyFill="1" applyBorder="1" applyAlignment="1">
      <alignment horizontal="center" vertical="center" wrapText="1"/>
    </xf>
    <xf numFmtId="16" fontId="23" fillId="33" borderId="0" xfId="0" applyNumberFormat="1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/>
    </xf>
    <xf numFmtId="168" fontId="30" fillId="0" borderId="0" xfId="0" applyNumberFormat="1" applyFont="1"/>
    <xf numFmtId="164" fontId="23" fillId="0" borderId="0" xfId="0" applyNumberFormat="1" applyFont="1" applyBorder="1" applyAlignment="1">
      <alignment horizontal="center" vertical="center"/>
    </xf>
    <xf numFmtId="167" fontId="23" fillId="33" borderId="0" xfId="0" applyNumberFormat="1" applyFont="1" applyFill="1" applyBorder="1" applyAlignment="1">
      <alignment horizontal="center" vertical="center" wrapText="1"/>
    </xf>
    <xf numFmtId="164" fontId="23" fillId="33" borderId="0" xfId="0" applyNumberFormat="1" applyFont="1" applyFill="1" applyBorder="1" applyAlignment="1">
      <alignment horizontal="center" vertical="center"/>
    </xf>
    <xf numFmtId="164" fontId="23" fillId="33" borderId="0" xfId="0" applyNumberFormat="1" applyFont="1" applyFill="1" applyBorder="1" applyAlignment="1">
      <alignment horizontal="center" vertical="center" wrapText="1"/>
    </xf>
    <xf numFmtId="165" fontId="23" fillId="33" borderId="11" xfId="0" applyNumberFormat="1" applyFont="1" applyFill="1" applyBorder="1" applyAlignment="1">
      <alignment horizontal="center" vertical="center" wrapText="1"/>
    </xf>
    <xf numFmtId="17" fontId="23" fillId="33" borderId="1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22" fillId="33" borderId="0" xfId="42" applyNumberFormat="1" applyFont="1" applyFill="1" applyBorder="1" applyAlignment="1">
      <alignment horizontal="center" vertical="center" wrapText="1"/>
    </xf>
    <xf numFmtId="164" fontId="23" fillId="0" borderId="0" xfId="0" applyNumberFormat="1" applyFont="1" applyFill="1" applyBorder="1" applyAlignment="1">
      <alignment vertical="center"/>
    </xf>
    <xf numFmtId="164" fontId="22" fillId="34" borderId="11" xfId="0" applyNumberFormat="1" applyFont="1" applyFill="1" applyBorder="1" applyAlignment="1">
      <alignment horizontal="center" vertical="center"/>
    </xf>
    <xf numFmtId="164" fontId="22" fillId="35" borderId="11" xfId="0" applyNumberFormat="1" applyFont="1" applyFill="1" applyBorder="1" applyAlignment="1">
      <alignment horizontal="center" vertical="center"/>
    </xf>
    <xf numFmtId="164" fontId="22" fillId="37" borderId="11" xfId="0" applyNumberFormat="1" applyFont="1" applyFill="1" applyBorder="1" applyAlignment="1">
      <alignment horizontal="center" vertical="center"/>
    </xf>
    <xf numFmtId="164" fontId="23" fillId="0" borderId="0" xfId="0" applyNumberFormat="1" applyFont="1" applyFill="1" applyBorder="1"/>
    <xf numFmtId="164" fontId="33" fillId="35" borderId="11" xfId="42" applyNumberFormat="1" applyFont="1" applyFill="1" applyBorder="1" applyAlignment="1">
      <alignment horizontal="center" vertical="center"/>
    </xf>
    <xf numFmtId="164" fontId="33" fillId="36" borderId="11" xfId="42" applyNumberFormat="1" applyFont="1" applyFill="1" applyBorder="1" applyAlignment="1">
      <alignment horizontal="center" vertical="center"/>
    </xf>
    <xf numFmtId="164" fontId="34" fillId="36" borderId="11" xfId="42" applyNumberFormat="1" applyFont="1" applyFill="1" applyBorder="1" applyAlignment="1">
      <alignment horizontal="center" vertical="center"/>
    </xf>
    <xf numFmtId="164" fontId="35" fillId="37" borderId="11" xfId="42" applyNumberFormat="1" applyFont="1" applyFill="1" applyBorder="1" applyAlignment="1">
      <alignment horizontal="center" vertical="center"/>
    </xf>
    <xf numFmtId="164" fontId="35" fillId="35" borderId="11" xfId="0" applyNumberFormat="1" applyFont="1" applyFill="1" applyBorder="1" applyAlignment="1">
      <alignment horizontal="center" vertical="center"/>
    </xf>
    <xf numFmtId="166" fontId="23" fillId="33" borderId="0" xfId="0" applyNumberFormat="1" applyFont="1" applyFill="1"/>
    <xf numFmtId="164" fontId="23" fillId="33" borderId="0" xfId="0" applyNumberFormat="1" applyFont="1" applyFill="1"/>
    <xf numFmtId="164" fontId="23" fillId="0" borderId="0" xfId="0" applyNumberFormat="1" applyFont="1" applyFill="1"/>
    <xf numFmtId="166" fontId="22" fillId="0" borderId="11" xfId="0" applyNumberFormat="1" applyFont="1" applyFill="1" applyBorder="1" applyAlignment="1">
      <alignment horizontal="center" vertical="center"/>
    </xf>
    <xf numFmtId="166" fontId="22" fillId="33" borderId="11" xfId="0" applyNumberFormat="1" applyFont="1" applyFill="1" applyBorder="1" applyAlignment="1">
      <alignment horizontal="center" vertical="center"/>
    </xf>
    <xf numFmtId="1" fontId="25" fillId="0" borderId="11" xfId="0" applyNumberFormat="1" applyFont="1" applyFill="1" applyBorder="1" applyAlignment="1">
      <alignment horizontal="center" vertical="center"/>
    </xf>
    <xf numFmtId="167" fontId="36" fillId="33" borderId="11" xfId="0" applyNumberFormat="1" applyFont="1" applyFill="1" applyBorder="1" applyAlignment="1">
      <alignment horizontal="center" vertical="center" wrapText="1"/>
    </xf>
    <xf numFmtId="2" fontId="30" fillId="0" borderId="0" xfId="0" applyNumberFormat="1" applyFont="1"/>
    <xf numFmtId="0" fontId="23" fillId="33" borderId="11" xfId="0" applyFont="1" applyFill="1" applyBorder="1" applyAlignment="1">
      <alignment horizontal="center"/>
    </xf>
    <xf numFmtId="164" fontId="22" fillId="33" borderId="11" xfId="42" applyNumberFormat="1" applyFont="1" applyFill="1" applyBorder="1" applyAlignment="1">
      <alignment horizontal="center" vertical="center"/>
    </xf>
    <xf numFmtId="165" fontId="22" fillId="33" borderId="11" xfId="42" applyNumberFormat="1" applyFont="1" applyFill="1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/>
    </xf>
    <xf numFmtId="164" fontId="22" fillId="33" borderId="11" xfId="0" applyNumberFormat="1" applyFont="1" applyFill="1" applyBorder="1" applyAlignment="1">
      <alignment horizontal="center" vertical="center"/>
    </xf>
    <xf numFmtId="0" fontId="30" fillId="33" borderId="0" xfId="0" applyFont="1" applyFill="1" applyAlignment="1">
      <alignment horizontal="center"/>
    </xf>
    <xf numFmtId="14" fontId="23" fillId="0" borderId="0" xfId="0" applyNumberFormat="1" applyFont="1"/>
    <xf numFmtId="0" fontId="27" fillId="34" borderId="0" xfId="0" applyFont="1" applyFill="1"/>
    <xf numFmtId="0" fontId="23" fillId="33" borderId="11" xfId="0" applyFont="1" applyFill="1" applyBorder="1" applyAlignment="1">
      <alignment horizontal="center" vertical="center" wrapText="1"/>
    </xf>
    <xf numFmtId="165" fontId="25" fillId="33" borderId="11" xfId="42" applyNumberFormat="1" applyFont="1" applyFill="1" applyBorder="1" applyAlignment="1">
      <alignment horizontal="center" vertical="center"/>
    </xf>
    <xf numFmtId="164" fontId="30" fillId="0" borderId="0" xfId="0" applyNumberFormat="1" applyFont="1"/>
    <xf numFmtId="0" fontId="21" fillId="33" borderId="0" xfId="0" applyFont="1" applyFill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22" fillId="33" borderId="12" xfId="42" applyNumberFormat="1" applyFont="1" applyFill="1" applyBorder="1" applyAlignment="1">
      <alignment horizontal="center" vertical="center" textRotation="90" wrapText="1"/>
    </xf>
    <xf numFmtId="0" fontId="22" fillId="33" borderId="13" xfId="42" applyNumberFormat="1" applyFont="1" applyFill="1" applyBorder="1" applyAlignment="1">
      <alignment horizontal="center" vertical="center" textRotation="90" wrapText="1"/>
    </xf>
    <xf numFmtId="0" fontId="22" fillId="33" borderId="14" xfId="42" applyNumberFormat="1" applyFont="1" applyFill="1" applyBorder="1" applyAlignment="1">
      <alignment horizontal="center" vertical="center" wrapText="1"/>
    </xf>
    <xf numFmtId="0" fontId="22" fillId="33" borderId="15" xfId="42" applyNumberFormat="1" applyFont="1" applyFill="1" applyBorder="1" applyAlignment="1">
      <alignment horizontal="center" vertical="center" wrapText="1"/>
    </xf>
    <xf numFmtId="0" fontId="22" fillId="33" borderId="16" xfId="42" applyNumberFormat="1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textRotation="90"/>
    </xf>
    <xf numFmtId="166" fontId="23" fillId="0" borderId="14" xfId="0" applyNumberFormat="1" applyFont="1" applyFill="1" applyBorder="1" applyAlignment="1">
      <alignment horizontal="center" vertical="center"/>
    </xf>
    <xf numFmtId="166" fontId="23" fillId="0" borderId="16" xfId="0" applyNumberFormat="1" applyFont="1" applyFill="1" applyBorder="1" applyAlignment="1">
      <alignment horizontal="center" vertical="center"/>
    </xf>
    <xf numFmtId="166" fontId="22" fillId="33" borderId="14" xfId="42" applyNumberFormat="1" applyFont="1" applyFill="1" applyBorder="1" applyAlignment="1">
      <alignment horizontal="center" vertical="center" wrapText="1"/>
    </xf>
    <xf numFmtId="166" fontId="22" fillId="33" borderId="15" xfId="42" applyNumberFormat="1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166" fontId="22" fillId="0" borderId="14" xfId="0" applyNumberFormat="1" applyFont="1" applyFill="1" applyBorder="1" applyAlignment="1">
      <alignment horizontal="center" vertical="center"/>
    </xf>
    <xf numFmtId="166" fontId="22" fillId="0" borderId="16" xfId="0" applyNumberFormat="1" applyFont="1" applyFill="1" applyBorder="1" applyAlignment="1">
      <alignment horizontal="center" vertical="center"/>
    </xf>
    <xf numFmtId="166" fontId="22" fillId="33" borderId="14" xfId="0" applyNumberFormat="1" applyFont="1" applyFill="1" applyBorder="1" applyAlignment="1">
      <alignment horizontal="center" vertical="center"/>
    </xf>
    <xf numFmtId="166" fontId="22" fillId="33" borderId="16" xfId="0" applyNumberFormat="1" applyFont="1" applyFill="1" applyBorder="1" applyAlignment="1">
      <alignment horizontal="center" vertical="center"/>
    </xf>
    <xf numFmtId="0" fontId="23" fillId="34" borderId="17" xfId="0" applyFont="1" applyFill="1" applyBorder="1" applyAlignment="1">
      <alignment horizontal="center"/>
    </xf>
    <xf numFmtId="0" fontId="23" fillId="34" borderId="0" xfId="0" applyFont="1" applyFill="1" applyBorder="1" applyAlignment="1">
      <alignment horizontal="center"/>
    </xf>
    <xf numFmtId="166" fontId="23" fillId="33" borderId="14" xfId="0" applyNumberFormat="1" applyFont="1" applyFill="1" applyBorder="1" applyAlignment="1">
      <alignment horizontal="center" vertical="center"/>
    </xf>
    <xf numFmtId="166" fontId="23" fillId="33" borderId="16" xfId="0" applyNumberFormat="1" applyFont="1" applyFill="1" applyBorder="1" applyAlignment="1">
      <alignment horizontal="center" vertical="center"/>
    </xf>
    <xf numFmtId="166" fontId="23" fillId="0" borderId="14" xfId="0" applyNumberFormat="1" applyFont="1" applyBorder="1" applyAlignment="1">
      <alignment horizontal="center" vertical="center"/>
    </xf>
    <xf numFmtId="166" fontId="23" fillId="0" borderId="16" xfId="0" applyNumberFormat="1" applyFont="1" applyBorder="1" applyAlignment="1">
      <alignment horizontal="center" vertical="center"/>
    </xf>
    <xf numFmtId="0" fontId="22" fillId="33" borderId="0" xfId="0" applyFont="1" applyFill="1" applyBorder="1" applyAlignment="1">
      <alignment horizontal="center" vertical="center"/>
    </xf>
    <xf numFmtId="0" fontId="21" fillId="33" borderId="14" xfId="0" applyFont="1" applyFill="1" applyBorder="1" applyAlignment="1">
      <alignment horizontal="center" vertical="center"/>
    </xf>
    <xf numFmtId="0" fontId="21" fillId="33" borderId="15" xfId="0" applyFont="1" applyFill="1" applyBorder="1" applyAlignment="1">
      <alignment horizontal="center" vertical="center"/>
    </xf>
    <xf numFmtId="0" fontId="21" fillId="33" borderId="16" xfId="0" applyFont="1" applyFill="1" applyBorder="1" applyAlignment="1">
      <alignment horizontal="center" vertical="center"/>
    </xf>
    <xf numFmtId="0" fontId="22" fillId="33" borderId="12" xfId="0" applyFont="1" applyFill="1" applyBorder="1" applyAlignment="1">
      <alignment horizontal="center" vertical="center" textRotation="90" wrapText="1"/>
    </xf>
    <xf numFmtId="0" fontId="22" fillId="33" borderId="13" xfId="0" applyFont="1" applyFill="1" applyBorder="1" applyAlignment="1">
      <alignment horizontal="center" vertical="center" textRotation="90" wrapText="1"/>
    </xf>
    <xf numFmtId="166" fontId="22" fillId="0" borderId="14" xfId="42" applyNumberFormat="1" applyFont="1" applyFill="1" applyBorder="1" applyAlignment="1">
      <alignment horizontal="center" vertical="center" wrapText="1"/>
    </xf>
    <xf numFmtId="166" fontId="22" fillId="0" borderId="15" xfId="42" applyNumberFormat="1" applyFont="1" applyFill="1" applyBorder="1" applyAlignment="1">
      <alignment horizontal="center" vertical="center" wrapText="1"/>
    </xf>
    <xf numFmtId="0" fontId="22" fillId="0" borderId="14" xfId="42" applyNumberFormat="1" applyFont="1" applyFill="1" applyBorder="1" applyAlignment="1">
      <alignment horizontal="center" vertical="center" wrapText="1"/>
    </xf>
    <xf numFmtId="0" fontId="22" fillId="0" borderId="15" xfId="42" applyNumberFormat="1" applyFont="1" applyFill="1" applyBorder="1" applyAlignment="1">
      <alignment horizontal="center" vertical="center" wrapText="1"/>
    </xf>
    <xf numFmtId="0" fontId="23" fillId="33" borderId="14" xfId="0" applyFont="1" applyFill="1" applyBorder="1" applyAlignment="1">
      <alignment horizontal="center" vertical="center" wrapText="1"/>
    </xf>
    <xf numFmtId="0" fontId="23" fillId="33" borderId="15" xfId="0" applyFont="1" applyFill="1" applyBorder="1" applyAlignment="1">
      <alignment horizontal="center" vertical="center" wrapText="1"/>
    </xf>
    <xf numFmtId="0" fontId="23" fillId="33" borderId="16" xfId="0" applyFont="1" applyFill="1" applyBorder="1" applyAlignment="1">
      <alignment horizontal="center" vertical="center" wrapText="1"/>
    </xf>
    <xf numFmtId="0" fontId="22" fillId="33" borderId="12" xfId="42" applyFont="1" applyFill="1" applyBorder="1" applyAlignment="1">
      <alignment horizontal="center" vertical="center" textRotation="90" wrapText="1"/>
    </xf>
    <xf numFmtId="0" fontId="22" fillId="33" borderId="13" xfId="42" applyFont="1" applyFill="1" applyBorder="1" applyAlignment="1">
      <alignment horizontal="center" vertical="center" textRotation="90" wrapText="1"/>
    </xf>
    <xf numFmtId="0" fontId="30" fillId="33" borderId="0" xfId="0" applyFont="1" applyFill="1" applyAlignment="1">
      <alignment horizontal="center" vertical="center"/>
    </xf>
    <xf numFmtId="0" fontId="30" fillId="33" borderId="10" xfId="0" applyFont="1" applyFill="1" applyBorder="1" applyAlignment="1">
      <alignment horizontal="center" vertical="center"/>
    </xf>
    <xf numFmtId="0" fontId="22" fillId="33" borderId="11" xfId="42" applyFont="1" applyFill="1" applyBorder="1" applyAlignment="1">
      <alignment horizontal="center" vertical="center" textRotation="90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0" xfId="0" applyFont="1" applyFill="1" applyAlignment="1">
      <alignment horizontal="center"/>
    </xf>
    <xf numFmtId="0" fontId="22" fillId="33" borderId="12" xfId="43" applyFont="1" applyFill="1" applyBorder="1" applyAlignment="1">
      <alignment horizontal="center" vertical="center" textRotation="90" wrapText="1"/>
    </xf>
    <xf numFmtId="0" fontId="22" fillId="33" borderId="13" xfId="43" applyFont="1" applyFill="1" applyBorder="1" applyAlignment="1">
      <alignment horizontal="center" vertical="center" textRotation="90" wrapText="1"/>
    </xf>
  </cellXfs>
  <cellStyles count="44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_Лист1" xfId="42" xr:uid="{00000000-0005-0000-0000-000024000000}"/>
    <cellStyle name="Обычный_Лист1 2" xfId="43" xr:uid="{00000000-0005-0000-0000-000025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colors>
    <mruColors>
      <color rgb="FF41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'инженерка нов'!$Z$7</c:f>
          <c:strCache>
            <c:ptCount val="1"/>
            <c:pt idx="0">
              <c:v>График осадок деформационных знаков, расположенных на инженерных коммуникациях</c:v>
            </c:pt>
          </c:strCache>
        </c:strRef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'инженерка нов'!$Z$9</c:f>
              <c:strCache>
                <c:ptCount val="1"/>
                <c:pt idx="0">
                  <c:v>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нов'!$AA$9:$AF$9</c:f>
              <c:numCache>
                <c:formatCode>General</c:formatCode>
                <c:ptCount val="6"/>
                <c:pt idx="0">
                  <c:v>0</c:v>
                </c:pt>
                <c:pt idx="1">
                  <c:v>0.10000000000331966</c:v>
                </c:pt>
                <c:pt idx="2">
                  <c:v>0.20000000000663931</c:v>
                </c:pt>
                <c:pt idx="3">
                  <c:v>-0.90000000000145519</c:v>
                </c:pt>
                <c:pt idx="4">
                  <c:v>-1.90000000000623</c:v>
                </c:pt>
                <c:pt idx="5">
                  <c:v>-3.5000000000025011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3E-4667-8263-CF2639C922F1}"/>
            </c:ext>
          </c:extLst>
        </c:ser>
        <c:ser>
          <c:idx val="1"/>
          <c:order val="1"/>
          <c:tx>
            <c:strRef>
              <c:f>'инженерка нов'!$Z$10</c:f>
              <c:strCache>
                <c:ptCount val="1"/>
                <c:pt idx="0">
                  <c:v>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нов'!$AA$10:$AF$10</c:f>
              <c:numCache>
                <c:formatCode>General</c:formatCode>
                <c:ptCount val="6"/>
                <c:pt idx="0">
                  <c:v>0</c:v>
                </c:pt>
                <c:pt idx="1">
                  <c:v>-0.40000000001327862</c:v>
                </c:pt>
                <c:pt idx="2">
                  <c:v>0</c:v>
                </c:pt>
                <c:pt idx="3">
                  <c:v>0.30000000000995897</c:v>
                </c:pt>
                <c:pt idx="4">
                  <c:v>1.90000000000623</c:v>
                </c:pt>
                <c:pt idx="5">
                  <c:v>2.7000000000043656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3E-4667-8263-CF2639C922F1}"/>
            </c:ext>
          </c:extLst>
        </c:ser>
        <c:ser>
          <c:idx val="2"/>
          <c:order val="2"/>
          <c:tx>
            <c:strRef>
              <c:f>'инженерка нов'!$Z$11</c:f>
              <c:strCache>
                <c:ptCount val="1"/>
                <c:pt idx="0">
                  <c:v>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нов'!$AA$11:$AF$11</c:f>
              <c:numCache>
                <c:formatCode>General</c:formatCode>
                <c:ptCount val="6"/>
                <c:pt idx="0">
                  <c:v>0</c:v>
                </c:pt>
                <c:pt idx="1">
                  <c:v>-0.20000000000663931</c:v>
                </c:pt>
                <c:pt idx="2">
                  <c:v>0.79999999999813554</c:v>
                </c:pt>
                <c:pt idx="3">
                  <c:v>1.4999999999929514</c:v>
                </c:pt>
                <c:pt idx="4">
                  <c:v>1.90000000000623</c:v>
                </c:pt>
                <c:pt idx="5">
                  <c:v>3.0000000000143245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3E-4667-8263-CF2639C922F1}"/>
            </c:ext>
          </c:extLst>
        </c:ser>
        <c:ser>
          <c:idx val="3"/>
          <c:order val="3"/>
          <c:tx>
            <c:strRef>
              <c:f>'инженерка нов'!$Z$12</c:f>
              <c:strCache>
                <c:ptCount val="1"/>
                <c:pt idx="0">
                  <c:v>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нов'!$AA$12:$AF$12</c:f>
              <c:numCache>
                <c:formatCode>General</c:formatCode>
                <c:ptCount val="6"/>
                <c:pt idx="0">
                  <c:v>0</c:v>
                </c:pt>
                <c:pt idx="1">
                  <c:v>-0.10000000000331966</c:v>
                </c:pt>
                <c:pt idx="2">
                  <c:v>-0.90000000000145519</c:v>
                </c:pt>
                <c:pt idx="3">
                  <c:v>-0.69999999999481588</c:v>
                </c:pt>
                <c:pt idx="4">
                  <c:v>-2.1000000000128694</c:v>
                </c:pt>
                <c:pt idx="5">
                  <c:v>-3.0999999999892225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A3E-4667-8263-CF2639C922F1}"/>
            </c:ext>
          </c:extLst>
        </c:ser>
        <c:ser>
          <c:idx val="4"/>
          <c:order val="4"/>
          <c:tx>
            <c:strRef>
              <c:f>'инженерка нов'!$Z$13</c:f>
              <c:strCache>
                <c:ptCount val="1"/>
                <c:pt idx="0">
                  <c:v>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нов'!$AA$13:$AF$13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0.39999999998485691</c:v>
                </c:pt>
                <c:pt idx="3">
                  <c:v>-0.50000000001659828</c:v>
                </c:pt>
                <c:pt idx="4">
                  <c:v>-0.79999999999813554</c:v>
                </c:pt>
                <c:pt idx="5">
                  <c:v>-1.3000000000147338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3E-4667-8263-CF2639C922F1}"/>
            </c:ext>
          </c:extLst>
        </c:ser>
        <c:ser>
          <c:idx val="5"/>
          <c:order val="5"/>
          <c:tx>
            <c:strRef>
              <c:f>'инженерка нов'!$Z$14</c:f>
              <c:strCache>
                <c:ptCount val="1"/>
                <c:pt idx="0">
                  <c:v>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нов'!$AA$14:$AF$14</c:f>
              <c:numCache>
                <c:formatCode>General</c:formatCode>
                <c:ptCount val="6"/>
                <c:pt idx="0">
                  <c:v>0</c:v>
                </c:pt>
                <c:pt idx="1">
                  <c:v>-0.10000000000331966</c:v>
                </c:pt>
                <c:pt idx="2">
                  <c:v>0</c:v>
                </c:pt>
                <c:pt idx="3">
                  <c:v>0.50000000001659828</c:v>
                </c:pt>
                <c:pt idx="4">
                  <c:v>1.2000000000114142</c:v>
                </c:pt>
                <c:pt idx="5">
                  <c:v>2.3000000000195087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A3E-4667-8263-CF2639C922F1}"/>
            </c:ext>
          </c:extLst>
        </c:ser>
        <c:ser>
          <c:idx val="6"/>
          <c:order val="6"/>
          <c:tx>
            <c:strRef>
              <c:f>'инженерка нов'!$Z$15</c:f>
              <c:strCache>
                <c:ptCount val="1"/>
                <c:pt idx="0">
                  <c:v>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нов'!$AA$15:$AF$15</c:f>
              <c:numCache>
                <c:formatCode>General</c:formatCode>
                <c:ptCount val="6"/>
                <c:pt idx="0">
                  <c:v>0</c:v>
                </c:pt>
                <c:pt idx="1">
                  <c:v>-0.40000000001327862</c:v>
                </c:pt>
                <c:pt idx="2">
                  <c:v>-1.0000000000047748</c:v>
                </c:pt>
                <c:pt idx="3">
                  <c:v>-0.90000000000145519</c:v>
                </c:pt>
                <c:pt idx="4">
                  <c:v>-1.1000000000080945</c:v>
                </c:pt>
                <c:pt idx="5">
                  <c:v>-1.2000000000114142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A3E-4667-8263-CF2639C922F1}"/>
            </c:ext>
          </c:extLst>
        </c:ser>
        <c:ser>
          <c:idx val="7"/>
          <c:order val="7"/>
          <c:tx>
            <c:strRef>
              <c:f>'инженерка нов'!$Z$16</c:f>
              <c:strCache>
                <c:ptCount val="1"/>
                <c:pt idx="0">
                  <c:v>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нов'!$AA$16:$AF$16</c:f>
              <c:numCache>
                <c:formatCode>General</c:formatCode>
                <c:ptCount val="6"/>
                <c:pt idx="0">
                  <c:v>0</c:v>
                </c:pt>
                <c:pt idx="1">
                  <c:v>-0.30000000000995897</c:v>
                </c:pt>
                <c:pt idx="2">
                  <c:v>0.10000000000331966</c:v>
                </c:pt>
                <c:pt idx="3">
                  <c:v>0.40000000001327862</c:v>
                </c:pt>
                <c:pt idx="4">
                  <c:v>0.69999999999481588</c:v>
                </c:pt>
                <c:pt idx="5">
                  <c:v>0.69999999999481588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A3E-4667-8263-CF2639C922F1}"/>
            </c:ext>
          </c:extLst>
        </c:ser>
        <c:ser>
          <c:idx val="8"/>
          <c:order val="8"/>
          <c:tx>
            <c:strRef>
              <c:f>'инженерка нов'!$Z$17</c:f>
              <c:strCache>
                <c:ptCount val="1"/>
                <c:pt idx="0">
                  <c:v>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нов'!$AA$17:$AF$17</c:f>
              <c:numCache>
                <c:formatCode>General</c:formatCode>
                <c:ptCount val="6"/>
                <c:pt idx="0">
                  <c:v>0</c:v>
                </c:pt>
                <c:pt idx="1">
                  <c:v>0.20000000000663931</c:v>
                </c:pt>
                <c:pt idx="2">
                  <c:v>9.9999999974897946E-2</c:v>
                </c:pt>
                <c:pt idx="3">
                  <c:v>-1.6999999999995907</c:v>
                </c:pt>
                <c:pt idx="4">
                  <c:v>-1.90000000000623</c:v>
                </c:pt>
                <c:pt idx="5">
                  <c:v>-3.7000000000091404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A3E-4667-8263-CF2639C922F1}"/>
            </c:ext>
          </c:extLst>
        </c:ser>
        <c:ser>
          <c:idx val="9"/>
          <c:order val="9"/>
          <c:tx>
            <c:strRef>
              <c:f>'инженерка нов'!$Z$18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нов'!$AA$18:$AF$18</c:f>
              <c:numCache>
                <c:formatCode>General</c:formatCode>
                <c:ptCount val="6"/>
                <c:pt idx="0">
                  <c:v>0</c:v>
                </c:pt>
                <c:pt idx="1">
                  <c:v>-0.20000000000663931</c:v>
                </c:pt>
                <c:pt idx="2">
                  <c:v>-0.49999999998817657</c:v>
                </c:pt>
                <c:pt idx="3">
                  <c:v>0.20000000000663931</c:v>
                </c:pt>
                <c:pt idx="4">
                  <c:v>0.49999999998817657</c:v>
                </c:pt>
                <c:pt idx="5">
                  <c:v>-0.49999999998817657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A3E-4667-8263-CF2639C922F1}"/>
            </c:ext>
          </c:extLst>
        </c:ser>
        <c:ser>
          <c:idx val="10"/>
          <c:order val="10"/>
          <c:tx>
            <c:strRef>
              <c:f>'инженерка нов'!$Z$19</c:f>
              <c:strCache>
                <c:ptCount val="1"/>
                <c:pt idx="0">
                  <c:v>11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нов'!$AA$19:$AF$19</c:f>
              <c:numCache>
                <c:formatCode>General</c:formatCode>
                <c:ptCount val="6"/>
                <c:pt idx="0">
                  <c:v>0</c:v>
                </c:pt>
                <c:pt idx="1">
                  <c:v>0.20000000000663931</c:v>
                </c:pt>
                <c:pt idx="2">
                  <c:v>-0.60000000001991793</c:v>
                </c:pt>
                <c:pt idx="3">
                  <c:v>-0.10000000000331966</c:v>
                </c:pt>
                <c:pt idx="4">
                  <c:v>-0.30000000000995897</c:v>
                </c:pt>
                <c:pt idx="5">
                  <c:v>0.69999999999481588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A3E-4667-8263-CF2639C922F1}"/>
            </c:ext>
          </c:extLst>
        </c:ser>
        <c:ser>
          <c:idx val="11"/>
          <c:order val="11"/>
          <c:tx>
            <c:strRef>
              <c:f>'инженерка нов'!$Z$20</c:f>
              <c:strCache>
                <c:ptCount val="1"/>
                <c:pt idx="0">
                  <c:v>12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нов'!$AA$20:$AF$20</c:f>
              <c:numCache>
                <c:formatCode>General</c:formatCode>
                <c:ptCount val="6"/>
                <c:pt idx="0">
                  <c:v>0</c:v>
                </c:pt>
                <c:pt idx="1">
                  <c:v>0.20000000000663931</c:v>
                </c:pt>
                <c:pt idx="2">
                  <c:v>1.5999999999962711</c:v>
                </c:pt>
                <c:pt idx="3">
                  <c:v>1.4999999999929514</c:v>
                </c:pt>
                <c:pt idx="4">
                  <c:v>1.999999999981128</c:v>
                </c:pt>
                <c:pt idx="5">
                  <c:v>2.0999999999844476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A3E-4667-8263-CF2639C922F1}"/>
            </c:ext>
          </c:extLst>
        </c:ser>
        <c:ser>
          <c:idx val="12"/>
          <c:order val="12"/>
          <c:tx>
            <c:strRef>
              <c:f>'инженерка нов'!$Z$21</c:f>
              <c:strCache>
                <c:ptCount val="1"/>
                <c:pt idx="0">
                  <c:v>13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нов'!$AA$21:$AF$21</c:f>
              <c:numCache>
                <c:formatCode>General</c:formatCode>
                <c:ptCount val="6"/>
                <c:pt idx="0">
                  <c:v>0</c:v>
                </c:pt>
                <c:pt idx="1">
                  <c:v>0.10000000000331966</c:v>
                </c:pt>
                <c:pt idx="2">
                  <c:v>0.30000000000995897</c:v>
                </c:pt>
                <c:pt idx="3">
                  <c:v>0.79999999999813554</c:v>
                </c:pt>
                <c:pt idx="4">
                  <c:v>1.0000000000047748</c:v>
                </c:pt>
                <c:pt idx="5">
                  <c:v>0.79999999999813554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A3E-4667-8263-CF2639C922F1}"/>
            </c:ext>
          </c:extLst>
        </c:ser>
        <c:ser>
          <c:idx val="13"/>
          <c:order val="13"/>
          <c:tx>
            <c:strRef>
              <c:f>'инженерка нов'!$Z$22</c:f>
              <c:strCache>
                <c:ptCount val="1"/>
                <c:pt idx="0">
                  <c:v>14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нов'!$AA$22:$AF$22</c:f>
              <c:numCache>
                <c:formatCode>General</c:formatCode>
                <c:ptCount val="6"/>
                <c:pt idx="0">
                  <c:v>0</c:v>
                </c:pt>
                <c:pt idx="1">
                  <c:v>-0.40000000001327862</c:v>
                </c:pt>
                <c:pt idx="2">
                  <c:v>-2.3999999999944066</c:v>
                </c:pt>
                <c:pt idx="3">
                  <c:v>-2.9000000000110049</c:v>
                </c:pt>
                <c:pt idx="4">
                  <c:v>-2.3999999999944066</c:v>
                </c:pt>
                <c:pt idx="5">
                  <c:v>-1.4000000000180535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A3E-4667-8263-CF2639C922F1}"/>
            </c:ext>
          </c:extLst>
        </c:ser>
        <c:ser>
          <c:idx val="14"/>
          <c:order val="14"/>
          <c:tx>
            <c:strRef>
              <c:f>'инженерка нов'!$Z$23</c:f>
              <c:strCache>
                <c:ptCount val="1"/>
                <c:pt idx="0">
                  <c:v>15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нов'!$AA$23:$AF$23</c:f>
              <c:numCache>
                <c:formatCode>General</c:formatCode>
                <c:ptCount val="6"/>
                <c:pt idx="0">
                  <c:v>0</c:v>
                </c:pt>
                <c:pt idx="1">
                  <c:v>0.10000000000331966</c:v>
                </c:pt>
                <c:pt idx="2">
                  <c:v>-0.59999999999149622</c:v>
                </c:pt>
                <c:pt idx="3">
                  <c:v>-0.59999999999149622</c:v>
                </c:pt>
                <c:pt idx="4">
                  <c:v>-2.1999999999877673</c:v>
                </c:pt>
                <c:pt idx="5">
                  <c:v>-1.0999999999796728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A3E-4667-8263-CF2639C922F1}"/>
            </c:ext>
          </c:extLst>
        </c:ser>
        <c:ser>
          <c:idx val="15"/>
          <c:order val="15"/>
          <c:tx>
            <c:strRef>
              <c:f>'инженерка нов'!$Z$24</c:f>
              <c:strCache>
                <c:ptCount val="1"/>
                <c:pt idx="0">
                  <c:v>16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нов'!$AA$24:$AF$24</c:f>
              <c:numCache>
                <c:formatCode>General</c:formatCode>
                <c:ptCount val="6"/>
                <c:pt idx="0">
                  <c:v>0</c:v>
                </c:pt>
                <c:pt idx="1">
                  <c:v>-0.20000000000663931</c:v>
                </c:pt>
                <c:pt idx="2">
                  <c:v>-0.30000000000995897</c:v>
                </c:pt>
                <c:pt idx="3">
                  <c:v>0.59999999999149622</c:v>
                </c:pt>
                <c:pt idx="4">
                  <c:v>0.79999999999813554</c:v>
                </c:pt>
                <c:pt idx="5">
                  <c:v>0.90000000000145519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A3E-4667-8263-CF2639C922F1}"/>
            </c:ext>
          </c:extLst>
        </c:ser>
        <c:ser>
          <c:idx val="16"/>
          <c:order val="16"/>
          <c:tx>
            <c:strRef>
              <c:f>'инженерка нов'!$Z$25</c:f>
              <c:strCache>
                <c:ptCount val="1"/>
                <c:pt idx="0">
                  <c:v>17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нов'!$AA$25:$AF$25</c:f>
              <c:numCache>
                <c:formatCode>General</c:formatCode>
                <c:ptCount val="6"/>
                <c:pt idx="0">
                  <c:v>0</c:v>
                </c:pt>
                <c:pt idx="1">
                  <c:v>0.20000000000663931</c:v>
                </c:pt>
                <c:pt idx="2">
                  <c:v>-1.4000000000180535</c:v>
                </c:pt>
                <c:pt idx="3">
                  <c:v>-0.79999999999813554</c:v>
                </c:pt>
                <c:pt idx="4">
                  <c:v>-0.90000000000145519</c:v>
                </c:pt>
                <c:pt idx="5">
                  <c:v>-0.90000000000145519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A3E-4667-8263-CF2639C922F1}"/>
            </c:ext>
          </c:extLst>
        </c:ser>
        <c:ser>
          <c:idx val="17"/>
          <c:order val="17"/>
          <c:tx>
            <c:strRef>
              <c:f>'инженерка нов'!$Z$26</c:f>
              <c:strCache>
                <c:ptCount val="1"/>
                <c:pt idx="0">
                  <c:v>18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нов'!$AA$26:$AF$26</c:f>
              <c:numCache>
                <c:formatCode>General</c:formatCode>
                <c:ptCount val="6"/>
                <c:pt idx="0">
                  <c:v>0</c:v>
                </c:pt>
                <c:pt idx="1">
                  <c:v>-0.40000000001327862</c:v>
                </c:pt>
                <c:pt idx="2">
                  <c:v>0.10000000000331966</c:v>
                </c:pt>
                <c:pt idx="3">
                  <c:v>0.30000000000995897</c:v>
                </c:pt>
                <c:pt idx="4">
                  <c:v>0.40000000001327862</c:v>
                </c:pt>
                <c:pt idx="5">
                  <c:v>-0.30000000000995897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6A3E-4667-8263-CF2639C922F1}"/>
            </c:ext>
          </c:extLst>
        </c:ser>
        <c:ser>
          <c:idx val="18"/>
          <c:order val="18"/>
          <c:tx>
            <c:strRef>
              <c:f>'инженерка нов'!$Z$27</c:f>
              <c:strCache>
                <c:ptCount val="1"/>
                <c:pt idx="0">
                  <c:v>19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нов'!$AA$27:$AF$27</c:f>
              <c:numCache>
                <c:formatCode>General</c:formatCode>
                <c:ptCount val="6"/>
                <c:pt idx="0">
                  <c:v>0</c:v>
                </c:pt>
                <c:pt idx="1">
                  <c:v>-0.30000000000995897</c:v>
                </c:pt>
                <c:pt idx="2">
                  <c:v>0</c:v>
                </c:pt>
                <c:pt idx="3">
                  <c:v>0.59999999999149622</c:v>
                </c:pt>
                <c:pt idx="4">
                  <c:v>-0.30000000000995897</c:v>
                </c:pt>
                <c:pt idx="5">
                  <c:v>-0.50000000001659828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A3E-4667-8263-CF2639C922F1}"/>
            </c:ext>
          </c:extLst>
        </c:ser>
        <c:ser>
          <c:idx val="19"/>
          <c:order val="19"/>
          <c:tx>
            <c:strRef>
              <c:f>'инженерка нов'!$Z$28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нов'!$AA$28:$AF$28</c:f>
              <c:numCache>
                <c:formatCode>General</c:formatCode>
                <c:ptCount val="6"/>
                <c:pt idx="0">
                  <c:v>0</c:v>
                </c:pt>
                <c:pt idx="1">
                  <c:v>0.10000000000331966</c:v>
                </c:pt>
                <c:pt idx="2">
                  <c:v>-0.10000000000331966</c:v>
                </c:pt>
                <c:pt idx="3">
                  <c:v>-0.69999999999481588</c:v>
                </c:pt>
                <c:pt idx="4">
                  <c:v>0</c:v>
                </c:pt>
                <c:pt idx="5">
                  <c:v>1.0000000000047748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A3E-4667-8263-CF2639C922F1}"/>
            </c:ext>
          </c:extLst>
        </c:ser>
        <c:ser>
          <c:idx val="20"/>
          <c:order val="20"/>
          <c:tx>
            <c:strRef>
              <c:f>'инженерка нов'!$Z$29</c:f>
              <c:strCache>
                <c:ptCount val="1"/>
                <c:pt idx="0">
                  <c:v>21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нов'!$AA$29:$AF$29</c:f>
              <c:numCache>
                <c:formatCode>General</c:formatCode>
                <c:ptCount val="6"/>
                <c:pt idx="0">
                  <c:v>0</c:v>
                </c:pt>
                <c:pt idx="1">
                  <c:v>-0.30000000000995897</c:v>
                </c:pt>
                <c:pt idx="2">
                  <c:v>0.50000000001659828</c:v>
                </c:pt>
                <c:pt idx="3">
                  <c:v>0.50000000001659828</c:v>
                </c:pt>
                <c:pt idx="4">
                  <c:v>1.0000000000047748</c:v>
                </c:pt>
                <c:pt idx="5">
                  <c:v>0.10000000000331966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A3E-4667-8263-CF2639C922F1}"/>
            </c:ext>
          </c:extLst>
        </c:ser>
        <c:ser>
          <c:idx val="21"/>
          <c:order val="21"/>
          <c:tx>
            <c:strRef>
              <c:f>'инженерка нов'!$Z$30</c:f>
              <c:strCache>
                <c:ptCount val="1"/>
                <c:pt idx="0">
                  <c:v>22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нов'!$AA$30:$AF$30</c:f>
              <c:numCache>
                <c:formatCode>General</c:formatCode>
                <c:ptCount val="6"/>
                <c:pt idx="0">
                  <c:v>0</c:v>
                </c:pt>
                <c:pt idx="1">
                  <c:v>-0.20000000000663931</c:v>
                </c:pt>
                <c:pt idx="2">
                  <c:v>1.2000000000114142</c:v>
                </c:pt>
                <c:pt idx="3">
                  <c:v>0.49999999998817657</c:v>
                </c:pt>
                <c:pt idx="4">
                  <c:v>-0.69999999999481588</c:v>
                </c:pt>
                <c:pt idx="5">
                  <c:v>-0.79999999999813554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6A3E-4667-8263-CF2639C922F1}"/>
            </c:ext>
          </c:extLst>
        </c:ser>
        <c:ser>
          <c:idx val="22"/>
          <c:order val="22"/>
          <c:tx>
            <c:strRef>
              <c:f>'инженерка нов'!$Z$31</c:f>
              <c:strCache>
                <c:ptCount val="1"/>
                <c:pt idx="0">
                  <c:v>23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cat>
            <c:numRef>
              <c:f>'инженерка нов'!$AA$8:$AF$8</c:f>
              <c:numCache>
                <c:formatCode>m/d/yyyy</c:formatCode>
                <c:ptCount val="6"/>
                <c:pt idx="0">
                  <c:v>45748</c:v>
                </c:pt>
                <c:pt idx="1">
                  <c:v>45791</c:v>
                </c:pt>
                <c:pt idx="2">
                  <c:v>45824</c:v>
                </c:pt>
                <c:pt idx="3">
                  <c:v>45855</c:v>
                </c:pt>
                <c:pt idx="4">
                  <c:v>45883</c:v>
                </c:pt>
                <c:pt idx="5">
                  <c:v>45915</c:v>
                </c:pt>
              </c:numCache>
            </c:numRef>
          </c:cat>
          <c:val>
            <c:numRef>
              <c:f>'инженерка нов'!$AA$31:$AF$31</c:f>
              <c:numCache>
                <c:formatCode>General</c:formatCode>
                <c:ptCount val="6"/>
                <c:pt idx="0">
                  <c:v>0</c:v>
                </c:pt>
                <c:pt idx="1">
                  <c:v>0.20000000000663931</c:v>
                </c:pt>
                <c:pt idx="2">
                  <c:v>1.0999999999796728</c:v>
                </c:pt>
                <c:pt idx="3">
                  <c:v>0.59999999999149622</c:v>
                </c:pt>
                <c:pt idx="4">
                  <c:v>0.29999999998153726</c:v>
                </c:pt>
                <c:pt idx="5">
                  <c:v>1.0000000000047748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6A3E-4667-8263-CF2639C92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3540480"/>
        <c:axId val="1423547008"/>
      </c:lineChart>
      <c:catAx>
        <c:axId val="142354048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inorGridlines>
        <c:numFmt formatCode="m/d/yyyy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3547008"/>
        <c:crosses val="autoZero"/>
        <c:auto val="0"/>
        <c:lblAlgn val="ctr"/>
        <c:lblOffset val="100"/>
        <c:noMultiLvlLbl val="0"/>
      </c:catAx>
      <c:valAx>
        <c:axId val="1423547008"/>
        <c:scaling>
          <c:orientation val="minMax"/>
          <c:min val="-4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Осадка,</a:t>
                </a:r>
                <a:r>
                  <a:rPr lang="ru-RU" baseline="0"/>
                  <a:t> ММ</a:t>
                </a:r>
                <a:endParaRPr lang="ru-RU"/>
              </a:p>
            </c:rich>
          </c:tx>
          <c:overlay val="0"/>
          <c:spPr>
            <a:noFill/>
            <a:ln>
              <a:solidFill>
                <a:schemeClr val="tx1"/>
              </a:solidFill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2354048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264459</xdr:colOff>
      <xdr:row>9</xdr:row>
      <xdr:rowOff>134470</xdr:rowOff>
    </xdr:from>
    <xdr:to>
      <xdr:col>40</xdr:col>
      <xdr:colOff>367553</xdr:colOff>
      <xdr:row>23</xdr:row>
      <xdr:rowOff>116541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D4B63B5-0C74-44E4-A227-415003636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F31"/>
  <sheetViews>
    <sheetView zoomScale="85" zoomScaleNormal="85" workbookViewId="0">
      <selection activeCell="AF9" sqref="AF9"/>
    </sheetView>
  </sheetViews>
  <sheetFormatPr defaultColWidth="9.109375" defaultRowHeight="15.6" x14ac:dyDescent="0.3"/>
  <cols>
    <col min="1" max="2" width="9.109375" style="4"/>
    <col min="3" max="3" width="5.6640625" style="2" customWidth="1"/>
    <col min="4" max="5" width="9.6640625" style="2" hidden="1" customWidth="1"/>
    <col min="6" max="6" width="9.6640625" style="4" hidden="1" customWidth="1"/>
    <col min="7" max="8" width="9.6640625" style="2" hidden="1" customWidth="1"/>
    <col min="9" max="9" width="9.6640625" style="4" hidden="1" customWidth="1"/>
    <col min="10" max="11" width="9.6640625" style="2" hidden="1" customWidth="1"/>
    <col min="12" max="12" width="9.6640625" style="4" hidden="1" customWidth="1"/>
    <col min="13" max="13" width="9.77734375" style="111" customWidth="1"/>
    <col min="14" max="15" width="9.77734375" style="4" customWidth="1"/>
    <col min="16" max="16" width="9.77734375" style="111" customWidth="1"/>
    <col min="17" max="18" width="9.77734375" style="4" customWidth="1"/>
    <col min="19" max="19" width="9.77734375" style="111" customWidth="1"/>
    <col min="20" max="21" width="9.77734375" style="4" customWidth="1"/>
    <col min="22" max="22" width="12.6640625" style="4" customWidth="1"/>
    <col min="23" max="23" width="5.6640625" style="4" customWidth="1"/>
    <col min="24" max="24" width="12.6640625" style="4" customWidth="1"/>
    <col min="25" max="25" width="11.5546875" style="16" customWidth="1"/>
    <col min="26" max="26" width="12.6640625" style="16" customWidth="1"/>
    <col min="27" max="27" width="11.88671875" style="16" customWidth="1"/>
    <col min="28" max="28" width="11.6640625" style="16" customWidth="1"/>
    <col min="29" max="29" width="12.5546875" style="16" customWidth="1"/>
    <col min="30" max="31" width="11.88671875" style="16" bestFit="1" customWidth="1"/>
    <col min="32" max="32" width="11.6640625" style="16" bestFit="1" customWidth="1"/>
    <col min="33" max="16384" width="9.109375" style="16"/>
  </cols>
  <sheetData>
    <row r="2" spans="3:32" x14ac:dyDescent="0.3">
      <c r="C2" s="13"/>
      <c r="D2" s="13"/>
      <c r="E2" s="13"/>
      <c r="F2" s="14"/>
      <c r="G2" s="13"/>
      <c r="H2" s="13"/>
      <c r="I2" s="14"/>
      <c r="J2" s="13"/>
      <c r="K2" s="13"/>
      <c r="L2" s="14"/>
      <c r="M2" s="110"/>
      <c r="N2" s="14"/>
      <c r="O2" s="14"/>
      <c r="P2" s="110"/>
      <c r="Q2" s="14"/>
      <c r="R2" s="14"/>
      <c r="S2" s="110"/>
      <c r="T2" s="14"/>
      <c r="U2" s="14"/>
      <c r="V2" s="14"/>
      <c r="W2" s="45"/>
    </row>
    <row r="3" spans="3:32" x14ac:dyDescent="0.3">
      <c r="C3" s="13"/>
      <c r="D3" s="13"/>
      <c r="E3" s="13"/>
      <c r="F3" s="14"/>
      <c r="G3" s="13"/>
      <c r="H3" s="13"/>
      <c r="I3" s="14"/>
      <c r="J3" s="13"/>
      <c r="K3" s="13"/>
      <c r="L3" s="14"/>
      <c r="M3" s="110"/>
      <c r="N3" s="14"/>
      <c r="O3" s="14"/>
      <c r="P3" s="110"/>
      <c r="Q3" s="14"/>
      <c r="R3" s="14"/>
      <c r="S3" s="110"/>
      <c r="T3" s="14"/>
      <c r="U3" s="14"/>
      <c r="V3" s="14"/>
      <c r="W3" s="15" t="s">
        <v>24</v>
      </c>
    </row>
    <row r="4" spans="3:32" x14ac:dyDescent="0.3">
      <c r="C4" s="128" t="s">
        <v>0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7"/>
    </row>
    <row r="5" spans="3:32" x14ac:dyDescent="0.3">
      <c r="C5" s="128" t="s">
        <v>5</v>
      </c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7"/>
    </row>
    <row r="6" spans="3:32" x14ac:dyDescent="0.3">
      <c r="C6" s="129" t="s">
        <v>19</v>
      </c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8"/>
    </row>
    <row r="7" spans="3:32" ht="53.25" customHeight="1" x14ac:dyDescent="0.3">
      <c r="C7" s="130" t="s">
        <v>33</v>
      </c>
      <c r="D7" s="132" t="s">
        <v>34</v>
      </c>
      <c r="E7" s="133"/>
      <c r="F7" s="134"/>
      <c r="G7" s="132" t="s">
        <v>43</v>
      </c>
      <c r="H7" s="133"/>
      <c r="I7" s="134"/>
      <c r="J7" s="132" t="s">
        <v>151</v>
      </c>
      <c r="K7" s="133"/>
      <c r="L7" s="134"/>
      <c r="M7" s="132" t="s">
        <v>152</v>
      </c>
      <c r="N7" s="133"/>
      <c r="O7" s="134"/>
      <c r="P7" s="132" t="s">
        <v>204</v>
      </c>
      <c r="Q7" s="133"/>
      <c r="R7" s="134"/>
      <c r="S7" s="132" t="s">
        <v>243</v>
      </c>
      <c r="T7" s="133"/>
      <c r="U7" s="134"/>
      <c r="V7" s="130" t="s">
        <v>8</v>
      </c>
      <c r="W7" s="135" t="str">
        <f>C7</f>
        <v>№ знака</v>
      </c>
      <c r="X7" s="19"/>
      <c r="Y7" s="19"/>
      <c r="Z7" s="16" t="s">
        <v>205</v>
      </c>
    </row>
    <row r="8" spans="3:32" ht="67.5" customHeight="1" x14ac:dyDescent="0.3">
      <c r="C8" s="131"/>
      <c r="D8" s="10" t="s">
        <v>2</v>
      </c>
      <c r="E8" s="11" t="s">
        <v>3</v>
      </c>
      <c r="F8" s="11" t="s">
        <v>4</v>
      </c>
      <c r="G8" s="10" t="s">
        <v>2</v>
      </c>
      <c r="H8" s="11" t="s">
        <v>3</v>
      </c>
      <c r="I8" s="11" t="s">
        <v>4</v>
      </c>
      <c r="J8" s="10" t="s">
        <v>2</v>
      </c>
      <c r="K8" s="11" t="s">
        <v>3</v>
      </c>
      <c r="L8" s="11" t="s">
        <v>4</v>
      </c>
      <c r="M8" s="10" t="s">
        <v>2</v>
      </c>
      <c r="N8" s="11" t="s">
        <v>3</v>
      </c>
      <c r="O8" s="11" t="s">
        <v>4</v>
      </c>
      <c r="P8" s="10" t="s">
        <v>2</v>
      </c>
      <c r="Q8" s="11" t="s">
        <v>3</v>
      </c>
      <c r="R8" s="11" t="s">
        <v>4</v>
      </c>
      <c r="S8" s="10" t="s">
        <v>2</v>
      </c>
      <c r="T8" s="11" t="s">
        <v>3</v>
      </c>
      <c r="U8" s="11" t="s">
        <v>4</v>
      </c>
      <c r="V8" s="131"/>
      <c r="W8" s="135"/>
      <c r="X8" s="19"/>
      <c r="Y8" s="19"/>
      <c r="AA8" s="123">
        <v>45748</v>
      </c>
      <c r="AB8" s="123">
        <v>45791</v>
      </c>
      <c r="AC8" s="123">
        <v>45824</v>
      </c>
      <c r="AD8" s="123">
        <v>45855</v>
      </c>
      <c r="AE8" s="123">
        <v>45883</v>
      </c>
      <c r="AF8" s="123">
        <v>45915</v>
      </c>
    </row>
    <row r="9" spans="3:32" ht="15.6" customHeight="1" x14ac:dyDescent="0.3">
      <c r="C9" s="117">
        <v>1</v>
      </c>
      <c r="D9" s="118">
        <v>141.953</v>
      </c>
      <c r="E9" s="119">
        <v>0</v>
      </c>
      <c r="F9" s="119">
        <v>0</v>
      </c>
      <c r="G9" s="118">
        <v>141.95310000000001</v>
      </c>
      <c r="H9" s="119">
        <f t="shared" ref="H9:H13" si="0">(G9-D9)*1000</f>
        <v>0.10000000000331966</v>
      </c>
      <c r="I9" s="119">
        <f t="shared" ref="I9:I13" si="1">F9+H9</f>
        <v>0.10000000000331966</v>
      </c>
      <c r="J9" s="118">
        <v>141.95320000000001</v>
      </c>
      <c r="K9" s="119">
        <f t="shared" ref="K9:K31" si="2">(J9-G9)*1000</f>
        <v>0.10000000000331966</v>
      </c>
      <c r="L9" s="119">
        <f t="shared" ref="L9:L31" si="3">I9+K9</f>
        <v>0.20000000000663931</v>
      </c>
      <c r="M9" s="118">
        <v>141.9521</v>
      </c>
      <c r="N9" s="119">
        <f t="shared" ref="N9" si="4">(M9-J9)*1000</f>
        <v>-1.1000000000080945</v>
      </c>
      <c r="O9" s="119">
        <f t="shared" ref="O9" si="5">L9+N9</f>
        <v>-0.90000000000145519</v>
      </c>
      <c r="P9" s="118">
        <v>141.9511</v>
      </c>
      <c r="Q9" s="119">
        <f t="shared" ref="Q9" si="6">(P9-M9)*1000</f>
        <v>-1.0000000000047748</v>
      </c>
      <c r="R9" s="119">
        <f t="shared" ref="R9" si="7">O9+Q9</f>
        <v>-1.90000000000623</v>
      </c>
      <c r="S9" s="118">
        <v>141.9495</v>
      </c>
      <c r="T9" s="119">
        <f t="shared" ref="T9" si="8">(S9-P9)*1000</f>
        <v>-1.5999999999962711</v>
      </c>
      <c r="U9" s="119">
        <f t="shared" ref="U9" si="9">R9+T9</f>
        <v>-3.5000000000025011</v>
      </c>
      <c r="V9" s="119" t="s">
        <v>35</v>
      </c>
      <c r="W9" s="120">
        <v>1</v>
      </c>
      <c r="Y9" s="4"/>
      <c r="Z9" s="16">
        <v>1</v>
      </c>
      <c r="AA9" s="16">
        <v>0</v>
      </c>
      <c r="AB9" s="16">
        <v>0.10000000000331966</v>
      </c>
      <c r="AC9" s="16">
        <v>0.20000000000663931</v>
      </c>
      <c r="AD9" s="16">
        <v>-0.90000000000145519</v>
      </c>
      <c r="AE9" s="16">
        <v>-1.90000000000623</v>
      </c>
      <c r="AF9" s="16">
        <v>-3.5000000000025011</v>
      </c>
    </row>
    <row r="10" spans="3:32" ht="15.6" customHeight="1" x14ac:dyDescent="0.3">
      <c r="C10" s="117">
        <v>2</v>
      </c>
      <c r="D10" s="118">
        <v>141.809</v>
      </c>
      <c r="E10" s="119">
        <v>0</v>
      </c>
      <c r="F10" s="119">
        <v>0</v>
      </c>
      <c r="G10" s="118">
        <v>141.80859999999998</v>
      </c>
      <c r="H10" s="119">
        <f t="shared" si="0"/>
        <v>-0.40000000001327862</v>
      </c>
      <c r="I10" s="119">
        <f t="shared" si="1"/>
        <v>-0.40000000001327862</v>
      </c>
      <c r="J10" s="118">
        <v>141.809</v>
      </c>
      <c r="K10" s="119">
        <f t="shared" si="2"/>
        <v>0.40000000001327862</v>
      </c>
      <c r="L10" s="119">
        <f t="shared" si="3"/>
        <v>0</v>
      </c>
      <c r="M10" s="118">
        <v>141.80930000000001</v>
      </c>
      <c r="N10" s="119">
        <f t="shared" ref="N10:N31" si="10">(M10-J10)*1000</f>
        <v>0.30000000000995897</v>
      </c>
      <c r="O10" s="119">
        <f t="shared" ref="O10:O31" si="11">L10+N10</f>
        <v>0.30000000000995897</v>
      </c>
      <c r="P10" s="118">
        <v>141.8109</v>
      </c>
      <c r="Q10" s="119">
        <f t="shared" ref="Q10:Q31" si="12">(P10-M10)*1000</f>
        <v>1.5999999999962711</v>
      </c>
      <c r="R10" s="119">
        <f t="shared" ref="R10:R31" si="13">O10+Q10</f>
        <v>1.90000000000623</v>
      </c>
      <c r="S10" s="118">
        <v>141.8117</v>
      </c>
      <c r="T10" s="119">
        <f t="shared" ref="T10:T31" si="14">(S10-P10)*1000</f>
        <v>0.79999999999813554</v>
      </c>
      <c r="U10" s="119">
        <f t="shared" ref="U10:U31" si="15">R10+T10</f>
        <v>2.7000000000043656</v>
      </c>
      <c r="V10" s="119" t="s">
        <v>36</v>
      </c>
      <c r="W10" s="120">
        <v>2</v>
      </c>
      <c r="Y10" s="4"/>
      <c r="Z10" s="16">
        <v>2</v>
      </c>
      <c r="AA10" s="16">
        <v>0</v>
      </c>
      <c r="AB10" s="16">
        <v>-0.40000000001327862</v>
      </c>
      <c r="AC10" s="16">
        <v>0</v>
      </c>
      <c r="AD10" s="16">
        <v>0.30000000000995897</v>
      </c>
      <c r="AE10" s="16">
        <v>1.90000000000623</v>
      </c>
      <c r="AF10" s="16">
        <v>2.7000000000043656</v>
      </c>
    </row>
    <row r="11" spans="3:32" ht="15.6" customHeight="1" x14ac:dyDescent="0.3">
      <c r="C11" s="117">
        <v>3</v>
      </c>
      <c r="D11" s="118">
        <v>141.8407</v>
      </c>
      <c r="E11" s="119">
        <v>0</v>
      </c>
      <c r="F11" s="119">
        <v>0</v>
      </c>
      <c r="G11" s="118">
        <v>141.84049999999999</v>
      </c>
      <c r="H11" s="119">
        <f t="shared" si="0"/>
        <v>-0.20000000000663931</v>
      </c>
      <c r="I11" s="119">
        <f t="shared" si="1"/>
        <v>-0.20000000000663931</v>
      </c>
      <c r="J11" s="118">
        <v>141.8415</v>
      </c>
      <c r="K11" s="119">
        <f t="shared" si="2"/>
        <v>1.0000000000047748</v>
      </c>
      <c r="L11" s="119">
        <f t="shared" si="3"/>
        <v>0.79999999999813554</v>
      </c>
      <c r="M11" s="118">
        <v>141.84219999999999</v>
      </c>
      <c r="N11" s="119">
        <f t="shared" si="10"/>
        <v>0.69999999999481588</v>
      </c>
      <c r="O11" s="119">
        <f t="shared" si="11"/>
        <v>1.4999999999929514</v>
      </c>
      <c r="P11" s="118">
        <v>141.8426</v>
      </c>
      <c r="Q11" s="119">
        <f t="shared" si="12"/>
        <v>0.40000000001327862</v>
      </c>
      <c r="R11" s="119">
        <f t="shared" si="13"/>
        <v>1.90000000000623</v>
      </c>
      <c r="S11" s="118">
        <v>141.84370000000001</v>
      </c>
      <c r="T11" s="119">
        <f t="shared" si="14"/>
        <v>1.1000000000080945</v>
      </c>
      <c r="U11" s="119">
        <f t="shared" si="15"/>
        <v>3.0000000000143245</v>
      </c>
      <c r="V11" s="119" t="s">
        <v>37</v>
      </c>
      <c r="W11" s="120">
        <v>3</v>
      </c>
      <c r="Z11" s="16">
        <v>3</v>
      </c>
      <c r="AA11" s="16">
        <v>0</v>
      </c>
      <c r="AB11" s="16">
        <v>-0.20000000000663931</v>
      </c>
      <c r="AC11" s="16">
        <v>0.79999999999813554</v>
      </c>
      <c r="AD11" s="16">
        <v>1.4999999999929514</v>
      </c>
      <c r="AE11" s="16">
        <v>1.90000000000623</v>
      </c>
      <c r="AF11" s="16">
        <v>3.0000000000143245</v>
      </c>
    </row>
    <row r="12" spans="3:32" ht="15.6" customHeight="1" x14ac:dyDescent="0.3">
      <c r="C12" s="117">
        <v>4</v>
      </c>
      <c r="D12" s="118">
        <v>141.9547</v>
      </c>
      <c r="E12" s="119">
        <v>0</v>
      </c>
      <c r="F12" s="119">
        <v>0</v>
      </c>
      <c r="G12" s="118">
        <v>141.9546</v>
      </c>
      <c r="H12" s="119">
        <f t="shared" si="0"/>
        <v>-0.10000000000331966</v>
      </c>
      <c r="I12" s="119">
        <f t="shared" si="1"/>
        <v>-0.10000000000331966</v>
      </c>
      <c r="J12" s="118">
        <v>141.9538</v>
      </c>
      <c r="K12" s="119">
        <f t="shared" si="2"/>
        <v>-0.79999999999813554</v>
      </c>
      <c r="L12" s="119">
        <f t="shared" si="3"/>
        <v>-0.90000000000145519</v>
      </c>
      <c r="M12" s="118">
        <v>141.95400000000001</v>
      </c>
      <c r="N12" s="119">
        <f t="shared" si="10"/>
        <v>0.20000000000663931</v>
      </c>
      <c r="O12" s="119">
        <f t="shared" si="11"/>
        <v>-0.69999999999481588</v>
      </c>
      <c r="P12" s="118">
        <v>141.95259999999999</v>
      </c>
      <c r="Q12" s="119">
        <f t="shared" si="12"/>
        <v>-1.4000000000180535</v>
      </c>
      <c r="R12" s="119">
        <f t="shared" si="13"/>
        <v>-2.1000000000128694</v>
      </c>
      <c r="S12" s="118">
        <v>141.95160000000001</v>
      </c>
      <c r="T12" s="119">
        <f t="shared" si="14"/>
        <v>-0.99999999997635314</v>
      </c>
      <c r="U12" s="119">
        <f t="shared" si="15"/>
        <v>-3.0999999999892225</v>
      </c>
      <c r="V12" s="119" t="s">
        <v>37</v>
      </c>
      <c r="W12" s="120">
        <v>4</v>
      </c>
      <c r="Y12" s="4"/>
      <c r="Z12" s="16">
        <v>4</v>
      </c>
      <c r="AA12" s="16">
        <v>0</v>
      </c>
      <c r="AB12" s="16">
        <v>-0.10000000000331966</v>
      </c>
      <c r="AC12" s="16">
        <v>-0.90000000000145519</v>
      </c>
      <c r="AD12" s="16">
        <v>-0.69999999999481588</v>
      </c>
      <c r="AE12" s="16">
        <v>-2.1000000000128694</v>
      </c>
      <c r="AF12" s="16">
        <v>-3.0999999999892225</v>
      </c>
    </row>
    <row r="13" spans="3:32" ht="15.6" customHeight="1" x14ac:dyDescent="0.3">
      <c r="C13" s="117">
        <v>5</v>
      </c>
      <c r="D13" s="118">
        <v>142.54300000000001</v>
      </c>
      <c r="E13" s="119">
        <v>0</v>
      </c>
      <c r="F13" s="119">
        <v>0</v>
      </c>
      <c r="G13" s="118">
        <v>142.54300000000001</v>
      </c>
      <c r="H13" s="119">
        <f t="shared" si="0"/>
        <v>0</v>
      </c>
      <c r="I13" s="119">
        <f t="shared" si="1"/>
        <v>0</v>
      </c>
      <c r="J13" s="118">
        <v>142.54339999999999</v>
      </c>
      <c r="K13" s="119">
        <f t="shared" si="2"/>
        <v>0.39999999998485691</v>
      </c>
      <c r="L13" s="119">
        <f t="shared" si="3"/>
        <v>0.39999999998485691</v>
      </c>
      <c r="M13" s="118">
        <v>142.54249999999999</v>
      </c>
      <c r="N13" s="119">
        <f t="shared" si="10"/>
        <v>-0.90000000000145519</v>
      </c>
      <c r="O13" s="119">
        <f t="shared" si="11"/>
        <v>-0.50000000001659828</v>
      </c>
      <c r="P13" s="118">
        <v>142.54220000000001</v>
      </c>
      <c r="Q13" s="119">
        <f t="shared" si="12"/>
        <v>-0.29999999998153726</v>
      </c>
      <c r="R13" s="119">
        <f t="shared" si="13"/>
        <v>-0.79999999999813554</v>
      </c>
      <c r="S13" s="118">
        <v>142.54169999999999</v>
      </c>
      <c r="T13" s="119">
        <f t="shared" si="14"/>
        <v>-0.50000000001659828</v>
      </c>
      <c r="U13" s="119">
        <f t="shared" si="15"/>
        <v>-1.3000000000147338</v>
      </c>
      <c r="V13" s="119" t="s">
        <v>38</v>
      </c>
      <c r="W13" s="120">
        <v>5</v>
      </c>
      <c r="Z13" s="16">
        <v>5</v>
      </c>
      <c r="AA13" s="16">
        <v>0</v>
      </c>
      <c r="AB13" s="16">
        <v>0</v>
      </c>
      <c r="AC13" s="16">
        <v>0.39999999998485691</v>
      </c>
      <c r="AD13" s="16">
        <v>-0.50000000001659828</v>
      </c>
      <c r="AE13" s="16">
        <v>-0.79999999999813554</v>
      </c>
      <c r="AF13" s="16">
        <v>-1.3000000000147338</v>
      </c>
    </row>
    <row r="14" spans="3:32" ht="15.6" customHeight="1" x14ac:dyDescent="0.3">
      <c r="C14" s="117">
        <v>6</v>
      </c>
      <c r="D14" s="118">
        <v>142.53299999999999</v>
      </c>
      <c r="E14" s="119">
        <v>0</v>
      </c>
      <c r="F14" s="119">
        <v>0</v>
      </c>
      <c r="G14" s="118">
        <v>142.53289999999998</v>
      </c>
      <c r="H14" s="119">
        <f t="shared" ref="H14:H21" si="16">(G14-D14)*1000</f>
        <v>-0.10000000000331966</v>
      </c>
      <c r="I14" s="119">
        <f t="shared" ref="I14:I21" si="17">F14+H14</f>
        <v>-0.10000000000331966</v>
      </c>
      <c r="J14" s="118">
        <v>142.53299999999999</v>
      </c>
      <c r="K14" s="119">
        <f t="shared" si="2"/>
        <v>0.10000000000331966</v>
      </c>
      <c r="L14" s="119">
        <f t="shared" si="3"/>
        <v>0</v>
      </c>
      <c r="M14" s="118">
        <v>142.5335</v>
      </c>
      <c r="N14" s="119">
        <f t="shared" si="10"/>
        <v>0.50000000001659828</v>
      </c>
      <c r="O14" s="119">
        <f t="shared" si="11"/>
        <v>0.50000000001659828</v>
      </c>
      <c r="P14" s="118">
        <v>142.5342</v>
      </c>
      <c r="Q14" s="119">
        <f t="shared" si="12"/>
        <v>0.69999999999481588</v>
      </c>
      <c r="R14" s="119">
        <f t="shared" si="13"/>
        <v>1.2000000000114142</v>
      </c>
      <c r="S14" s="118">
        <v>142.53530000000001</v>
      </c>
      <c r="T14" s="119">
        <f t="shared" si="14"/>
        <v>1.1000000000080945</v>
      </c>
      <c r="U14" s="119">
        <f t="shared" si="15"/>
        <v>2.3000000000195087</v>
      </c>
      <c r="V14" s="119" t="s">
        <v>36</v>
      </c>
      <c r="W14" s="120">
        <v>6</v>
      </c>
      <c r="Y14" s="4"/>
      <c r="Z14" s="16">
        <v>6</v>
      </c>
      <c r="AA14" s="16">
        <v>0</v>
      </c>
      <c r="AB14" s="16">
        <v>-0.10000000000331966</v>
      </c>
      <c r="AC14" s="16">
        <v>0</v>
      </c>
      <c r="AD14" s="16">
        <v>0.50000000001659828</v>
      </c>
      <c r="AE14" s="16">
        <v>1.2000000000114142</v>
      </c>
      <c r="AF14" s="16">
        <v>2.3000000000195087</v>
      </c>
    </row>
    <row r="15" spans="3:32" ht="15.6" customHeight="1" x14ac:dyDescent="0.3">
      <c r="C15" s="117">
        <v>7</v>
      </c>
      <c r="D15" s="118">
        <v>142.28960000000001</v>
      </c>
      <c r="E15" s="119">
        <v>0</v>
      </c>
      <c r="F15" s="119">
        <v>0</v>
      </c>
      <c r="G15" s="118">
        <v>142.28919999999999</v>
      </c>
      <c r="H15" s="119">
        <f t="shared" si="16"/>
        <v>-0.40000000001327862</v>
      </c>
      <c r="I15" s="119">
        <f t="shared" si="17"/>
        <v>-0.40000000001327862</v>
      </c>
      <c r="J15" s="118">
        <v>142.2886</v>
      </c>
      <c r="K15" s="119">
        <f t="shared" si="2"/>
        <v>-0.59999999999149622</v>
      </c>
      <c r="L15" s="119">
        <f t="shared" si="3"/>
        <v>-1.0000000000047748</v>
      </c>
      <c r="M15" s="118">
        <v>142.28870000000001</v>
      </c>
      <c r="N15" s="119">
        <f t="shared" si="10"/>
        <v>0.10000000000331966</v>
      </c>
      <c r="O15" s="119">
        <f t="shared" si="11"/>
        <v>-0.90000000000145519</v>
      </c>
      <c r="P15" s="118">
        <v>142.2885</v>
      </c>
      <c r="Q15" s="119">
        <f t="shared" si="12"/>
        <v>-0.20000000000663931</v>
      </c>
      <c r="R15" s="119">
        <f t="shared" si="13"/>
        <v>-1.1000000000080945</v>
      </c>
      <c r="S15" s="118">
        <v>142.2884</v>
      </c>
      <c r="T15" s="119">
        <f t="shared" si="14"/>
        <v>-0.10000000000331966</v>
      </c>
      <c r="U15" s="119">
        <f t="shared" si="15"/>
        <v>-1.2000000000114142</v>
      </c>
      <c r="V15" s="119" t="s">
        <v>35</v>
      </c>
      <c r="W15" s="120">
        <v>7</v>
      </c>
      <c r="Y15" s="4"/>
      <c r="Z15" s="16">
        <v>7</v>
      </c>
      <c r="AA15" s="16">
        <v>0</v>
      </c>
      <c r="AB15" s="16">
        <v>-0.40000000001327862</v>
      </c>
      <c r="AC15" s="16">
        <v>-1.0000000000047748</v>
      </c>
      <c r="AD15" s="16">
        <v>-0.90000000000145519</v>
      </c>
      <c r="AE15" s="16">
        <v>-1.1000000000080945</v>
      </c>
      <c r="AF15" s="16">
        <v>-1.2000000000114142</v>
      </c>
    </row>
    <row r="16" spans="3:32" ht="15.6" customHeight="1" x14ac:dyDescent="0.3">
      <c r="C16" s="117">
        <v>8</v>
      </c>
      <c r="D16" s="118">
        <v>142.2748</v>
      </c>
      <c r="E16" s="119">
        <v>0</v>
      </c>
      <c r="F16" s="119">
        <v>0</v>
      </c>
      <c r="G16" s="118">
        <v>142.27449999999999</v>
      </c>
      <c r="H16" s="119">
        <f t="shared" si="16"/>
        <v>-0.30000000000995897</v>
      </c>
      <c r="I16" s="119">
        <f t="shared" si="17"/>
        <v>-0.30000000000995897</v>
      </c>
      <c r="J16" s="118">
        <v>142.2749</v>
      </c>
      <c r="K16" s="119">
        <f t="shared" si="2"/>
        <v>0.40000000001327862</v>
      </c>
      <c r="L16" s="119">
        <f t="shared" si="3"/>
        <v>0.10000000000331966</v>
      </c>
      <c r="M16" s="118">
        <v>142.27520000000001</v>
      </c>
      <c r="N16" s="119">
        <f t="shared" si="10"/>
        <v>0.30000000000995897</v>
      </c>
      <c r="O16" s="119">
        <f t="shared" si="11"/>
        <v>0.40000000001327862</v>
      </c>
      <c r="P16" s="118">
        <v>142.27549999999999</v>
      </c>
      <c r="Q16" s="119">
        <f t="shared" si="12"/>
        <v>0.29999999998153726</v>
      </c>
      <c r="R16" s="119">
        <f t="shared" si="13"/>
        <v>0.69999999999481588</v>
      </c>
      <c r="S16" s="118">
        <v>142.27549999999999</v>
      </c>
      <c r="T16" s="119">
        <f t="shared" si="14"/>
        <v>0</v>
      </c>
      <c r="U16" s="119">
        <f t="shared" si="15"/>
        <v>0.69999999999481588</v>
      </c>
      <c r="V16" s="119" t="s">
        <v>36</v>
      </c>
      <c r="W16" s="120">
        <v>8</v>
      </c>
      <c r="Y16" s="4"/>
      <c r="Z16" s="16">
        <v>8</v>
      </c>
      <c r="AA16" s="16">
        <v>0</v>
      </c>
      <c r="AB16" s="16">
        <v>-0.30000000000995897</v>
      </c>
      <c r="AC16" s="16">
        <v>0.10000000000331966</v>
      </c>
      <c r="AD16" s="16">
        <v>0.40000000001327862</v>
      </c>
      <c r="AE16" s="16">
        <v>0.69999999999481588</v>
      </c>
      <c r="AF16" s="16">
        <v>0.69999999999481588</v>
      </c>
    </row>
    <row r="17" spans="3:32" ht="15.6" customHeight="1" x14ac:dyDescent="0.3">
      <c r="C17" s="117">
        <v>9</v>
      </c>
      <c r="D17" s="118">
        <v>142.25640000000001</v>
      </c>
      <c r="E17" s="119">
        <v>0</v>
      </c>
      <c r="F17" s="119">
        <v>0</v>
      </c>
      <c r="G17" s="118">
        <v>142.25660000000002</v>
      </c>
      <c r="H17" s="119">
        <f t="shared" si="16"/>
        <v>0.20000000000663931</v>
      </c>
      <c r="I17" s="119">
        <f t="shared" si="17"/>
        <v>0.20000000000663931</v>
      </c>
      <c r="J17" s="118">
        <v>142.25649999999999</v>
      </c>
      <c r="K17" s="119">
        <f t="shared" si="2"/>
        <v>-0.10000000003174137</v>
      </c>
      <c r="L17" s="119">
        <f t="shared" si="3"/>
        <v>9.9999999974897946E-2</v>
      </c>
      <c r="M17" s="118">
        <v>142.25470000000001</v>
      </c>
      <c r="N17" s="119">
        <f t="shared" si="10"/>
        <v>-1.7999999999744887</v>
      </c>
      <c r="O17" s="119">
        <f t="shared" si="11"/>
        <v>-1.6999999999995907</v>
      </c>
      <c r="P17" s="118">
        <v>142.25450000000001</v>
      </c>
      <c r="Q17" s="119">
        <f t="shared" si="12"/>
        <v>-0.20000000000663931</v>
      </c>
      <c r="R17" s="119">
        <f t="shared" si="13"/>
        <v>-1.90000000000623</v>
      </c>
      <c r="S17" s="118">
        <v>142.2527</v>
      </c>
      <c r="T17" s="119">
        <f t="shared" si="14"/>
        <v>-1.8000000000029104</v>
      </c>
      <c r="U17" s="126">
        <f t="shared" si="15"/>
        <v>-3.7000000000091404</v>
      </c>
      <c r="V17" s="119" t="s">
        <v>38</v>
      </c>
      <c r="W17" s="120">
        <v>9</v>
      </c>
      <c r="Z17" s="16">
        <v>9</v>
      </c>
      <c r="AA17" s="16">
        <v>0</v>
      </c>
      <c r="AB17" s="16">
        <v>0.20000000000663931</v>
      </c>
      <c r="AC17" s="16">
        <v>9.9999999974897946E-2</v>
      </c>
      <c r="AD17" s="16">
        <v>-1.6999999999995907</v>
      </c>
      <c r="AE17" s="16">
        <v>-1.90000000000623</v>
      </c>
      <c r="AF17" s="16">
        <v>-3.7000000000091404</v>
      </c>
    </row>
    <row r="18" spans="3:32" ht="15.6" customHeight="1" x14ac:dyDescent="0.3">
      <c r="C18" s="117">
        <v>10</v>
      </c>
      <c r="D18" s="118">
        <v>142.4717</v>
      </c>
      <c r="E18" s="119">
        <v>0</v>
      </c>
      <c r="F18" s="119">
        <v>0</v>
      </c>
      <c r="G18" s="84">
        <v>142.47149999999999</v>
      </c>
      <c r="H18" s="119">
        <f t="shared" si="16"/>
        <v>-0.20000000000663931</v>
      </c>
      <c r="I18" s="119">
        <f t="shared" si="17"/>
        <v>-0.20000000000663931</v>
      </c>
      <c r="J18" s="121">
        <v>142.47120000000001</v>
      </c>
      <c r="K18" s="119">
        <f t="shared" si="2"/>
        <v>-0.29999999998153726</v>
      </c>
      <c r="L18" s="119">
        <f t="shared" si="3"/>
        <v>-0.49999999998817657</v>
      </c>
      <c r="M18" s="118">
        <v>142.47190000000001</v>
      </c>
      <c r="N18" s="119">
        <f t="shared" si="10"/>
        <v>0.69999999999481588</v>
      </c>
      <c r="O18" s="119">
        <f t="shared" si="11"/>
        <v>0.20000000000663931</v>
      </c>
      <c r="P18" s="118">
        <v>142.47219999999999</v>
      </c>
      <c r="Q18" s="119">
        <f t="shared" si="12"/>
        <v>0.29999999998153726</v>
      </c>
      <c r="R18" s="119">
        <f t="shared" si="13"/>
        <v>0.49999999998817657</v>
      </c>
      <c r="S18" s="118">
        <v>142.47120000000001</v>
      </c>
      <c r="T18" s="119">
        <f t="shared" si="14"/>
        <v>-0.99999999997635314</v>
      </c>
      <c r="U18" s="119">
        <f t="shared" si="15"/>
        <v>-0.49999999998817657</v>
      </c>
      <c r="V18" s="119" t="s">
        <v>38</v>
      </c>
      <c r="W18" s="120">
        <v>10</v>
      </c>
      <c r="Y18" s="4"/>
      <c r="Z18" s="16">
        <v>10</v>
      </c>
      <c r="AA18" s="16">
        <v>0</v>
      </c>
      <c r="AB18" s="16">
        <v>-0.20000000000663931</v>
      </c>
      <c r="AC18" s="16">
        <v>-0.49999999998817657</v>
      </c>
      <c r="AD18" s="16">
        <v>0.20000000000663931</v>
      </c>
      <c r="AE18" s="16">
        <v>0.49999999998817657</v>
      </c>
      <c r="AF18" s="16">
        <v>-0.49999999998817657</v>
      </c>
    </row>
    <row r="19" spans="3:32" ht="15.6" customHeight="1" x14ac:dyDescent="0.3">
      <c r="C19" s="117">
        <v>11</v>
      </c>
      <c r="D19" s="118">
        <v>142.84180000000001</v>
      </c>
      <c r="E19" s="119">
        <v>0</v>
      </c>
      <c r="F19" s="119">
        <v>0</v>
      </c>
      <c r="G19" s="84">
        <v>142.84200000000001</v>
      </c>
      <c r="H19" s="119">
        <f t="shared" si="16"/>
        <v>0.20000000000663931</v>
      </c>
      <c r="I19" s="119">
        <f t="shared" si="17"/>
        <v>0.20000000000663931</v>
      </c>
      <c r="J19" s="121">
        <v>142.84119999999999</v>
      </c>
      <c r="K19" s="119">
        <f t="shared" si="2"/>
        <v>-0.80000000002655725</v>
      </c>
      <c r="L19" s="119">
        <f t="shared" si="3"/>
        <v>-0.60000000001991793</v>
      </c>
      <c r="M19" s="118">
        <v>142.8417</v>
      </c>
      <c r="N19" s="119">
        <f t="shared" si="10"/>
        <v>0.50000000001659828</v>
      </c>
      <c r="O19" s="119">
        <f t="shared" si="11"/>
        <v>-0.10000000000331966</v>
      </c>
      <c r="P19" s="118">
        <v>142.8415</v>
      </c>
      <c r="Q19" s="119">
        <f t="shared" si="12"/>
        <v>-0.20000000000663931</v>
      </c>
      <c r="R19" s="119">
        <f t="shared" si="13"/>
        <v>-0.30000000000995897</v>
      </c>
      <c r="S19" s="118">
        <v>142.8425</v>
      </c>
      <c r="T19" s="119">
        <f t="shared" si="14"/>
        <v>1.0000000000047748</v>
      </c>
      <c r="U19" s="119">
        <f t="shared" si="15"/>
        <v>0.69999999999481588</v>
      </c>
      <c r="V19" s="119" t="s">
        <v>36</v>
      </c>
      <c r="W19" s="120">
        <v>11</v>
      </c>
      <c r="Z19" s="16">
        <v>11</v>
      </c>
      <c r="AA19" s="16">
        <v>0</v>
      </c>
      <c r="AB19" s="16">
        <v>0.20000000000663931</v>
      </c>
      <c r="AC19" s="16">
        <v>-0.60000000001991793</v>
      </c>
      <c r="AD19" s="16">
        <v>-0.10000000000331966</v>
      </c>
      <c r="AE19" s="16">
        <v>-0.30000000000995897</v>
      </c>
      <c r="AF19" s="16">
        <v>0.69999999999481588</v>
      </c>
    </row>
    <row r="20" spans="3:32" ht="15.6" customHeight="1" x14ac:dyDescent="0.3">
      <c r="C20" s="117">
        <v>12</v>
      </c>
      <c r="D20" s="118">
        <v>142.49600000000001</v>
      </c>
      <c r="E20" s="119">
        <v>0</v>
      </c>
      <c r="F20" s="119">
        <v>0</v>
      </c>
      <c r="G20" s="84">
        <v>142.49620000000002</v>
      </c>
      <c r="H20" s="119">
        <f t="shared" si="16"/>
        <v>0.20000000000663931</v>
      </c>
      <c r="I20" s="119">
        <f t="shared" si="17"/>
        <v>0.20000000000663931</v>
      </c>
      <c r="J20" s="121">
        <v>142.49760000000001</v>
      </c>
      <c r="K20" s="119">
        <f t="shared" si="2"/>
        <v>1.3999999999896318</v>
      </c>
      <c r="L20" s="119">
        <f t="shared" si="3"/>
        <v>1.5999999999962711</v>
      </c>
      <c r="M20" s="118">
        <v>142.4975</v>
      </c>
      <c r="N20" s="119">
        <f t="shared" si="10"/>
        <v>-0.10000000000331966</v>
      </c>
      <c r="O20" s="119">
        <f t="shared" si="11"/>
        <v>1.4999999999929514</v>
      </c>
      <c r="P20" s="118">
        <v>142.49799999999999</v>
      </c>
      <c r="Q20" s="119">
        <f t="shared" si="12"/>
        <v>0.49999999998817657</v>
      </c>
      <c r="R20" s="119">
        <f t="shared" si="13"/>
        <v>1.999999999981128</v>
      </c>
      <c r="S20" s="118">
        <v>142.49809999999999</v>
      </c>
      <c r="T20" s="119">
        <f t="shared" si="14"/>
        <v>0.10000000000331966</v>
      </c>
      <c r="U20" s="119">
        <f t="shared" si="15"/>
        <v>2.0999999999844476</v>
      </c>
      <c r="V20" s="119" t="s">
        <v>36</v>
      </c>
      <c r="W20" s="33">
        <v>12</v>
      </c>
      <c r="Z20" s="16">
        <v>12</v>
      </c>
      <c r="AA20" s="16">
        <v>0</v>
      </c>
      <c r="AB20" s="16">
        <v>0.20000000000663931</v>
      </c>
      <c r="AC20" s="16">
        <v>1.5999999999962711</v>
      </c>
      <c r="AD20" s="16">
        <v>1.4999999999929514</v>
      </c>
      <c r="AE20" s="16">
        <v>1.999999999981128</v>
      </c>
      <c r="AF20" s="16">
        <v>2.0999999999844476</v>
      </c>
    </row>
    <row r="21" spans="3:32" ht="15.6" customHeight="1" x14ac:dyDescent="0.3">
      <c r="C21" s="117">
        <v>13</v>
      </c>
      <c r="D21" s="118">
        <v>142.6268</v>
      </c>
      <c r="E21" s="119">
        <v>0</v>
      </c>
      <c r="F21" s="119">
        <v>0</v>
      </c>
      <c r="G21" s="84">
        <v>142.62690000000001</v>
      </c>
      <c r="H21" s="119">
        <f t="shared" si="16"/>
        <v>0.10000000000331966</v>
      </c>
      <c r="I21" s="119">
        <f t="shared" si="17"/>
        <v>0.10000000000331966</v>
      </c>
      <c r="J21" s="121">
        <v>142.62710000000001</v>
      </c>
      <c r="K21" s="119">
        <f t="shared" si="2"/>
        <v>0.20000000000663931</v>
      </c>
      <c r="L21" s="119">
        <f t="shared" si="3"/>
        <v>0.30000000000995897</v>
      </c>
      <c r="M21" s="118">
        <v>142.6276</v>
      </c>
      <c r="N21" s="119">
        <f t="shared" si="10"/>
        <v>0.49999999998817657</v>
      </c>
      <c r="O21" s="119">
        <f t="shared" si="11"/>
        <v>0.79999999999813554</v>
      </c>
      <c r="P21" s="118">
        <v>142.62780000000001</v>
      </c>
      <c r="Q21" s="119">
        <f t="shared" si="12"/>
        <v>0.20000000000663931</v>
      </c>
      <c r="R21" s="119">
        <f t="shared" si="13"/>
        <v>1.0000000000047748</v>
      </c>
      <c r="S21" s="118">
        <v>142.6276</v>
      </c>
      <c r="T21" s="119">
        <f t="shared" si="14"/>
        <v>-0.20000000000663931</v>
      </c>
      <c r="U21" s="119">
        <f t="shared" si="15"/>
        <v>0.79999999999813554</v>
      </c>
      <c r="V21" s="119" t="s">
        <v>38</v>
      </c>
      <c r="W21" s="120">
        <v>13</v>
      </c>
      <c r="X21" s="17"/>
      <c r="Z21" s="16">
        <v>13</v>
      </c>
      <c r="AA21" s="16">
        <v>0</v>
      </c>
      <c r="AB21" s="16">
        <v>0.10000000000331966</v>
      </c>
      <c r="AC21" s="16">
        <v>0.30000000000995897</v>
      </c>
      <c r="AD21" s="16">
        <v>0.79999999999813554</v>
      </c>
      <c r="AE21" s="16">
        <v>1.0000000000047748</v>
      </c>
      <c r="AF21" s="16">
        <v>0.79999999999813554</v>
      </c>
    </row>
    <row r="22" spans="3:32" ht="15.6" customHeight="1" x14ac:dyDescent="0.3">
      <c r="C22" s="117">
        <v>14</v>
      </c>
      <c r="D22" s="118">
        <v>142.49160000000001</v>
      </c>
      <c r="E22" s="119">
        <v>0</v>
      </c>
      <c r="F22" s="119">
        <v>0</v>
      </c>
      <c r="G22" s="84">
        <v>142.49119999999999</v>
      </c>
      <c r="H22" s="119">
        <f t="shared" ref="H22" si="18">(G22-D22)*1000</f>
        <v>-0.40000000001327862</v>
      </c>
      <c r="I22" s="119">
        <f t="shared" ref="I22" si="19">F22+H22</f>
        <v>-0.40000000001327862</v>
      </c>
      <c r="J22" s="121">
        <v>142.48920000000001</v>
      </c>
      <c r="K22" s="119">
        <f t="shared" si="2"/>
        <v>-1.999999999981128</v>
      </c>
      <c r="L22" s="119">
        <f t="shared" si="3"/>
        <v>-2.3999999999944066</v>
      </c>
      <c r="M22" s="118">
        <v>142.48869999999999</v>
      </c>
      <c r="N22" s="119">
        <f t="shared" si="10"/>
        <v>-0.50000000001659828</v>
      </c>
      <c r="O22" s="119">
        <f t="shared" si="11"/>
        <v>-2.9000000000110049</v>
      </c>
      <c r="P22" s="118">
        <v>142.48920000000001</v>
      </c>
      <c r="Q22" s="119">
        <f t="shared" si="12"/>
        <v>0.50000000001659828</v>
      </c>
      <c r="R22" s="119">
        <f t="shared" si="13"/>
        <v>-2.3999999999944066</v>
      </c>
      <c r="S22" s="118">
        <v>142.49019999999999</v>
      </c>
      <c r="T22" s="119">
        <f t="shared" si="14"/>
        <v>0.99999999997635314</v>
      </c>
      <c r="U22" s="126">
        <f t="shared" si="15"/>
        <v>-1.4000000000180535</v>
      </c>
      <c r="V22" s="119" t="s">
        <v>36</v>
      </c>
      <c r="W22" s="120">
        <v>14</v>
      </c>
      <c r="Z22" s="16">
        <v>14</v>
      </c>
      <c r="AA22" s="16">
        <v>0</v>
      </c>
      <c r="AB22" s="16">
        <v>-0.40000000001327862</v>
      </c>
      <c r="AC22" s="16">
        <v>-2.3999999999944066</v>
      </c>
      <c r="AD22" s="16">
        <v>-2.9000000000110049</v>
      </c>
      <c r="AE22" s="16">
        <v>-2.3999999999944066</v>
      </c>
      <c r="AF22" s="16">
        <v>-1.4000000000180535</v>
      </c>
    </row>
    <row r="23" spans="3:32" ht="15.6" customHeight="1" x14ac:dyDescent="0.3">
      <c r="C23" s="117">
        <v>15</v>
      </c>
      <c r="D23" s="118">
        <v>142.54169999999999</v>
      </c>
      <c r="E23" s="119">
        <v>0</v>
      </c>
      <c r="F23" s="119">
        <v>0</v>
      </c>
      <c r="G23" s="84">
        <v>142.54179999999999</v>
      </c>
      <c r="H23" s="119">
        <f t="shared" ref="H23:H31" si="20">(G23-D23)*1000</f>
        <v>0.10000000000331966</v>
      </c>
      <c r="I23" s="119">
        <f t="shared" ref="I23:I31" si="21">F23+H23</f>
        <v>0.10000000000331966</v>
      </c>
      <c r="J23" s="121">
        <v>142.5411</v>
      </c>
      <c r="K23" s="119">
        <f t="shared" si="2"/>
        <v>-0.69999999999481588</v>
      </c>
      <c r="L23" s="119">
        <f t="shared" si="3"/>
        <v>-0.59999999999149622</v>
      </c>
      <c r="M23" s="118">
        <v>142.5411</v>
      </c>
      <c r="N23" s="119">
        <f t="shared" si="10"/>
        <v>0</v>
      </c>
      <c r="O23" s="119">
        <f t="shared" si="11"/>
        <v>-0.59999999999149622</v>
      </c>
      <c r="P23" s="118">
        <v>142.5395</v>
      </c>
      <c r="Q23" s="119">
        <f t="shared" si="12"/>
        <v>-1.5999999999962711</v>
      </c>
      <c r="R23" s="119">
        <f t="shared" si="13"/>
        <v>-2.1999999999877673</v>
      </c>
      <c r="S23" s="118">
        <v>142.54060000000001</v>
      </c>
      <c r="T23" s="119">
        <f t="shared" si="14"/>
        <v>1.1000000000080945</v>
      </c>
      <c r="U23" s="119">
        <f t="shared" si="15"/>
        <v>-1.0999999999796728</v>
      </c>
      <c r="V23" s="119" t="s">
        <v>36</v>
      </c>
      <c r="W23" s="120">
        <v>15</v>
      </c>
      <c r="Z23" s="16">
        <v>15</v>
      </c>
      <c r="AA23" s="16">
        <v>0</v>
      </c>
      <c r="AB23" s="16">
        <v>0.10000000000331966</v>
      </c>
      <c r="AC23" s="16">
        <v>-0.59999999999149622</v>
      </c>
      <c r="AD23" s="16">
        <v>-0.59999999999149622</v>
      </c>
      <c r="AE23" s="16">
        <v>-2.1999999999877673</v>
      </c>
      <c r="AF23" s="16">
        <v>-1.0999999999796728</v>
      </c>
    </row>
    <row r="24" spans="3:32" ht="15.6" customHeight="1" x14ac:dyDescent="0.3">
      <c r="C24" s="117">
        <v>16</v>
      </c>
      <c r="D24" s="118">
        <v>142.55770000000001</v>
      </c>
      <c r="E24" s="119">
        <v>0</v>
      </c>
      <c r="F24" s="119">
        <v>0</v>
      </c>
      <c r="G24" s="84">
        <v>142.5575</v>
      </c>
      <c r="H24" s="119">
        <f t="shared" si="20"/>
        <v>-0.20000000000663931</v>
      </c>
      <c r="I24" s="119">
        <f t="shared" si="21"/>
        <v>-0.20000000000663931</v>
      </c>
      <c r="J24" s="121">
        <v>142.5574</v>
      </c>
      <c r="K24" s="119">
        <f t="shared" si="2"/>
        <v>-0.10000000000331966</v>
      </c>
      <c r="L24" s="119">
        <f t="shared" si="3"/>
        <v>-0.30000000000995897</v>
      </c>
      <c r="M24" s="118">
        <v>142.5583</v>
      </c>
      <c r="N24" s="119">
        <f t="shared" si="10"/>
        <v>0.90000000000145519</v>
      </c>
      <c r="O24" s="119">
        <f t="shared" si="11"/>
        <v>0.59999999999149622</v>
      </c>
      <c r="P24" s="118">
        <v>142.55850000000001</v>
      </c>
      <c r="Q24" s="119">
        <f t="shared" si="12"/>
        <v>0.20000000000663931</v>
      </c>
      <c r="R24" s="119">
        <f t="shared" si="13"/>
        <v>0.79999999999813554</v>
      </c>
      <c r="S24" s="118">
        <v>142.55860000000001</v>
      </c>
      <c r="T24" s="119">
        <f t="shared" si="14"/>
        <v>0.10000000000331966</v>
      </c>
      <c r="U24" s="119">
        <f t="shared" si="15"/>
        <v>0.90000000000145519</v>
      </c>
      <c r="V24" s="119" t="s">
        <v>36</v>
      </c>
      <c r="W24" s="120">
        <v>16</v>
      </c>
      <c r="Z24" s="16">
        <v>16</v>
      </c>
      <c r="AA24" s="16">
        <v>0</v>
      </c>
      <c r="AB24" s="16">
        <v>-0.20000000000663931</v>
      </c>
      <c r="AC24" s="16">
        <v>-0.30000000000995897</v>
      </c>
      <c r="AD24" s="16">
        <v>0.59999999999149622</v>
      </c>
      <c r="AE24" s="16">
        <v>0.79999999999813554</v>
      </c>
      <c r="AF24" s="16">
        <v>0.90000000000145519</v>
      </c>
    </row>
    <row r="25" spans="3:32" ht="15.6" customHeight="1" x14ac:dyDescent="0.3">
      <c r="C25" s="117">
        <v>17</v>
      </c>
      <c r="D25" s="118">
        <v>142.54470000000001</v>
      </c>
      <c r="E25" s="119">
        <v>0</v>
      </c>
      <c r="F25" s="119">
        <v>0</v>
      </c>
      <c r="G25" s="84">
        <v>142.54490000000001</v>
      </c>
      <c r="H25" s="119">
        <f t="shared" si="20"/>
        <v>0.20000000000663931</v>
      </c>
      <c r="I25" s="119">
        <f t="shared" si="21"/>
        <v>0.20000000000663931</v>
      </c>
      <c r="J25" s="121">
        <v>142.54329999999999</v>
      </c>
      <c r="K25" s="119">
        <f t="shared" si="2"/>
        <v>-1.6000000000246928</v>
      </c>
      <c r="L25" s="119">
        <f t="shared" si="3"/>
        <v>-1.4000000000180535</v>
      </c>
      <c r="M25" s="118">
        <v>142.54390000000001</v>
      </c>
      <c r="N25" s="119">
        <f t="shared" si="10"/>
        <v>0.60000000001991793</v>
      </c>
      <c r="O25" s="119">
        <f t="shared" si="11"/>
        <v>-0.79999999999813554</v>
      </c>
      <c r="P25" s="118">
        <v>142.5438</v>
      </c>
      <c r="Q25" s="119">
        <f t="shared" si="12"/>
        <v>-0.10000000000331966</v>
      </c>
      <c r="R25" s="119">
        <f t="shared" si="13"/>
        <v>-0.90000000000145519</v>
      </c>
      <c r="S25" s="118">
        <v>142.5438</v>
      </c>
      <c r="T25" s="119">
        <f t="shared" si="14"/>
        <v>0</v>
      </c>
      <c r="U25" s="119">
        <f t="shared" si="15"/>
        <v>-0.90000000000145519</v>
      </c>
      <c r="V25" s="119" t="s">
        <v>36</v>
      </c>
      <c r="W25" s="120">
        <v>17</v>
      </c>
      <c r="Z25" s="16">
        <v>17</v>
      </c>
      <c r="AA25" s="16">
        <v>0</v>
      </c>
      <c r="AB25" s="16">
        <v>0.20000000000663931</v>
      </c>
      <c r="AC25" s="16">
        <v>-1.4000000000180535</v>
      </c>
      <c r="AD25" s="16">
        <v>-0.79999999999813554</v>
      </c>
      <c r="AE25" s="16">
        <v>-0.90000000000145519</v>
      </c>
      <c r="AF25" s="16">
        <v>-0.90000000000145519</v>
      </c>
    </row>
    <row r="26" spans="3:32" ht="15.6" customHeight="1" x14ac:dyDescent="0.3">
      <c r="C26" s="117">
        <v>18</v>
      </c>
      <c r="D26" s="118">
        <v>142.4879</v>
      </c>
      <c r="E26" s="119">
        <v>0</v>
      </c>
      <c r="F26" s="119">
        <v>0</v>
      </c>
      <c r="G26" s="84">
        <v>142.48749999999998</v>
      </c>
      <c r="H26" s="119">
        <f t="shared" si="20"/>
        <v>-0.40000000001327862</v>
      </c>
      <c r="I26" s="119">
        <f t="shared" si="21"/>
        <v>-0.40000000001327862</v>
      </c>
      <c r="J26" s="121">
        <v>142.488</v>
      </c>
      <c r="K26" s="119">
        <f t="shared" si="2"/>
        <v>0.50000000001659828</v>
      </c>
      <c r="L26" s="119">
        <f t="shared" si="3"/>
        <v>0.10000000000331966</v>
      </c>
      <c r="M26" s="118">
        <v>142.48820000000001</v>
      </c>
      <c r="N26" s="119">
        <f t="shared" si="10"/>
        <v>0.20000000000663931</v>
      </c>
      <c r="O26" s="119">
        <f t="shared" si="11"/>
        <v>0.30000000000995897</v>
      </c>
      <c r="P26" s="118">
        <v>142.48830000000001</v>
      </c>
      <c r="Q26" s="119">
        <f t="shared" si="12"/>
        <v>0.10000000000331966</v>
      </c>
      <c r="R26" s="119">
        <f t="shared" si="13"/>
        <v>0.40000000001327862</v>
      </c>
      <c r="S26" s="118">
        <v>142.48759999999999</v>
      </c>
      <c r="T26" s="119">
        <f t="shared" si="14"/>
        <v>-0.70000000002323759</v>
      </c>
      <c r="U26" s="119">
        <f t="shared" si="15"/>
        <v>-0.30000000000995897</v>
      </c>
      <c r="V26" s="119" t="s">
        <v>35</v>
      </c>
      <c r="W26" s="120">
        <v>18</v>
      </c>
      <c r="Z26" s="16">
        <v>18</v>
      </c>
      <c r="AA26" s="16">
        <v>0</v>
      </c>
      <c r="AB26" s="16">
        <v>-0.40000000001327862</v>
      </c>
      <c r="AC26" s="16">
        <v>0.10000000000331966</v>
      </c>
      <c r="AD26" s="16">
        <v>0.30000000000995897</v>
      </c>
      <c r="AE26" s="16">
        <v>0.40000000001327862</v>
      </c>
      <c r="AF26" s="16">
        <v>-0.30000000000995897</v>
      </c>
    </row>
    <row r="27" spans="3:32" ht="15.6" customHeight="1" x14ac:dyDescent="0.3">
      <c r="C27" s="117">
        <v>19</v>
      </c>
      <c r="D27" s="118">
        <v>142.49600000000001</v>
      </c>
      <c r="E27" s="119">
        <v>0</v>
      </c>
      <c r="F27" s="119">
        <v>0</v>
      </c>
      <c r="G27" s="84">
        <v>142.4957</v>
      </c>
      <c r="H27" s="119">
        <f t="shared" si="20"/>
        <v>-0.30000000000995897</v>
      </c>
      <c r="I27" s="119">
        <f t="shared" si="21"/>
        <v>-0.30000000000995897</v>
      </c>
      <c r="J27" s="121">
        <v>142.49600000000001</v>
      </c>
      <c r="K27" s="119">
        <f t="shared" si="2"/>
        <v>0.30000000000995897</v>
      </c>
      <c r="L27" s="119">
        <f t="shared" si="3"/>
        <v>0</v>
      </c>
      <c r="M27" s="118">
        <v>142.4966</v>
      </c>
      <c r="N27" s="119">
        <f t="shared" si="10"/>
        <v>0.59999999999149622</v>
      </c>
      <c r="O27" s="119">
        <f t="shared" si="11"/>
        <v>0.59999999999149622</v>
      </c>
      <c r="P27" s="118">
        <v>142.4957</v>
      </c>
      <c r="Q27" s="119">
        <f t="shared" si="12"/>
        <v>-0.90000000000145519</v>
      </c>
      <c r="R27" s="119">
        <f t="shared" si="13"/>
        <v>-0.30000000000995897</v>
      </c>
      <c r="S27" s="118">
        <v>142.49549999999999</v>
      </c>
      <c r="T27" s="119">
        <f t="shared" si="14"/>
        <v>-0.20000000000663931</v>
      </c>
      <c r="U27" s="119">
        <f t="shared" si="15"/>
        <v>-0.50000000001659828</v>
      </c>
      <c r="V27" s="119" t="s">
        <v>36</v>
      </c>
      <c r="W27" s="120">
        <v>19</v>
      </c>
      <c r="Z27" s="16">
        <v>19</v>
      </c>
      <c r="AA27" s="16">
        <v>0</v>
      </c>
      <c r="AB27" s="16">
        <v>-0.30000000000995897</v>
      </c>
      <c r="AC27" s="16">
        <v>0</v>
      </c>
      <c r="AD27" s="16">
        <v>0.59999999999149622</v>
      </c>
      <c r="AE27" s="16">
        <v>-0.30000000000995897</v>
      </c>
      <c r="AF27" s="16">
        <v>-0.50000000001659828</v>
      </c>
    </row>
    <row r="28" spans="3:32" ht="15.6" customHeight="1" x14ac:dyDescent="0.3">
      <c r="C28" s="117">
        <v>20</v>
      </c>
      <c r="D28" s="118">
        <v>142.6498</v>
      </c>
      <c r="E28" s="119">
        <v>0</v>
      </c>
      <c r="F28" s="119">
        <v>0</v>
      </c>
      <c r="G28" s="84">
        <v>142.6499</v>
      </c>
      <c r="H28" s="119">
        <f t="shared" si="20"/>
        <v>0.10000000000331966</v>
      </c>
      <c r="I28" s="119">
        <f t="shared" si="21"/>
        <v>0.10000000000331966</v>
      </c>
      <c r="J28" s="121">
        <v>142.6497</v>
      </c>
      <c r="K28" s="119">
        <f t="shared" si="2"/>
        <v>-0.20000000000663931</v>
      </c>
      <c r="L28" s="119">
        <f t="shared" si="3"/>
        <v>-0.10000000000331966</v>
      </c>
      <c r="M28" s="118">
        <v>142.6491</v>
      </c>
      <c r="N28" s="119">
        <f t="shared" si="10"/>
        <v>-0.59999999999149622</v>
      </c>
      <c r="O28" s="119">
        <f t="shared" si="11"/>
        <v>-0.69999999999481588</v>
      </c>
      <c r="P28" s="118">
        <v>142.6498</v>
      </c>
      <c r="Q28" s="119">
        <f t="shared" si="12"/>
        <v>0.69999999999481588</v>
      </c>
      <c r="R28" s="119">
        <f t="shared" si="13"/>
        <v>0</v>
      </c>
      <c r="S28" s="118">
        <v>142.6508</v>
      </c>
      <c r="T28" s="119">
        <f t="shared" si="14"/>
        <v>1.0000000000047748</v>
      </c>
      <c r="U28" s="119">
        <f t="shared" si="15"/>
        <v>1.0000000000047748</v>
      </c>
      <c r="V28" s="119" t="s">
        <v>38</v>
      </c>
      <c r="W28" s="120">
        <v>20</v>
      </c>
      <c r="Z28" s="16">
        <v>20</v>
      </c>
      <c r="AA28" s="16">
        <v>0</v>
      </c>
      <c r="AB28" s="16">
        <v>0.10000000000331966</v>
      </c>
      <c r="AC28" s="16">
        <v>-0.10000000000331966</v>
      </c>
      <c r="AD28" s="16">
        <v>-0.69999999999481588</v>
      </c>
      <c r="AE28" s="16">
        <v>0</v>
      </c>
      <c r="AF28" s="16">
        <v>1.0000000000047748</v>
      </c>
    </row>
    <row r="29" spans="3:32" ht="15.6" customHeight="1" x14ac:dyDescent="0.3">
      <c r="C29" s="117">
        <v>21</v>
      </c>
      <c r="D29" s="118">
        <v>141.99539999999999</v>
      </c>
      <c r="E29" s="119">
        <v>0</v>
      </c>
      <c r="F29" s="119">
        <v>0</v>
      </c>
      <c r="G29" s="84">
        <v>141.99509999999998</v>
      </c>
      <c r="H29" s="119">
        <f t="shared" si="20"/>
        <v>-0.30000000000995897</v>
      </c>
      <c r="I29" s="119">
        <f t="shared" si="21"/>
        <v>-0.30000000000995897</v>
      </c>
      <c r="J29" s="121">
        <v>141.99590000000001</v>
      </c>
      <c r="K29" s="119">
        <f t="shared" si="2"/>
        <v>0.80000000002655725</v>
      </c>
      <c r="L29" s="119">
        <f t="shared" si="3"/>
        <v>0.50000000001659828</v>
      </c>
      <c r="M29" s="118">
        <v>141.99590000000001</v>
      </c>
      <c r="N29" s="119">
        <f t="shared" si="10"/>
        <v>0</v>
      </c>
      <c r="O29" s="119">
        <f t="shared" si="11"/>
        <v>0.50000000001659828</v>
      </c>
      <c r="P29" s="118">
        <v>141.99639999999999</v>
      </c>
      <c r="Q29" s="119">
        <f t="shared" si="12"/>
        <v>0.49999999998817657</v>
      </c>
      <c r="R29" s="119">
        <f t="shared" si="13"/>
        <v>1.0000000000047748</v>
      </c>
      <c r="S29" s="118">
        <v>141.99549999999999</v>
      </c>
      <c r="T29" s="119">
        <f t="shared" si="14"/>
        <v>-0.90000000000145519</v>
      </c>
      <c r="U29" s="119">
        <f t="shared" si="15"/>
        <v>0.10000000000331966</v>
      </c>
      <c r="V29" s="119" t="s">
        <v>38</v>
      </c>
      <c r="W29" s="120">
        <v>21</v>
      </c>
      <c r="X29" s="19"/>
      <c r="Y29" s="19"/>
      <c r="Z29" s="16">
        <v>21</v>
      </c>
      <c r="AA29" s="16">
        <v>0</v>
      </c>
      <c r="AB29" s="16">
        <v>-0.30000000000995897</v>
      </c>
      <c r="AC29" s="16">
        <v>0.50000000001659828</v>
      </c>
      <c r="AD29" s="16">
        <v>0.50000000001659828</v>
      </c>
      <c r="AE29" s="16">
        <v>1.0000000000047748</v>
      </c>
      <c r="AF29" s="16">
        <v>0.10000000000331966</v>
      </c>
    </row>
    <row r="30" spans="3:32" ht="15.6" customHeight="1" x14ac:dyDescent="0.3">
      <c r="C30" s="117">
        <v>22</v>
      </c>
      <c r="D30" s="118">
        <v>142.5496</v>
      </c>
      <c r="E30" s="119">
        <v>0</v>
      </c>
      <c r="F30" s="119">
        <v>0</v>
      </c>
      <c r="G30" s="84">
        <v>142.54939999999999</v>
      </c>
      <c r="H30" s="119">
        <f t="shared" si="20"/>
        <v>-0.20000000000663931</v>
      </c>
      <c r="I30" s="119">
        <f t="shared" si="21"/>
        <v>-0.20000000000663931</v>
      </c>
      <c r="J30" s="121">
        <v>142.55080000000001</v>
      </c>
      <c r="K30" s="119">
        <f t="shared" si="2"/>
        <v>1.4000000000180535</v>
      </c>
      <c r="L30" s="119">
        <f t="shared" si="3"/>
        <v>1.2000000000114142</v>
      </c>
      <c r="M30" s="118">
        <v>142.55009999999999</v>
      </c>
      <c r="N30" s="119">
        <f t="shared" si="10"/>
        <v>-0.70000000002323759</v>
      </c>
      <c r="O30" s="119">
        <f t="shared" si="11"/>
        <v>0.49999999998817657</v>
      </c>
      <c r="P30" s="118">
        <v>142.5489</v>
      </c>
      <c r="Q30" s="119">
        <f t="shared" si="12"/>
        <v>-1.1999999999829924</v>
      </c>
      <c r="R30" s="119">
        <f t="shared" si="13"/>
        <v>-0.69999999999481588</v>
      </c>
      <c r="S30" s="118">
        <v>142.5488</v>
      </c>
      <c r="T30" s="119">
        <f t="shared" si="14"/>
        <v>-0.10000000000331966</v>
      </c>
      <c r="U30" s="119">
        <f t="shared" si="15"/>
        <v>-0.79999999999813554</v>
      </c>
      <c r="V30" s="119" t="s">
        <v>38</v>
      </c>
      <c r="W30" s="120">
        <v>22</v>
      </c>
      <c r="Z30" s="16">
        <v>22</v>
      </c>
      <c r="AA30" s="16">
        <v>0</v>
      </c>
      <c r="AB30" s="16">
        <v>-0.20000000000663931</v>
      </c>
      <c r="AC30" s="16">
        <v>1.2000000000114142</v>
      </c>
      <c r="AD30" s="16">
        <v>0.49999999998817657</v>
      </c>
      <c r="AE30" s="16">
        <v>-0.69999999999481588</v>
      </c>
      <c r="AF30" s="16">
        <v>-0.79999999999813554</v>
      </c>
    </row>
    <row r="31" spans="3:32" ht="15.6" customHeight="1" x14ac:dyDescent="0.3">
      <c r="C31" s="117">
        <v>23</v>
      </c>
      <c r="D31" s="118">
        <v>142.84180000000001</v>
      </c>
      <c r="E31" s="119">
        <v>0</v>
      </c>
      <c r="F31" s="119">
        <v>0</v>
      </c>
      <c r="G31" s="84">
        <v>142.84200000000001</v>
      </c>
      <c r="H31" s="119">
        <f t="shared" si="20"/>
        <v>0.20000000000663931</v>
      </c>
      <c r="I31" s="119">
        <f t="shared" si="21"/>
        <v>0.20000000000663931</v>
      </c>
      <c r="J31" s="121">
        <v>142.84289999999999</v>
      </c>
      <c r="K31" s="119">
        <f t="shared" si="2"/>
        <v>0.89999999997303348</v>
      </c>
      <c r="L31" s="119">
        <f t="shared" si="3"/>
        <v>1.0999999999796728</v>
      </c>
      <c r="M31" s="118">
        <v>142.8424</v>
      </c>
      <c r="N31" s="119">
        <f t="shared" si="10"/>
        <v>-0.49999999998817657</v>
      </c>
      <c r="O31" s="119">
        <f t="shared" si="11"/>
        <v>0.59999999999149622</v>
      </c>
      <c r="P31" s="118">
        <v>142.84209999999999</v>
      </c>
      <c r="Q31" s="119">
        <f t="shared" si="12"/>
        <v>-0.30000000000995897</v>
      </c>
      <c r="R31" s="119">
        <f t="shared" si="13"/>
        <v>0.29999999998153726</v>
      </c>
      <c r="S31" s="118">
        <v>142.84280000000001</v>
      </c>
      <c r="T31" s="119">
        <f t="shared" si="14"/>
        <v>0.70000000002323759</v>
      </c>
      <c r="U31" s="119">
        <f t="shared" si="15"/>
        <v>1.0000000000047748</v>
      </c>
      <c r="V31" s="119" t="s">
        <v>36</v>
      </c>
      <c r="W31" s="120">
        <v>23</v>
      </c>
      <c r="Z31" s="16">
        <v>23</v>
      </c>
      <c r="AA31" s="16">
        <v>0</v>
      </c>
      <c r="AB31" s="16">
        <v>0.20000000000663931</v>
      </c>
      <c r="AC31" s="16">
        <v>1.0999999999796728</v>
      </c>
      <c r="AD31" s="16">
        <v>0.59999999999149622</v>
      </c>
      <c r="AE31" s="16">
        <v>0.29999999998153726</v>
      </c>
      <c r="AF31" s="16">
        <v>1.0000000000047748</v>
      </c>
    </row>
  </sheetData>
  <mergeCells count="12">
    <mergeCell ref="C4:W4"/>
    <mergeCell ref="C5:W5"/>
    <mergeCell ref="C6:W6"/>
    <mergeCell ref="C7:C8"/>
    <mergeCell ref="D7:F7"/>
    <mergeCell ref="G7:I7"/>
    <mergeCell ref="J7:L7"/>
    <mergeCell ref="V7:V8"/>
    <mergeCell ref="W7:W8"/>
    <mergeCell ref="M7:O7"/>
    <mergeCell ref="P7:R7"/>
    <mergeCell ref="S7:U7"/>
  </mergeCells>
  <pageMargins left="0.7" right="0.7" top="0.75" bottom="0.75" header="0.3" footer="0.3"/>
  <pageSetup paperSize="9" scale="1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O66"/>
  <sheetViews>
    <sheetView tabSelected="1" zoomScale="85" zoomScaleNormal="85" workbookViewId="0">
      <selection activeCell="BL4" sqref="C4:BL66"/>
    </sheetView>
  </sheetViews>
  <sheetFormatPr defaultColWidth="9.109375" defaultRowHeight="15.6" x14ac:dyDescent="0.3"/>
  <cols>
    <col min="1" max="2" width="9.109375" style="4"/>
    <col min="3" max="3" width="5.6640625" style="2" customWidth="1"/>
    <col min="4" max="5" width="12.6640625" style="38" hidden="1" customWidth="1"/>
    <col min="6" max="8" width="12.6640625" style="4" hidden="1" customWidth="1"/>
    <col min="9" max="10" width="12.6640625" style="14" hidden="1" customWidth="1"/>
    <col min="11" max="13" width="11.6640625" style="14" hidden="1" customWidth="1"/>
    <col min="14" max="15" width="12.6640625" style="4" hidden="1" customWidth="1"/>
    <col min="16" max="18" width="11.6640625" style="4" hidden="1" customWidth="1"/>
    <col min="19" max="20" width="12.6640625" style="4" hidden="1" customWidth="1"/>
    <col min="21" max="23" width="11.6640625" style="4" hidden="1" customWidth="1"/>
    <col min="24" max="25" width="12.6640625" style="4" hidden="1" customWidth="1"/>
    <col min="26" max="28" width="11.6640625" style="4" hidden="1" customWidth="1"/>
    <col min="29" max="30" width="12.6640625" style="4" hidden="1" customWidth="1"/>
    <col min="31" max="33" width="11.6640625" style="14" hidden="1" customWidth="1"/>
    <col min="34" max="35" width="11.6640625" style="109" hidden="1" customWidth="1"/>
    <col min="36" max="37" width="11.6640625" style="14" hidden="1" customWidth="1"/>
    <col min="38" max="38" width="11.6640625" style="4" hidden="1" customWidth="1"/>
    <col min="39" max="40" width="11.6640625" style="38" hidden="1" customWidth="1"/>
    <col min="41" max="43" width="11.6640625" style="4" hidden="1" customWidth="1"/>
    <col min="44" max="45" width="11.6640625" style="38" hidden="1" customWidth="1"/>
    <col min="46" max="48" width="11.6640625" style="4" hidden="1" customWidth="1"/>
    <col min="49" max="50" width="11.6640625" style="38" hidden="1" customWidth="1"/>
    <col min="51" max="53" width="11.6640625" style="4" hidden="1" customWidth="1"/>
    <col min="54" max="55" width="11.77734375" style="38" customWidth="1"/>
    <col min="56" max="58" width="11.77734375" style="4" customWidth="1"/>
    <col min="59" max="60" width="11.77734375" style="38" customWidth="1"/>
    <col min="61" max="63" width="11.77734375" style="4" customWidth="1"/>
    <col min="64" max="64" width="5.6640625" style="16" customWidth="1"/>
    <col min="65" max="65" width="11.33203125" style="16" bestFit="1" customWidth="1"/>
    <col min="66" max="66" width="25.44140625" style="16" customWidth="1"/>
    <col min="67" max="67" width="15.5546875" style="16" customWidth="1"/>
    <col min="68" max="16384" width="9.109375" style="16"/>
  </cols>
  <sheetData>
    <row r="2" spans="3:67" x14ac:dyDescent="0.3">
      <c r="BM2" s="37"/>
      <c r="BN2" s="14"/>
      <c r="BO2" s="14"/>
    </row>
    <row r="3" spans="3:67" x14ac:dyDescent="0.3">
      <c r="BN3" s="124" t="s">
        <v>241</v>
      </c>
    </row>
    <row r="4" spans="3:67" x14ac:dyDescent="0.3">
      <c r="C4" s="13"/>
      <c r="D4" s="109"/>
      <c r="E4" s="109"/>
      <c r="F4" s="14"/>
      <c r="G4" s="14"/>
      <c r="H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L4" s="14"/>
      <c r="AM4" s="109"/>
      <c r="AN4" s="109"/>
      <c r="AO4" s="14"/>
      <c r="AP4" s="14"/>
      <c r="AQ4" s="14"/>
      <c r="AR4" s="109"/>
      <c r="AS4" s="109"/>
      <c r="AT4" s="14"/>
      <c r="AU4" s="14"/>
      <c r="AV4" s="14"/>
      <c r="AW4" s="109"/>
      <c r="AX4" s="109"/>
      <c r="AY4" s="14"/>
      <c r="AZ4" s="14"/>
      <c r="BA4" s="14"/>
      <c r="BB4" s="109"/>
      <c r="BC4" s="109"/>
      <c r="BD4" s="14"/>
      <c r="BE4" s="14"/>
      <c r="BF4" s="14"/>
      <c r="BG4" s="109"/>
      <c r="BH4" s="109"/>
      <c r="BI4" s="14"/>
      <c r="BJ4" s="14"/>
      <c r="BK4" s="14"/>
      <c r="BL4" s="15" t="s">
        <v>18</v>
      </c>
      <c r="BN4" s="124" t="s">
        <v>242</v>
      </c>
    </row>
    <row r="5" spans="3:67" x14ac:dyDescent="0.3">
      <c r="C5" s="13"/>
      <c r="D5" s="39"/>
      <c r="E5" s="39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9"/>
      <c r="AI5" s="39"/>
      <c r="AJ5" s="35"/>
      <c r="AK5" s="35"/>
      <c r="AL5" s="35"/>
      <c r="AM5" s="39"/>
      <c r="AN5" s="39"/>
      <c r="AO5" s="35"/>
      <c r="AP5" s="35"/>
      <c r="AQ5" s="35"/>
      <c r="AR5" s="39"/>
      <c r="AS5" s="39"/>
      <c r="AT5" s="35"/>
      <c r="AU5" s="35"/>
      <c r="AV5" s="35"/>
      <c r="AW5" s="39"/>
      <c r="AX5" s="39"/>
      <c r="AY5" s="35"/>
      <c r="AZ5" s="35"/>
      <c r="BA5" s="35"/>
      <c r="BB5" s="39"/>
      <c r="BC5" s="39"/>
      <c r="BD5" s="35"/>
      <c r="BE5" s="35"/>
      <c r="BF5" s="35"/>
      <c r="BG5" s="39"/>
      <c r="BH5" s="39"/>
      <c r="BI5" s="35"/>
      <c r="BJ5" s="35"/>
      <c r="BK5" s="35"/>
      <c r="BL5" s="15" t="s">
        <v>25</v>
      </c>
    </row>
    <row r="6" spans="3:67" x14ac:dyDescent="0.3">
      <c r="C6" s="153" t="s">
        <v>15</v>
      </c>
      <c r="D6" s="153"/>
      <c r="E6" s="153"/>
      <c r="F6" s="153"/>
      <c r="G6" s="153"/>
      <c r="H6" s="153"/>
      <c r="I6" s="153"/>
      <c r="J6" s="153"/>
      <c r="K6" s="153"/>
      <c r="L6" s="153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3"/>
      <c r="AK6" s="153"/>
      <c r="AL6" s="153"/>
      <c r="AM6" s="153"/>
      <c r="AN6" s="153"/>
      <c r="AO6" s="153"/>
      <c r="AP6" s="153"/>
      <c r="AQ6" s="153"/>
      <c r="AR6" s="153"/>
      <c r="AS6" s="153"/>
      <c r="AT6" s="153"/>
      <c r="AU6" s="153"/>
      <c r="AV6" s="153"/>
      <c r="AW6" s="153"/>
      <c r="AX6" s="153"/>
      <c r="AY6" s="153"/>
      <c r="AZ6" s="153"/>
      <c r="BA6" s="153"/>
      <c r="BB6" s="153"/>
      <c r="BC6" s="153"/>
      <c r="BD6" s="153"/>
      <c r="BE6" s="153"/>
      <c r="BF6" s="153"/>
      <c r="BG6" s="153"/>
      <c r="BH6" s="153"/>
      <c r="BI6" s="153"/>
      <c r="BJ6" s="153"/>
      <c r="BK6" s="153"/>
      <c r="BL6" s="153"/>
    </row>
    <row r="7" spans="3:67" x14ac:dyDescent="0.3">
      <c r="C7" s="129" t="s">
        <v>16</v>
      </c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29"/>
      <c r="BJ7" s="129"/>
      <c r="BK7" s="129"/>
      <c r="BL7" s="129"/>
    </row>
    <row r="8" spans="3:67" ht="30.75" customHeight="1" x14ac:dyDescent="0.3">
      <c r="C8" s="157" t="s">
        <v>1</v>
      </c>
      <c r="D8" s="159" t="s">
        <v>21</v>
      </c>
      <c r="E8" s="160"/>
      <c r="F8" s="154" t="s">
        <v>22</v>
      </c>
      <c r="G8" s="155"/>
      <c r="H8" s="156"/>
      <c r="I8" s="132" t="s">
        <v>23</v>
      </c>
      <c r="J8" s="133"/>
      <c r="K8" s="154" t="s">
        <v>20</v>
      </c>
      <c r="L8" s="155"/>
      <c r="M8" s="156"/>
      <c r="N8" s="161" t="s">
        <v>39</v>
      </c>
      <c r="O8" s="162"/>
      <c r="P8" s="140" t="s">
        <v>40</v>
      </c>
      <c r="Q8" s="141"/>
      <c r="R8" s="142"/>
      <c r="S8" s="161" t="s">
        <v>41</v>
      </c>
      <c r="T8" s="162"/>
      <c r="U8" s="140" t="s">
        <v>42</v>
      </c>
      <c r="V8" s="141"/>
      <c r="W8" s="142"/>
      <c r="X8" s="161" t="s">
        <v>46</v>
      </c>
      <c r="Y8" s="162"/>
      <c r="Z8" s="140" t="s">
        <v>47</v>
      </c>
      <c r="AA8" s="141"/>
      <c r="AB8" s="142"/>
      <c r="AC8" s="161" t="s">
        <v>48</v>
      </c>
      <c r="AD8" s="162"/>
      <c r="AE8" s="154" t="s">
        <v>49</v>
      </c>
      <c r="AF8" s="155"/>
      <c r="AG8" s="156"/>
      <c r="AH8" s="138" t="s">
        <v>153</v>
      </c>
      <c r="AI8" s="139"/>
      <c r="AJ8" s="140" t="s">
        <v>154</v>
      </c>
      <c r="AK8" s="141"/>
      <c r="AL8" s="142"/>
      <c r="AM8" s="159" t="s">
        <v>155</v>
      </c>
      <c r="AN8" s="160"/>
      <c r="AO8" s="154" t="s">
        <v>156</v>
      </c>
      <c r="AP8" s="155"/>
      <c r="AQ8" s="156"/>
      <c r="AR8" s="138" t="s">
        <v>206</v>
      </c>
      <c r="AS8" s="139"/>
      <c r="AT8" s="140" t="s">
        <v>207</v>
      </c>
      <c r="AU8" s="141"/>
      <c r="AV8" s="142"/>
      <c r="AW8" s="138" t="s">
        <v>208</v>
      </c>
      <c r="AX8" s="139"/>
      <c r="AY8" s="140" t="s">
        <v>209</v>
      </c>
      <c r="AZ8" s="141"/>
      <c r="BA8" s="142"/>
      <c r="BB8" s="138" t="s">
        <v>244</v>
      </c>
      <c r="BC8" s="139"/>
      <c r="BD8" s="140" t="s">
        <v>245</v>
      </c>
      <c r="BE8" s="141"/>
      <c r="BF8" s="142"/>
      <c r="BG8" s="138" t="s">
        <v>246</v>
      </c>
      <c r="BH8" s="139"/>
      <c r="BI8" s="140" t="s">
        <v>247</v>
      </c>
      <c r="BJ8" s="141"/>
      <c r="BK8" s="142"/>
      <c r="BL8" s="157" t="s">
        <v>1</v>
      </c>
    </row>
    <row r="9" spans="3:67" ht="27" customHeight="1" x14ac:dyDescent="0.3">
      <c r="C9" s="158"/>
      <c r="D9" s="31" t="s">
        <v>10</v>
      </c>
      <c r="E9" s="31" t="s">
        <v>11</v>
      </c>
      <c r="F9" s="30" t="s">
        <v>12</v>
      </c>
      <c r="G9" s="30" t="s">
        <v>13</v>
      </c>
      <c r="H9" s="30" t="s">
        <v>14</v>
      </c>
      <c r="I9" s="47" t="s">
        <v>10</v>
      </c>
      <c r="J9" s="47" t="s">
        <v>11</v>
      </c>
      <c r="K9" s="30" t="s">
        <v>12</v>
      </c>
      <c r="L9" s="30" t="s">
        <v>13</v>
      </c>
      <c r="M9" s="30" t="s">
        <v>14</v>
      </c>
      <c r="N9" s="31" t="s">
        <v>10</v>
      </c>
      <c r="O9" s="31" t="s">
        <v>11</v>
      </c>
      <c r="P9" s="70" t="s">
        <v>12</v>
      </c>
      <c r="Q9" s="70" t="s">
        <v>13</v>
      </c>
      <c r="R9" s="70" t="s">
        <v>14</v>
      </c>
      <c r="S9" s="31" t="s">
        <v>10</v>
      </c>
      <c r="T9" s="31" t="s">
        <v>11</v>
      </c>
      <c r="U9" s="70" t="s">
        <v>12</v>
      </c>
      <c r="V9" s="70" t="s">
        <v>13</v>
      </c>
      <c r="W9" s="70" t="s">
        <v>14</v>
      </c>
      <c r="X9" s="31" t="s">
        <v>10</v>
      </c>
      <c r="Y9" s="31" t="s">
        <v>11</v>
      </c>
      <c r="Z9" s="70" t="s">
        <v>12</v>
      </c>
      <c r="AA9" s="70" t="s">
        <v>13</v>
      </c>
      <c r="AB9" s="70" t="s">
        <v>14</v>
      </c>
      <c r="AC9" s="31" t="s">
        <v>10</v>
      </c>
      <c r="AD9" s="31" t="s">
        <v>11</v>
      </c>
      <c r="AE9" s="30" t="s">
        <v>12</v>
      </c>
      <c r="AF9" s="30" t="s">
        <v>13</v>
      </c>
      <c r="AG9" s="30" t="s">
        <v>14</v>
      </c>
      <c r="AH9" s="47" t="s">
        <v>10</v>
      </c>
      <c r="AI9" s="47" t="s">
        <v>11</v>
      </c>
      <c r="AJ9" s="30" t="s">
        <v>12</v>
      </c>
      <c r="AK9" s="30" t="s">
        <v>13</v>
      </c>
      <c r="AL9" s="70" t="s">
        <v>14</v>
      </c>
      <c r="AM9" s="31" t="s">
        <v>10</v>
      </c>
      <c r="AN9" s="31" t="s">
        <v>11</v>
      </c>
      <c r="AO9" s="30" t="s">
        <v>12</v>
      </c>
      <c r="AP9" s="30" t="s">
        <v>13</v>
      </c>
      <c r="AQ9" s="30" t="s">
        <v>14</v>
      </c>
      <c r="AR9" s="47" t="s">
        <v>10</v>
      </c>
      <c r="AS9" s="47" t="s">
        <v>11</v>
      </c>
      <c r="AT9" s="30" t="s">
        <v>12</v>
      </c>
      <c r="AU9" s="30" t="s">
        <v>13</v>
      </c>
      <c r="AV9" s="70" t="s">
        <v>14</v>
      </c>
      <c r="AW9" s="47" t="s">
        <v>10</v>
      </c>
      <c r="AX9" s="47" t="s">
        <v>11</v>
      </c>
      <c r="AY9" s="30" t="s">
        <v>12</v>
      </c>
      <c r="AZ9" s="30" t="s">
        <v>13</v>
      </c>
      <c r="BA9" s="70" t="s">
        <v>14</v>
      </c>
      <c r="BB9" s="47" t="s">
        <v>10</v>
      </c>
      <c r="BC9" s="47" t="s">
        <v>11</v>
      </c>
      <c r="BD9" s="30" t="s">
        <v>12</v>
      </c>
      <c r="BE9" s="30" t="s">
        <v>13</v>
      </c>
      <c r="BF9" s="70" t="s">
        <v>14</v>
      </c>
      <c r="BG9" s="47" t="s">
        <v>10</v>
      </c>
      <c r="BH9" s="47" t="s">
        <v>11</v>
      </c>
      <c r="BI9" s="30" t="s">
        <v>12</v>
      </c>
      <c r="BJ9" s="30" t="s">
        <v>13</v>
      </c>
      <c r="BK9" s="70" t="s">
        <v>14</v>
      </c>
      <c r="BL9" s="158"/>
    </row>
    <row r="10" spans="3:67" ht="15.75" customHeight="1" x14ac:dyDescent="0.3">
      <c r="C10" s="32">
        <v>1</v>
      </c>
      <c r="D10" s="151" t="s">
        <v>26</v>
      </c>
      <c r="E10" s="152"/>
      <c r="F10" s="33" t="s">
        <v>17</v>
      </c>
      <c r="G10" s="33" t="s">
        <v>17</v>
      </c>
      <c r="H10" s="33" t="s">
        <v>17</v>
      </c>
      <c r="I10" s="149" t="s">
        <v>26</v>
      </c>
      <c r="J10" s="150"/>
      <c r="K10" s="33" t="s">
        <v>17</v>
      </c>
      <c r="L10" s="33" t="s">
        <v>17</v>
      </c>
      <c r="M10" s="33" t="s">
        <v>17</v>
      </c>
      <c r="N10" s="71">
        <v>14443.156999999999</v>
      </c>
      <c r="O10" s="71">
        <v>13516.338</v>
      </c>
      <c r="P10" s="72">
        <v>0</v>
      </c>
      <c r="Q10" s="72">
        <v>0</v>
      </c>
      <c r="R10" s="72">
        <v>0</v>
      </c>
      <c r="S10" s="71">
        <v>14443.155999999999</v>
      </c>
      <c r="T10" s="71">
        <v>13516.331</v>
      </c>
      <c r="U10" s="72">
        <f t="shared" ref="U10:U13" si="0">P10+(S10-N10)*1000</f>
        <v>-1.0000000002037268</v>
      </c>
      <c r="V10" s="72">
        <f t="shared" ref="V10:V13" si="1">Q10+(T10-O10)*1000</f>
        <v>-6.9999999996070983</v>
      </c>
      <c r="W10" s="72">
        <f t="shared" ref="W10:W13" si="2">SQRT(((U10*U10)+(V10*V10)))</f>
        <v>7.0710678115053334</v>
      </c>
      <c r="X10" s="71">
        <v>14443.1554</v>
      </c>
      <c r="Y10" s="71">
        <v>13516.3333</v>
      </c>
      <c r="Z10" s="72">
        <f t="shared" ref="Z10:Z13" si="3">U10+(X10-S10)*1000</f>
        <v>-1.5999999995983671</v>
      </c>
      <c r="AA10" s="72">
        <f t="shared" ref="AA10:AA13" si="4">V10+(Y10-T10)*1000</f>
        <v>-4.6999999995023245</v>
      </c>
      <c r="AB10" s="72">
        <f t="shared" ref="AB10:AB13" si="5">SQRT(((Z10*Z10)+(AA10*AA10)))</f>
        <v>4.9648766343220077</v>
      </c>
      <c r="AC10" s="71">
        <v>14443.1549</v>
      </c>
      <c r="AD10" s="71">
        <v>13516.3326</v>
      </c>
      <c r="AE10" s="33">
        <f t="shared" ref="AE10:AE13" si="6">Z10+(AC10-X10)*1000</f>
        <v>-2.0999999997002305</v>
      </c>
      <c r="AF10" s="33">
        <f t="shared" ref="AF10:AF13" si="7">AA10+(AD10-Y10)*1000</f>
        <v>-5.4000000000087311</v>
      </c>
      <c r="AG10" s="33">
        <f t="shared" ref="AG10:AG13" si="8">SQRT(((AE10*AE10)+(AF10*AF10)))</f>
        <v>5.7939623746478768</v>
      </c>
      <c r="AH10" s="113">
        <v>14443.157499999999</v>
      </c>
      <c r="AI10" s="113">
        <v>13516.333699999999</v>
      </c>
      <c r="AJ10" s="33">
        <f t="shared" ref="AJ10" si="9">AE10+(AH10-AC10)*1000</f>
        <v>0.50000000010186341</v>
      </c>
      <c r="AK10" s="33">
        <f t="shared" ref="AK10" si="10">AF10+(AI10-AD10)*1000</f>
        <v>-4.3000000005122274</v>
      </c>
      <c r="AL10" s="72">
        <f t="shared" ref="AL10" si="11">SQRT(((AJ10*AJ10)+(AK10*AK10)))</f>
        <v>4.3289721649032371</v>
      </c>
      <c r="AM10" s="112">
        <v>14443.159100000001</v>
      </c>
      <c r="AN10" s="112">
        <v>13516.3339</v>
      </c>
      <c r="AO10" s="72">
        <f t="shared" ref="AO10" si="12">AJ10+(AM10-AH10)*1000</f>
        <v>2.1000000015192199</v>
      </c>
      <c r="AP10" s="72">
        <f t="shared" ref="AP10" si="13">AK10+(AN10-AI10)*1000</f>
        <v>-4.1000000001076842</v>
      </c>
      <c r="AQ10" s="72">
        <f t="shared" ref="AQ10" si="14">SQRT(((AO10*AO10)+(AP10*AP10)))</f>
        <v>4.6065171233008275</v>
      </c>
      <c r="AR10" s="112">
        <v>14443.166800000001</v>
      </c>
      <c r="AS10" s="112">
        <v>13516.329400000001</v>
      </c>
      <c r="AT10" s="72">
        <f t="shared" ref="AT10" si="15">AO10+(AR10-AM10)*1000</f>
        <v>9.8000000016327249</v>
      </c>
      <c r="AU10" s="72">
        <f t="shared" ref="AU10" si="16">AP10+(AS10-AN10)*1000</f>
        <v>-8.5999999992054654</v>
      </c>
      <c r="AV10" s="72">
        <f t="shared" ref="AV10" si="17">SQRT(((AT10*AT10)+(AU10*AU10)))</f>
        <v>13.038404811108428</v>
      </c>
      <c r="AW10" s="112">
        <v>14443.1615</v>
      </c>
      <c r="AX10" s="112">
        <v>13516.3292</v>
      </c>
      <c r="AY10" s="72">
        <f t="shared" ref="AY10" si="18">AT10+(AW10-AR10)*1000</f>
        <v>4.5000000009167707</v>
      </c>
      <c r="AZ10" s="72">
        <f t="shared" ref="AZ10" si="19">AU10+(AX10-AS10)*1000</f>
        <v>-8.7999999996100087</v>
      </c>
      <c r="BA10" s="72">
        <f t="shared" ref="BA10" si="20">SQRT(((AY10*AY10)+(AZ10*AZ10)))</f>
        <v>9.883825170519108</v>
      </c>
      <c r="BB10" s="112">
        <v>14443.1711</v>
      </c>
      <c r="BC10" s="112">
        <v>13516.3254</v>
      </c>
      <c r="BD10" s="72">
        <f t="shared" ref="BD10" si="21">AY10+(BB10-AW10)*1000</f>
        <v>14.100000000325963</v>
      </c>
      <c r="BE10" s="72">
        <f t="shared" ref="BE10" si="22">AZ10+(BC10-AX10)*1000</f>
        <v>-12.600000000020373</v>
      </c>
      <c r="BF10" s="72">
        <f t="shared" ref="BF10" si="23">SQRT(((BD10*BD10)+(BE10*BE10)))</f>
        <v>18.90952141143994</v>
      </c>
      <c r="BG10" s="112">
        <v>14443.185299999999</v>
      </c>
      <c r="BH10" s="112">
        <v>13516.321900000001</v>
      </c>
      <c r="BI10" s="72">
        <f t="shared" ref="BI10" si="24">BD10+(BG10-BB10)*1000</f>
        <v>28.299999999944703</v>
      </c>
      <c r="BJ10" s="72">
        <f t="shared" ref="BJ10" si="25">BE10+(BH10-BC10)*1000</f>
        <v>-16.099999998914427</v>
      </c>
      <c r="BK10" s="72">
        <f t="shared" ref="BK10" si="26">SQRT(((BI10*BI10)+(BJ10*BJ10)))</f>
        <v>32.559176893188116</v>
      </c>
      <c r="BL10" s="32">
        <v>1</v>
      </c>
    </row>
    <row r="11" spans="3:67" x14ac:dyDescent="0.3">
      <c r="C11" s="32">
        <v>2</v>
      </c>
      <c r="D11" s="151" t="s">
        <v>26</v>
      </c>
      <c r="E11" s="152"/>
      <c r="F11" s="33" t="s">
        <v>17</v>
      </c>
      <c r="G11" s="33" t="s">
        <v>17</v>
      </c>
      <c r="H11" s="33" t="s">
        <v>17</v>
      </c>
      <c r="I11" s="149" t="s">
        <v>26</v>
      </c>
      <c r="J11" s="150"/>
      <c r="K11" s="33" t="s">
        <v>17</v>
      </c>
      <c r="L11" s="33" t="s">
        <v>17</v>
      </c>
      <c r="M11" s="33" t="s">
        <v>17</v>
      </c>
      <c r="N11" s="71">
        <v>14439.349</v>
      </c>
      <c r="O11" s="71">
        <v>13503.743</v>
      </c>
      <c r="P11" s="72">
        <v>0</v>
      </c>
      <c r="Q11" s="72">
        <v>0</v>
      </c>
      <c r="R11" s="72">
        <v>0</v>
      </c>
      <c r="S11" s="71">
        <v>14439.344999999999</v>
      </c>
      <c r="T11" s="71">
        <v>13503.744000000001</v>
      </c>
      <c r="U11" s="72">
        <f t="shared" si="0"/>
        <v>-4.0000000008149073</v>
      </c>
      <c r="V11" s="72">
        <f t="shared" si="1"/>
        <v>1.0000000002037268</v>
      </c>
      <c r="W11" s="72">
        <f t="shared" si="2"/>
        <v>4.1231056264576473</v>
      </c>
      <c r="X11" s="71">
        <v>14439.3459</v>
      </c>
      <c r="Y11" s="71">
        <v>13503.744699999999</v>
      </c>
      <c r="Z11" s="72">
        <f t="shared" si="3"/>
        <v>-3.0999999999039574</v>
      </c>
      <c r="AA11" s="72">
        <f t="shared" si="4"/>
        <v>1.6999999988911441</v>
      </c>
      <c r="AB11" s="72">
        <f t="shared" si="5"/>
        <v>3.5355339053153521</v>
      </c>
      <c r="AC11" s="71">
        <v>14439.3477</v>
      </c>
      <c r="AD11" s="71">
        <v>13503.7462</v>
      </c>
      <c r="AE11" s="33">
        <f t="shared" si="6"/>
        <v>-1.299999999901047</v>
      </c>
      <c r="AF11" s="33">
        <f t="shared" si="7"/>
        <v>3.1999999991967343</v>
      </c>
      <c r="AG11" s="33">
        <f t="shared" si="8"/>
        <v>3.4539832070526661</v>
      </c>
      <c r="AH11" s="113">
        <v>14439.3485</v>
      </c>
      <c r="AI11" s="113">
        <v>13503.7451</v>
      </c>
      <c r="AJ11" s="33">
        <f t="shared" ref="AJ11:AJ13" si="27">AE11+(AH11-AC11)*1000</f>
        <v>-0.50000000010186341</v>
      </c>
      <c r="AK11" s="33">
        <f t="shared" ref="AK11:AK13" si="28">AF11+(AI11-AD11)*1000</f>
        <v>2.0999999997002305</v>
      </c>
      <c r="AL11" s="72">
        <f t="shared" ref="AL11:AL13" si="29">SQRT(((AJ11*AJ11)+(AK11*AK11)))</f>
        <v>2.1587033142242662</v>
      </c>
      <c r="AM11" s="112">
        <v>14439.3496</v>
      </c>
      <c r="AN11" s="112">
        <v>13503.7472</v>
      </c>
      <c r="AO11" s="72">
        <f t="shared" ref="AO11:AO13" si="30">AJ11+(AM11-AH11)*1000</f>
        <v>0.59999999939464033</v>
      </c>
      <c r="AP11" s="72">
        <f t="shared" ref="AP11:AP13" si="31">AK11+(AN11-AI11)*1000</f>
        <v>4.1999999994004611</v>
      </c>
      <c r="AQ11" s="72">
        <f t="shared" ref="AQ11:AQ13" si="32">SQRT(((AO11*AO11)+(AP11*AP11)))</f>
        <v>4.2426406864401613</v>
      </c>
      <c r="AR11" s="112">
        <v>14439.357900000001</v>
      </c>
      <c r="AS11" s="112">
        <v>13503.7317</v>
      </c>
      <c r="AT11" s="72">
        <f t="shared" ref="AT11:AT66" si="33">AO11+(AR11-AM11)*1000</f>
        <v>8.900000000721775</v>
      </c>
      <c r="AU11" s="72">
        <f t="shared" ref="AU11:AU66" si="34">AP11+(AS11-AN11)*1000</f>
        <v>-11.300000000119326</v>
      </c>
      <c r="AV11" s="72">
        <f t="shared" ref="AV11:AV66" si="35">SQRT(((AT11*AT11)+(AU11*AU11)))</f>
        <v>14.384018910427795</v>
      </c>
      <c r="AW11" s="112">
        <v>14439.358399999999</v>
      </c>
      <c r="AX11" s="112">
        <v>13503.7304</v>
      </c>
      <c r="AY11" s="72">
        <f t="shared" ref="AY11:AY66" si="36">AT11+(AW11-AR11)*1000</f>
        <v>9.399999999004649</v>
      </c>
      <c r="AZ11" s="72">
        <f t="shared" ref="AZ11:AZ66" si="37">AU11+(AX11-AS11)*1000</f>
        <v>-12.600000000020373</v>
      </c>
      <c r="BA11" s="72">
        <f t="shared" ref="BA11:BA66" si="38">SQRT(((AY11*AY11)+(AZ11*AZ11)))</f>
        <v>15.720050889924014</v>
      </c>
      <c r="BB11" s="112">
        <v>14439.376899999999</v>
      </c>
      <c r="BC11" s="112">
        <v>13503.738499999999</v>
      </c>
      <c r="BD11" s="72">
        <f t="shared" ref="BD11:BD66" si="39">AY11+(BB11-AW11)*1000</f>
        <v>27.899999999135616</v>
      </c>
      <c r="BE11" s="72">
        <f t="shared" ref="BE11:BE66" si="40">AZ11+(BC11-AX11)*1000</f>
        <v>-4.5000000009167707</v>
      </c>
      <c r="BF11" s="72">
        <f t="shared" ref="BF11:BF66" si="41">SQRT(((BD11*BD11)+(BE11*BE11)))</f>
        <v>28.260573241886274</v>
      </c>
      <c r="BG11" s="112">
        <v>14439.3789</v>
      </c>
      <c r="BH11" s="112">
        <v>13503.7304</v>
      </c>
      <c r="BI11" s="72">
        <f t="shared" ref="BI11:BI66" si="42">BD11+(BG11-BB11)*1000</f>
        <v>29.89999999954307</v>
      </c>
      <c r="BJ11" s="72">
        <f t="shared" ref="BJ11:BJ66" si="43">BE11+(BH11-BC11)*1000</f>
        <v>-12.600000000020373</v>
      </c>
      <c r="BK11" s="72">
        <f t="shared" ref="BK11:BK66" si="44">SQRT(((BI11*BI11)+(BJ11*BJ11)))</f>
        <v>32.446417367302494</v>
      </c>
      <c r="BL11" s="32">
        <v>2</v>
      </c>
    </row>
    <row r="12" spans="3:67" x14ac:dyDescent="0.3">
      <c r="C12" s="32">
        <v>3</v>
      </c>
      <c r="D12" s="151" t="s">
        <v>26</v>
      </c>
      <c r="E12" s="152"/>
      <c r="F12" s="33" t="s">
        <v>17</v>
      </c>
      <c r="G12" s="33" t="s">
        <v>17</v>
      </c>
      <c r="H12" s="33" t="s">
        <v>17</v>
      </c>
      <c r="I12" s="149" t="s">
        <v>26</v>
      </c>
      <c r="J12" s="150"/>
      <c r="K12" s="33" t="s">
        <v>17</v>
      </c>
      <c r="L12" s="33" t="s">
        <v>17</v>
      </c>
      <c r="M12" s="33" t="s">
        <v>17</v>
      </c>
      <c r="N12" s="71">
        <v>14436.136</v>
      </c>
      <c r="O12" s="71">
        <v>13492.272999999999</v>
      </c>
      <c r="P12" s="72">
        <v>0</v>
      </c>
      <c r="Q12" s="72">
        <v>0</v>
      </c>
      <c r="R12" s="72">
        <v>0</v>
      </c>
      <c r="S12" s="71">
        <v>14436.136</v>
      </c>
      <c r="T12" s="71">
        <v>13492.269999999999</v>
      </c>
      <c r="U12" s="72">
        <f t="shared" si="0"/>
        <v>0</v>
      </c>
      <c r="V12" s="72">
        <f t="shared" si="1"/>
        <v>-3.0000000006111804</v>
      </c>
      <c r="W12" s="72">
        <f t="shared" si="2"/>
        <v>3.0000000006111804</v>
      </c>
      <c r="X12" s="71">
        <v>14436.138000000001</v>
      </c>
      <c r="Y12" s="71">
        <v>13492.2796</v>
      </c>
      <c r="Z12" s="72">
        <f t="shared" si="3"/>
        <v>2.0000000004074536</v>
      </c>
      <c r="AA12" s="72">
        <f t="shared" si="4"/>
        <v>6.6000000006170012</v>
      </c>
      <c r="AB12" s="72">
        <f t="shared" si="5"/>
        <v>6.8963758605353167</v>
      </c>
      <c r="AC12" s="71">
        <v>14436.1394</v>
      </c>
      <c r="AD12" s="71">
        <v>13492.283100000001</v>
      </c>
      <c r="AE12" s="33">
        <f t="shared" si="6"/>
        <v>3.3999999996012775</v>
      </c>
      <c r="AF12" s="33">
        <f t="shared" si="7"/>
        <v>10.100000001330045</v>
      </c>
      <c r="AG12" s="33">
        <f t="shared" si="8"/>
        <v>10.656922633863662</v>
      </c>
      <c r="AH12" s="113">
        <v>14436.1412</v>
      </c>
      <c r="AI12" s="113">
        <v>13492.281199999999</v>
      </c>
      <c r="AJ12" s="33">
        <f t="shared" si="27"/>
        <v>5.1999999996041879</v>
      </c>
      <c r="AK12" s="33">
        <f t="shared" si="28"/>
        <v>8.2000000002153683</v>
      </c>
      <c r="AL12" s="72">
        <f t="shared" si="29"/>
        <v>9.7097888751205907</v>
      </c>
      <c r="AM12" s="112">
        <v>14436.1402</v>
      </c>
      <c r="AN12" s="112">
        <v>13492.2826</v>
      </c>
      <c r="AO12" s="72">
        <f t="shared" si="30"/>
        <v>4.1999999994004611</v>
      </c>
      <c r="AP12" s="72">
        <f t="shared" si="31"/>
        <v>9.6000000012281816</v>
      </c>
      <c r="AQ12" s="72">
        <f t="shared" si="32"/>
        <v>10.478549518828689</v>
      </c>
      <c r="AR12" s="112">
        <v>14436.147499999999</v>
      </c>
      <c r="AS12" s="112">
        <v>13492.2688</v>
      </c>
      <c r="AT12" s="72">
        <f t="shared" si="33"/>
        <v>11.49999999870488</v>
      </c>
      <c r="AU12" s="72">
        <f t="shared" si="34"/>
        <v>-4.1999999994004611</v>
      </c>
      <c r="AV12" s="72">
        <f t="shared" si="35"/>
        <v>12.242957157695853</v>
      </c>
      <c r="AW12" s="112">
        <v>14436.150100000001</v>
      </c>
      <c r="AX12" s="112">
        <v>13492.266100000001</v>
      </c>
      <c r="AY12" s="72">
        <f t="shared" si="36"/>
        <v>14.100000000325963</v>
      </c>
      <c r="AZ12" s="72">
        <f t="shared" si="37"/>
        <v>-6.899999998495332</v>
      </c>
      <c r="BA12" s="72">
        <f t="shared" si="38"/>
        <v>15.697770541972758</v>
      </c>
      <c r="BB12" s="112">
        <v>14436.1646</v>
      </c>
      <c r="BC12" s="112">
        <v>13492.2546</v>
      </c>
      <c r="BD12" s="72">
        <f t="shared" si="39"/>
        <v>28.599999999642023</v>
      </c>
      <c r="BE12" s="72">
        <f t="shared" si="40"/>
        <v>-18.399999999019201</v>
      </c>
      <c r="BF12" s="72">
        <f t="shared" si="41"/>
        <v>34.007646198221813</v>
      </c>
      <c r="BG12" s="112">
        <v>14436.1682</v>
      </c>
      <c r="BH12" s="112">
        <v>13492.257299999999</v>
      </c>
      <c r="BI12" s="72">
        <f t="shared" si="42"/>
        <v>32.199999999647844</v>
      </c>
      <c r="BJ12" s="72">
        <f t="shared" si="43"/>
        <v>-15.69999999992433</v>
      </c>
      <c r="BK12" s="72">
        <f t="shared" si="44"/>
        <v>35.823595575750701</v>
      </c>
      <c r="BL12" s="32">
        <v>3</v>
      </c>
    </row>
    <row r="13" spans="3:67" x14ac:dyDescent="0.3">
      <c r="C13" s="32">
        <v>4</v>
      </c>
      <c r="D13" s="151" t="s">
        <v>26</v>
      </c>
      <c r="E13" s="152"/>
      <c r="F13" s="33" t="s">
        <v>17</v>
      </c>
      <c r="G13" s="33" t="s">
        <v>17</v>
      </c>
      <c r="H13" s="33" t="s">
        <v>17</v>
      </c>
      <c r="I13" s="149" t="s">
        <v>26</v>
      </c>
      <c r="J13" s="150"/>
      <c r="K13" s="33" t="s">
        <v>17</v>
      </c>
      <c r="L13" s="33" t="s">
        <v>17</v>
      </c>
      <c r="M13" s="33" t="s">
        <v>17</v>
      </c>
      <c r="N13" s="71">
        <v>14431.675999999999</v>
      </c>
      <c r="O13" s="71">
        <v>13477.868</v>
      </c>
      <c r="P13" s="72">
        <v>0</v>
      </c>
      <c r="Q13" s="72">
        <v>0</v>
      </c>
      <c r="R13" s="72">
        <v>0</v>
      </c>
      <c r="S13" s="71">
        <v>14431.681999999999</v>
      </c>
      <c r="T13" s="71">
        <v>13477.871000000001</v>
      </c>
      <c r="U13" s="72">
        <f t="shared" si="0"/>
        <v>5.9999999994033715</v>
      </c>
      <c r="V13" s="72">
        <f t="shared" si="1"/>
        <v>3.0000000006111804</v>
      </c>
      <c r="W13" s="72">
        <f t="shared" si="2"/>
        <v>6.7082039322390568</v>
      </c>
      <c r="X13" s="71">
        <v>14431.6806</v>
      </c>
      <c r="Y13" s="71">
        <v>13477.870699999999</v>
      </c>
      <c r="Z13" s="72">
        <f t="shared" si="3"/>
        <v>4.6000000002095476</v>
      </c>
      <c r="AA13" s="72">
        <f t="shared" si="4"/>
        <v>2.6999999990948709</v>
      </c>
      <c r="AB13" s="72">
        <f t="shared" si="5"/>
        <v>5.3338541409603755</v>
      </c>
      <c r="AC13" s="71">
        <v>14431.682699999999</v>
      </c>
      <c r="AD13" s="71">
        <v>13477.870199999999</v>
      </c>
      <c r="AE13" s="33">
        <f t="shared" si="6"/>
        <v>6.6999999999097781</v>
      </c>
      <c r="AF13" s="33">
        <f t="shared" si="7"/>
        <v>2.1999999989930075</v>
      </c>
      <c r="AG13" s="33">
        <f t="shared" si="8"/>
        <v>7.0519500845057221</v>
      </c>
      <c r="AH13" s="113">
        <v>14431.6841</v>
      </c>
      <c r="AI13" s="113">
        <v>13477.8701</v>
      </c>
      <c r="AJ13" s="33">
        <f t="shared" si="27"/>
        <v>8.1000000009225914</v>
      </c>
      <c r="AK13" s="33">
        <f t="shared" si="28"/>
        <v>2.0999999997002305</v>
      </c>
      <c r="AL13" s="72">
        <f t="shared" si="29"/>
        <v>8.3677954094066465</v>
      </c>
      <c r="AM13" s="112">
        <v>14431.682500000001</v>
      </c>
      <c r="AN13" s="112">
        <v>13477.867</v>
      </c>
      <c r="AO13" s="72">
        <f t="shared" si="30"/>
        <v>6.5000000013242243</v>
      </c>
      <c r="AP13" s="72">
        <f t="shared" si="31"/>
        <v>-1.0000000002037268</v>
      </c>
      <c r="AQ13" s="72">
        <f t="shared" si="32"/>
        <v>6.5764732203227565</v>
      </c>
      <c r="AR13" s="112">
        <v>14431.687900000001</v>
      </c>
      <c r="AS13" s="112">
        <v>13477.8626</v>
      </c>
      <c r="AT13" s="72">
        <f t="shared" si="33"/>
        <v>11.900000001332955</v>
      </c>
      <c r="AU13" s="72">
        <f t="shared" si="34"/>
        <v>-5.4000000000087311</v>
      </c>
      <c r="AV13" s="72">
        <f t="shared" si="35"/>
        <v>13.067899602913187</v>
      </c>
      <c r="AW13" s="112">
        <v>14431.684499999999</v>
      </c>
      <c r="AX13" s="112">
        <v>13477.861699999999</v>
      </c>
      <c r="AY13" s="72">
        <f t="shared" si="36"/>
        <v>8.4999999999126885</v>
      </c>
      <c r="AZ13" s="72">
        <f t="shared" si="37"/>
        <v>-6.300000000919681</v>
      </c>
      <c r="BA13" s="72">
        <f t="shared" si="38"/>
        <v>10.580170131434734</v>
      </c>
      <c r="BB13" s="112">
        <v>14431.707700000001</v>
      </c>
      <c r="BC13" s="112">
        <v>13477.852800000001</v>
      </c>
      <c r="BD13" s="72">
        <f t="shared" si="39"/>
        <v>31.70000000136497</v>
      </c>
      <c r="BE13" s="72">
        <f t="shared" si="40"/>
        <v>-15.199999999822467</v>
      </c>
      <c r="BF13" s="72">
        <f t="shared" si="41"/>
        <v>35.155796109335114</v>
      </c>
      <c r="BG13" s="112">
        <v>14425.926799999999</v>
      </c>
      <c r="BH13" s="112">
        <v>13458.7711</v>
      </c>
      <c r="BI13" s="72">
        <f>BD13</f>
        <v>31.70000000136497</v>
      </c>
      <c r="BJ13" s="72">
        <f>BE13</f>
        <v>-15.199999999822467</v>
      </c>
      <c r="BK13" s="72" t="s">
        <v>157</v>
      </c>
      <c r="BL13" s="32">
        <v>4</v>
      </c>
    </row>
    <row r="14" spans="3:67" x14ac:dyDescent="0.3">
      <c r="C14" s="32">
        <v>5</v>
      </c>
      <c r="D14" s="151" t="s">
        <v>26</v>
      </c>
      <c r="E14" s="152"/>
      <c r="F14" s="33" t="s">
        <v>17</v>
      </c>
      <c r="G14" s="33" t="s">
        <v>17</v>
      </c>
      <c r="H14" s="33" t="s">
        <v>17</v>
      </c>
      <c r="I14" s="149" t="s">
        <v>26</v>
      </c>
      <c r="J14" s="150"/>
      <c r="K14" s="33" t="s">
        <v>17</v>
      </c>
      <c r="L14" s="33" t="s">
        <v>17</v>
      </c>
      <c r="M14" s="33" t="s">
        <v>17</v>
      </c>
      <c r="N14" s="136" t="s">
        <v>26</v>
      </c>
      <c r="O14" s="137"/>
      <c r="P14" s="72" t="s">
        <v>17</v>
      </c>
      <c r="Q14" s="72" t="s">
        <v>17</v>
      </c>
      <c r="R14" s="72" t="s">
        <v>17</v>
      </c>
      <c r="S14" s="136" t="s">
        <v>26</v>
      </c>
      <c r="T14" s="137"/>
      <c r="U14" s="72" t="s">
        <v>17</v>
      </c>
      <c r="V14" s="72" t="s">
        <v>17</v>
      </c>
      <c r="W14" s="72" t="s">
        <v>17</v>
      </c>
      <c r="X14" s="136" t="s">
        <v>26</v>
      </c>
      <c r="Y14" s="137"/>
      <c r="Z14" s="72" t="s">
        <v>17</v>
      </c>
      <c r="AA14" s="72" t="s">
        <v>17</v>
      </c>
      <c r="AB14" s="72" t="s">
        <v>17</v>
      </c>
      <c r="AC14" s="136" t="s">
        <v>26</v>
      </c>
      <c r="AD14" s="137"/>
      <c r="AE14" s="33" t="s">
        <v>17</v>
      </c>
      <c r="AF14" s="33" t="s">
        <v>17</v>
      </c>
      <c r="AG14" s="33" t="s">
        <v>17</v>
      </c>
      <c r="AH14" s="136" t="s">
        <v>26</v>
      </c>
      <c r="AI14" s="137"/>
      <c r="AJ14" s="33" t="s">
        <v>17</v>
      </c>
      <c r="AK14" s="33" t="s">
        <v>17</v>
      </c>
      <c r="AL14" s="33" t="s">
        <v>17</v>
      </c>
      <c r="AM14" s="136" t="s">
        <v>26</v>
      </c>
      <c r="AN14" s="137"/>
      <c r="AO14" s="33" t="s">
        <v>17</v>
      </c>
      <c r="AP14" s="33" t="s">
        <v>17</v>
      </c>
      <c r="AQ14" s="33" t="s">
        <v>17</v>
      </c>
      <c r="AR14" s="145" t="s">
        <v>26</v>
      </c>
      <c r="AS14" s="146"/>
      <c r="AT14" s="72" t="s">
        <v>17</v>
      </c>
      <c r="AU14" s="72" t="s">
        <v>17</v>
      </c>
      <c r="AV14" s="72" t="s">
        <v>17</v>
      </c>
      <c r="AW14" s="143" t="s">
        <v>26</v>
      </c>
      <c r="AX14" s="144"/>
      <c r="AY14" s="72" t="s">
        <v>17</v>
      </c>
      <c r="AZ14" s="72" t="s">
        <v>17</v>
      </c>
      <c r="BA14" s="72" t="s">
        <v>17</v>
      </c>
      <c r="BB14" s="143" t="s">
        <v>26</v>
      </c>
      <c r="BC14" s="144"/>
      <c r="BD14" s="72" t="s">
        <v>17</v>
      </c>
      <c r="BE14" s="72" t="s">
        <v>17</v>
      </c>
      <c r="BF14" s="72" t="s">
        <v>17</v>
      </c>
      <c r="BG14" s="112">
        <v>14423.530199999999</v>
      </c>
      <c r="BH14" s="112">
        <v>13450.9269</v>
      </c>
      <c r="BI14" s="72">
        <v>0</v>
      </c>
      <c r="BJ14" s="72">
        <v>0</v>
      </c>
      <c r="BK14" s="72" t="s">
        <v>157</v>
      </c>
      <c r="BL14" s="32">
        <v>5</v>
      </c>
    </row>
    <row r="15" spans="3:67" x14ac:dyDescent="0.3">
      <c r="C15" s="32">
        <v>6</v>
      </c>
      <c r="D15" s="151" t="s">
        <v>26</v>
      </c>
      <c r="E15" s="152"/>
      <c r="F15" s="33" t="s">
        <v>17</v>
      </c>
      <c r="G15" s="33" t="s">
        <v>17</v>
      </c>
      <c r="H15" s="33" t="s">
        <v>17</v>
      </c>
      <c r="I15" s="149" t="s">
        <v>26</v>
      </c>
      <c r="J15" s="150"/>
      <c r="K15" s="33" t="s">
        <v>17</v>
      </c>
      <c r="L15" s="33" t="s">
        <v>17</v>
      </c>
      <c r="M15" s="33" t="s">
        <v>17</v>
      </c>
      <c r="N15" s="136" t="s">
        <v>26</v>
      </c>
      <c r="O15" s="137"/>
      <c r="P15" s="72" t="s">
        <v>17</v>
      </c>
      <c r="Q15" s="72" t="s">
        <v>17</v>
      </c>
      <c r="R15" s="72" t="s">
        <v>17</v>
      </c>
      <c r="S15" s="136" t="s">
        <v>26</v>
      </c>
      <c r="T15" s="137"/>
      <c r="U15" s="72" t="s">
        <v>17</v>
      </c>
      <c r="V15" s="72" t="s">
        <v>17</v>
      </c>
      <c r="W15" s="72" t="s">
        <v>17</v>
      </c>
      <c r="X15" s="136" t="s">
        <v>26</v>
      </c>
      <c r="Y15" s="137"/>
      <c r="Z15" s="72" t="s">
        <v>17</v>
      </c>
      <c r="AA15" s="72" t="s">
        <v>17</v>
      </c>
      <c r="AB15" s="72" t="s">
        <v>17</v>
      </c>
      <c r="AC15" s="136" t="s">
        <v>26</v>
      </c>
      <c r="AD15" s="137"/>
      <c r="AE15" s="33" t="s">
        <v>17</v>
      </c>
      <c r="AF15" s="33" t="s">
        <v>17</v>
      </c>
      <c r="AG15" s="33" t="s">
        <v>17</v>
      </c>
      <c r="AH15" s="136" t="s">
        <v>26</v>
      </c>
      <c r="AI15" s="137"/>
      <c r="AJ15" s="33" t="s">
        <v>17</v>
      </c>
      <c r="AK15" s="33" t="s">
        <v>17</v>
      </c>
      <c r="AL15" s="33" t="s">
        <v>17</v>
      </c>
      <c r="AM15" s="136" t="s">
        <v>26</v>
      </c>
      <c r="AN15" s="137"/>
      <c r="AO15" s="33" t="s">
        <v>17</v>
      </c>
      <c r="AP15" s="33" t="s">
        <v>17</v>
      </c>
      <c r="AQ15" s="33" t="s">
        <v>17</v>
      </c>
      <c r="AR15" s="145" t="s">
        <v>26</v>
      </c>
      <c r="AS15" s="146"/>
      <c r="AT15" s="72" t="s">
        <v>17</v>
      </c>
      <c r="AU15" s="72" t="s">
        <v>17</v>
      </c>
      <c r="AV15" s="72" t="s">
        <v>17</v>
      </c>
      <c r="AW15" s="143" t="s">
        <v>26</v>
      </c>
      <c r="AX15" s="144"/>
      <c r="AY15" s="72" t="s">
        <v>17</v>
      </c>
      <c r="AZ15" s="72" t="s">
        <v>17</v>
      </c>
      <c r="BA15" s="72" t="s">
        <v>17</v>
      </c>
      <c r="BB15" s="143" t="s">
        <v>26</v>
      </c>
      <c r="BC15" s="144"/>
      <c r="BD15" s="72" t="s">
        <v>17</v>
      </c>
      <c r="BE15" s="72" t="s">
        <v>17</v>
      </c>
      <c r="BF15" s="72" t="s">
        <v>17</v>
      </c>
      <c r="BG15" s="112">
        <v>14421.8547</v>
      </c>
      <c r="BH15" s="112">
        <v>13445.2767</v>
      </c>
      <c r="BI15" s="72">
        <v>0</v>
      </c>
      <c r="BJ15" s="72">
        <v>0</v>
      </c>
      <c r="BK15" s="72" t="s">
        <v>157</v>
      </c>
      <c r="BL15" s="32">
        <v>6</v>
      </c>
    </row>
    <row r="16" spans="3:67" x14ac:dyDescent="0.3">
      <c r="C16" s="32">
        <v>7</v>
      </c>
      <c r="D16" s="151" t="s">
        <v>26</v>
      </c>
      <c r="E16" s="152"/>
      <c r="F16" s="33" t="s">
        <v>17</v>
      </c>
      <c r="G16" s="33" t="s">
        <v>17</v>
      </c>
      <c r="H16" s="33" t="s">
        <v>17</v>
      </c>
      <c r="I16" s="149" t="s">
        <v>26</v>
      </c>
      <c r="J16" s="150"/>
      <c r="K16" s="33" t="s">
        <v>17</v>
      </c>
      <c r="L16" s="33" t="s">
        <v>17</v>
      </c>
      <c r="M16" s="33" t="s">
        <v>17</v>
      </c>
      <c r="N16" s="136" t="s">
        <v>26</v>
      </c>
      <c r="O16" s="137"/>
      <c r="P16" s="72" t="s">
        <v>17</v>
      </c>
      <c r="Q16" s="72" t="s">
        <v>17</v>
      </c>
      <c r="R16" s="72" t="s">
        <v>17</v>
      </c>
      <c r="S16" s="136" t="s">
        <v>26</v>
      </c>
      <c r="T16" s="137"/>
      <c r="U16" s="72" t="s">
        <v>17</v>
      </c>
      <c r="V16" s="72" t="s">
        <v>17</v>
      </c>
      <c r="W16" s="72" t="s">
        <v>17</v>
      </c>
      <c r="X16" s="136" t="s">
        <v>26</v>
      </c>
      <c r="Y16" s="137"/>
      <c r="Z16" s="72" t="s">
        <v>17</v>
      </c>
      <c r="AA16" s="72" t="s">
        <v>17</v>
      </c>
      <c r="AB16" s="72" t="s">
        <v>17</v>
      </c>
      <c r="AC16" s="136" t="s">
        <v>26</v>
      </c>
      <c r="AD16" s="137"/>
      <c r="AE16" s="33" t="s">
        <v>17</v>
      </c>
      <c r="AF16" s="33" t="s">
        <v>17</v>
      </c>
      <c r="AG16" s="33" t="s">
        <v>17</v>
      </c>
      <c r="AH16" s="136" t="s">
        <v>26</v>
      </c>
      <c r="AI16" s="137"/>
      <c r="AJ16" s="33" t="s">
        <v>17</v>
      </c>
      <c r="AK16" s="33" t="s">
        <v>17</v>
      </c>
      <c r="AL16" s="33" t="s">
        <v>17</v>
      </c>
      <c r="AM16" s="136" t="s">
        <v>26</v>
      </c>
      <c r="AN16" s="137"/>
      <c r="AO16" s="33" t="s">
        <v>17</v>
      </c>
      <c r="AP16" s="33" t="s">
        <v>17</v>
      </c>
      <c r="AQ16" s="33" t="s">
        <v>17</v>
      </c>
      <c r="AR16" s="145" t="s">
        <v>26</v>
      </c>
      <c r="AS16" s="146"/>
      <c r="AT16" s="72" t="s">
        <v>17</v>
      </c>
      <c r="AU16" s="72" t="s">
        <v>17</v>
      </c>
      <c r="AV16" s="72" t="s">
        <v>17</v>
      </c>
      <c r="AW16" s="143" t="s">
        <v>26</v>
      </c>
      <c r="AX16" s="144"/>
      <c r="AY16" s="72" t="s">
        <v>17</v>
      </c>
      <c r="AZ16" s="72" t="s">
        <v>17</v>
      </c>
      <c r="BA16" s="72" t="s">
        <v>17</v>
      </c>
      <c r="BB16" s="143" t="s">
        <v>26</v>
      </c>
      <c r="BC16" s="144"/>
      <c r="BD16" s="72" t="s">
        <v>17</v>
      </c>
      <c r="BE16" s="72" t="s">
        <v>17</v>
      </c>
      <c r="BF16" s="72" t="s">
        <v>17</v>
      </c>
      <c r="BG16" s="112">
        <v>14420.475200000001</v>
      </c>
      <c r="BH16" s="112">
        <v>13440.7353</v>
      </c>
      <c r="BI16" s="72">
        <v>0</v>
      </c>
      <c r="BJ16" s="72">
        <v>0</v>
      </c>
      <c r="BK16" s="72" t="s">
        <v>157</v>
      </c>
      <c r="BL16" s="32">
        <v>7</v>
      </c>
    </row>
    <row r="17" spans="3:64" x14ac:dyDescent="0.3">
      <c r="C17" s="32">
        <v>8</v>
      </c>
      <c r="D17" s="151" t="s">
        <v>26</v>
      </c>
      <c r="E17" s="152"/>
      <c r="F17" s="33" t="s">
        <v>17</v>
      </c>
      <c r="G17" s="33" t="s">
        <v>17</v>
      </c>
      <c r="H17" s="33" t="s">
        <v>17</v>
      </c>
      <c r="I17" s="149" t="s">
        <v>26</v>
      </c>
      <c r="J17" s="150"/>
      <c r="K17" s="33" t="s">
        <v>17</v>
      </c>
      <c r="L17" s="33" t="s">
        <v>17</v>
      </c>
      <c r="M17" s="33" t="s">
        <v>17</v>
      </c>
      <c r="N17" s="136" t="s">
        <v>26</v>
      </c>
      <c r="O17" s="137"/>
      <c r="P17" s="72" t="s">
        <v>17</v>
      </c>
      <c r="Q17" s="72" t="s">
        <v>17</v>
      </c>
      <c r="R17" s="72" t="s">
        <v>17</v>
      </c>
      <c r="S17" s="136" t="s">
        <v>26</v>
      </c>
      <c r="T17" s="137"/>
      <c r="U17" s="72" t="s">
        <v>17</v>
      </c>
      <c r="V17" s="72" t="s">
        <v>17</v>
      </c>
      <c r="W17" s="72" t="s">
        <v>17</v>
      </c>
      <c r="X17" s="136" t="s">
        <v>26</v>
      </c>
      <c r="Y17" s="137"/>
      <c r="Z17" s="72" t="s">
        <v>17</v>
      </c>
      <c r="AA17" s="72" t="s">
        <v>17</v>
      </c>
      <c r="AB17" s="72" t="s">
        <v>17</v>
      </c>
      <c r="AC17" s="136" t="s">
        <v>26</v>
      </c>
      <c r="AD17" s="137"/>
      <c r="AE17" s="33" t="s">
        <v>17</v>
      </c>
      <c r="AF17" s="33" t="s">
        <v>17</v>
      </c>
      <c r="AG17" s="33" t="s">
        <v>17</v>
      </c>
      <c r="AH17" s="136" t="s">
        <v>26</v>
      </c>
      <c r="AI17" s="137"/>
      <c r="AJ17" s="33" t="s">
        <v>17</v>
      </c>
      <c r="AK17" s="33" t="s">
        <v>17</v>
      </c>
      <c r="AL17" s="33" t="s">
        <v>17</v>
      </c>
      <c r="AM17" s="113">
        <v>14425.660900000001</v>
      </c>
      <c r="AN17" s="113">
        <v>13429.9647</v>
      </c>
      <c r="AO17" s="33">
        <v>0</v>
      </c>
      <c r="AP17" s="33">
        <v>0</v>
      </c>
      <c r="AQ17" s="33" t="s">
        <v>157</v>
      </c>
      <c r="AR17" s="113">
        <v>14425.659600000001</v>
      </c>
      <c r="AS17" s="113">
        <v>13429.9617</v>
      </c>
      <c r="AT17" s="72">
        <f t="shared" si="33"/>
        <v>-1.299999999901047</v>
      </c>
      <c r="AU17" s="72">
        <f t="shared" si="34"/>
        <v>-3.0000000006111804</v>
      </c>
      <c r="AV17" s="72">
        <f t="shared" si="35"/>
        <v>3.2695565453758104</v>
      </c>
      <c r="AW17" s="112">
        <v>14425.660900000001</v>
      </c>
      <c r="AX17" s="112">
        <v>13429.9593</v>
      </c>
      <c r="AY17" s="72">
        <f t="shared" si="36"/>
        <v>0</v>
      </c>
      <c r="AZ17" s="72">
        <f t="shared" si="37"/>
        <v>-5.4000000000087311</v>
      </c>
      <c r="BA17" s="72">
        <f t="shared" si="38"/>
        <v>5.4000000000087311</v>
      </c>
      <c r="BB17" s="112">
        <v>14425.661400000001</v>
      </c>
      <c r="BC17" s="112">
        <v>13429.958500000001</v>
      </c>
      <c r="BD17" s="72">
        <f t="shared" si="39"/>
        <v>0.50000000010186341</v>
      </c>
      <c r="BE17" s="72">
        <f t="shared" si="40"/>
        <v>-6.1999999998079147</v>
      </c>
      <c r="BF17" s="72">
        <f t="shared" si="41"/>
        <v>6.2201286158503191</v>
      </c>
      <c r="BG17" s="112">
        <v>14425.663699999999</v>
      </c>
      <c r="BH17" s="112">
        <v>13429.957200000001</v>
      </c>
      <c r="BI17" s="72">
        <f t="shared" si="42"/>
        <v>2.7999999983876478</v>
      </c>
      <c r="BJ17" s="72">
        <f t="shared" si="43"/>
        <v>-7.4999999997089617</v>
      </c>
      <c r="BK17" s="72">
        <f t="shared" si="44"/>
        <v>8.0056230230135892</v>
      </c>
      <c r="BL17" s="32">
        <v>8</v>
      </c>
    </row>
    <row r="18" spans="3:64" x14ac:dyDescent="0.3">
      <c r="C18" s="32">
        <v>9</v>
      </c>
      <c r="D18" s="151" t="s">
        <v>26</v>
      </c>
      <c r="E18" s="152"/>
      <c r="F18" s="33" t="s">
        <v>17</v>
      </c>
      <c r="G18" s="33" t="s">
        <v>17</v>
      </c>
      <c r="H18" s="33" t="s">
        <v>17</v>
      </c>
      <c r="I18" s="149" t="s">
        <v>26</v>
      </c>
      <c r="J18" s="150"/>
      <c r="K18" s="33" t="s">
        <v>17</v>
      </c>
      <c r="L18" s="33" t="s">
        <v>17</v>
      </c>
      <c r="M18" s="33" t="s">
        <v>17</v>
      </c>
      <c r="N18" s="136" t="s">
        <v>26</v>
      </c>
      <c r="O18" s="137"/>
      <c r="P18" s="72" t="s">
        <v>17</v>
      </c>
      <c r="Q18" s="72" t="s">
        <v>17</v>
      </c>
      <c r="R18" s="72" t="s">
        <v>17</v>
      </c>
      <c r="S18" s="136" t="s">
        <v>26</v>
      </c>
      <c r="T18" s="137"/>
      <c r="U18" s="72" t="s">
        <v>17</v>
      </c>
      <c r="V18" s="72" t="s">
        <v>17</v>
      </c>
      <c r="W18" s="72" t="s">
        <v>17</v>
      </c>
      <c r="X18" s="136" t="s">
        <v>26</v>
      </c>
      <c r="Y18" s="137"/>
      <c r="Z18" s="72" t="s">
        <v>17</v>
      </c>
      <c r="AA18" s="72" t="s">
        <v>17</v>
      </c>
      <c r="AB18" s="72" t="s">
        <v>17</v>
      </c>
      <c r="AC18" s="136" t="s">
        <v>26</v>
      </c>
      <c r="AD18" s="137"/>
      <c r="AE18" s="33" t="s">
        <v>17</v>
      </c>
      <c r="AF18" s="33" t="s">
        <v>17</v>
      </c>
      <c r="AG18" s="33" t="s">
        <v>17</v>
      </c>
      <c r="AH18" s="136" t="s">
        <v>26</v>
      </c>
      <c r="AI18" s="137"/>
      <c r="AJ18" s="33" t="s">
        <v>17</v>
      </c>
      <c r="AK18" s="33" t="s">
        <v>17</v>
      </c>
      <c r="AL18" s="33" t="s">
        <v>17</v>
      </c>
      <c r="AM18" s="113">
        <v>14417.839599999999</v>
      </c>
      <c r="AN18" s="113">
        <v>13415.817800000001</v>
      </c>
      <c r="AO18" s="33">
        <v>0</v>
      </c>
      <c r="AP18" s="33">
        <v>0</v>
      </c>
      <c r="AQ18" s="33" t="s">
        <v>157</v>
      </c>
      <c r="AR18" s="113">
        <v>14417.8403</v>
      </c>
      <c r="AS18" s="113">
        <v>13415.8182</v>
      </c>
      <c r="AT18" s="72">
        <f t="shared" si="33"/>
        <v>0.70000000050640665</v>
      </c>
      <c r="AU18" s="72">
        <f t="shared" si="34"/>
        <v>0.39999999899009708</v>
      </c>
      <c r="AV18" s="72">
        <f t="shared" si="35"/>
        <v>0.80622577476848689</v>
      </c>
      <c r="AW18" s="112">
        <v>14417.8403</v>
      </c>
      <c r="AX18" s="112">
        <v>13415.820599999999</v>
      </c>
      <c r="AY18" s="72">
        <f t="shared" si="36"/>
        <v>0.70000000050640665</v>
      </c>
      <c r="AZ18" s="72">
        <f t="shared" si="37"/>
        <v>2.7999999983876478</v>
      </c>
      <c r="BA18" s="72">
        <f t="shared" si="38"/>
        <v>2.8861739364909726</v>
      </c>
      <c r="BB18" s="112">
        <v>14417.8408</v>
      </c>
      <c r="BC18" s="112">
        <v>13415.820100000001</v>
      </c>
      <c r="BD18" s="72">
        <f t="shared" si="39"/>
        <v>1.2000000006082701</v>
      </c>
      <c r="BE18" s="72">
        <f t="shared" si="40"/>
        <v>2.3000000001047738</v>
      </c>
      <c r="BF18" s="72">
        <f t="shared" si="41"/>
        <v>2.5942243545888255</v>
      </c>
      <c r="BG18" s="112">
        <v>14417.8377</v>
      </c>
      <c r="BH18" s="112">
        <v>13415.818600000001</v>
      </c>
      <c r="BI18" s="72">
        <f t="shared" si="42"/>
        <v>-1.8999999992956873</v>
      </c>
      <c r="BJ18" s="72">
        <f t="shared" si="43"/>
        <v>0.79999999979918357</v>
      </c>
      <c r="BK18" s="72">
        <f t="shared" si="44"/>
        <v>2.0615528120817825</v>
      </c>
      <c r="BL18" s="32">
        <v>9</v>
      </c>
    </row>
    <row r="19" spans="3:64" x14ac:dyDescent="0.3">
      <c r="C19" s="32">
        <v>10</v>
      </c>
      <c r="D19" s="151" t="s">
        <v>26</v>
      </c>
      <c r="E19" s="152"/>
      <c r="F19" s="33" t="s">
        <v>17</v>
      </c>
      <c r="G19" s="33" t="s">
        <v>17</v>
      </c>
      <c r="H19" s="33" t="s">
        <v>17</v>
      </c>
      <c r="I19" s="149" t="s">
        <v>26</v>
      </c>
      <c r="J19" s="150"/>
      <c r="K19" s="33" t="s">
        <v>17</v>
      </c>
      <c r="L19" s="33" t="s">
        <v>17</v>
      </c>
      <c r="M19" s="33" t="s">
        <v>17</v>
      </c>
      <c r="N19" s="136" t="s">
        <v>26</v>
      </c>
      <c r="O19" s="137"/>
      <c r="P19" s="72" t="s">
        <v>17</v>
      </c>
      <c r="Q19" s="72" t="s">
        <v>17</v>
      </c>
      <c r="R19" s="72" t="s">
        <v>17</v>
      </c>
      <c r="S19" s="136" t="s">
        <v>26</v>
      </c>
      <c r="T19" s="137"/>
      <c r="U19" s="72" t="s">
        <v>17</v>
      </c>
      <c r="V19" s="72" t="s">
        <v>17</v>
      </c>
      <c r="W19" s="72" t="s">
        <v>17</v>
      </c>
      <c r="X19" s="136" t="s">
        <v>26</v>
      </c>
      <c r="Y19" s="137"/>
      <c r="Z19" s="72" t="s">
        <v>17</v>
      </c>
      <c r="AA19" s="72" t="s">
        <v>17</v>
      </c>
      <c r="AB19" s="72" t="s">
        <v>17</v>
      </c>
      <c r="AC19" s="136" t="s">
        <v>26</v>
      </c>
      <c r="AD19" s="137"/>
      <c r="AE19" s="33" t="s">
        <v>17</v>
      </c>
      <c r="AF19" s="33" t="s">
        <v>17</v>
      </c>
      <c r="AG19" s="33" t="s">
        <v>17</v>
      </c>
      <c r="AH19" s="136" t="s">
        <v>26</v>
      </c>
      <c r="AI19" s="137"/>
      <c r="AJ19" s="33" t="s">
        <v>17</v>
      </c>
      <c r="AK19" s="33" t="s">
        <v>17</v>
      </c>
      <c r="AL19" s="33" t="s">
        <v>17</v>
      </c>
      <c r="AM19" s="113">
        <v>14412.5193</v>
      </c>
      <c r="AN19" s="113">
        <v>13406.1896</v>
      </c>
      <c r="AO19" s="33">
        <v>0</v>
      </c>
      <c r="AP19" s="33">
        <v>0</v>
      </c>
      <c r="AQ19" s="33" t="s">
        <v>157</v>
      </c>
      <c r="AR19" s="113">
        <v>14412.5193</v>
      </c>
      <c r="AS19" s="113">
        <v>13406.191699999999</v>
      </c>
      <c r="AT19" s="72">
        <f t="shared" si="33"/>
        <v>0</v>
      </c>
      <c r="AU19" s="72">
        <f t="shared" si="34"/>
        <v>2.0999999997002305</v>
      </c>
      <c r="AV19" s="72">
        <f t="shared" si="35"/>
        <v>2.0999999997002305</v>
      </c>
      <c r="AW19" s="112">
        <v>14412.5206</v>
      </c>
      <c r="AX19" s="112">
        <v>13406.192800000001</v>
      </c>
      <c r="AY19" s="72">
        <f t="shared" si="36"/>
        <v>1.299999999901047</v>
      </c>
      <c r="AZ19" s="72">
        <f t="shared" si="37"/>
        <v>3.2000000010157237</v>
      </c>
      <c r="BA19" s="72">
        <f t="shared" si="38"/>
        <v>3.453983208737899</v>
      </c>
      <c r="BB19" s="112">
        <v>14412.5188</v>
      </c>
      <c r="BC19" s="112">
        <v>13406.192499999999</v>
      </c>
      <c r="BD19" s="72">
        <f t="shared" si="39"/>
        <v>-0.50000000010186341</v>
      </c>
      <c r="BE19" s="72">
        <f t="shared" si="40"/>
        <v>2.8999999994994141</v>
      </c>
      <c r="BF19" s="72">
        <f t="shared" si="41"/>
        <v>2.9427877934364322</v>
      </c>
      <c r="BG19" s="112">
        <v>14412.52</v>
      </c>
      <c r="BH19" s="112">
        <v>13406.191999999999</v>
      </c>
      <c r="BI19" s="72">
        <f t="shared" si="42"/>
        <v>0.70000000050640665</v>
      </c>
      <c r="BJ19" s="72">
        <f t="shared" si="43"/>
        <v>2.3999999993975507</v>
      </c>
      <c r="BK19" s="72">
        <f t="shared" si="44"/>
        <v>2.4999999995634425</v>
      </c>
      <c r="BL19" s="32">
        <v>10</v>
      </c>
    </row>
    <row r="20" spans="3:64" x14ac:dyDescent="0.3">
      <c r="C20" s="32">
        <v>11</v>
      </c>
      <c r="D20" s="151" t="s">
        <v>26</v>
      </c>
      <c r="E20" s="152"/>
      <c r="F20" s="33" t="s">
        <v>17</v>
      </c>
      <c r="G20" s="33" t="s">
        <v>17</v>
      </c>
      <c r="H20" s="33" t="s">
        <v>17</v>
      </c>
      <c r="I20" s="149" t="s">
        <v>26</v>
      </c>
      <c r="J20" s="150"/>
      <c r="K20" s="33" t="s">
        <v>17</v>
      </c>
      <c r="L20" s="33" t="s">
        <v>17</v>
      </c>
      <c r="M20" s="33" t="s">
        <v>17</v>
      </c>
      <c r="N20" s="136" t="s">
        <v>26</v>
      </c>
      <c r="O20" s="137"/>
      <c r="P20" s="72" t="s">
        <v>17</v>
      </c>
      <c r="Q20" s="72" t="s">
        <v>17</v>
      </c>
      <c r="R20" s="72" t="s">
        <v>17</v>
      </c>
      <c r="S20" s="136" t="s">
        <v>26</v>
      </c>
      <c r="T20" s="137"/>
      <c r="U20" s="72" t="s">
        <v>17</v>
      </c>
      <c r="V20" s="72" t="s">
        <v>17</v>
      </c>
      <c r="W20" s="72" t="s">
        <v>17</v>
      </c>
      <c r="X20" s="136" t="s">
        <v>26</v>
      </c>
      <c r="Y20" s="137"/>
      <c r="Z20" s="72" t="s">
        <v>17</v>
      </c>
      <c r="AA20" s="72" t="s">
        <v>17</v>
      </c>
      <c r="AB20" s="72" t="s">
        <v>17</v>
      </c>
      <c r="AC20" s="136" t="s">
        <v>26</v>
      </c>
      <c r="AD20" s="137"/>
      <c r="AE20" s="33" t="s">
        <v>17</v>
      </c>
      <c r="AF20" s="33" t="s">
        <v>17</v>
      </c>
      <c r="AG20" s="33" t="s">
        <v>17</v>
      </c>
      <c r="AH20" s="136" t="s">
        <v>26</v>
      </c>
      <c r="AI20" s="137"/>
      <c r="AJ20" s="33" t="s">
        <v>17</v>
      </c>
      <c r="AK20" s="33" t="s">
        <v>17</v>
      </c>
      <c r="AL20" s="33" t="s">
        <v>17</v>
      </c>
      <c r="AM20" s="113">
        <v>14407.8199</v>
      </c>
      <c r="AN20" s="113">
        <v>13396.6399</v>
      </c>
      <c r="AO20" s="33">
        <v>0</v>
      </c>
      <c r="AP20" s="33">
        <v>0</v>
      </c>
      <c r="AQ20" s="33" t="s">
        <v>157</v>
      </c>
      <c r="AR20" s="113">
        <v>14407.8226</v>
      </c>
      <c r="AS20" s="113">
        <v>13396.639300000001</v>
      </c>
      <c r="AT20" s="72">
        <f t="shared" si="33"/>
        <v>2.6999999990948709</v>
      </c>
      <c r="AU20" s="72">
        <f t="shared" si="34"/>
        <v>-0.59999999939464033</v>
      </c>
      <c r="AV20" s="72">
        <f t="shared" si="35"/>
        <v>2.7658633361729699</v>
      </c>
      <c r="AW20" s="112">
        <v>14407.823</v>
      </c>
      <c r="AX20" s="112">
        <v>13396.640299999999</v>
      </c>
      <c r="AY20" s="72">
        <f t="shared" si="36"/>
        <v>3.0999999999039574</v>
      </c>
      <c r="AZ20" s="72">
        <f t="shared" si="37"/>
        <v>0.39999999899009708</v>
      </c>
      <c r="BA20" s="72">
        <f t="shared" si="38"/>
        <v>3.125699921393065</v>
      </c>
      <c r="BB20" s="112">
        <v>14407.8243</v>
      </c>
      <c r="BC20" s="112">
        <v>13396.6386</v>
      </c>
      <c r="BD20" s="72">
        <f t="shared" si="39"/>
        <v>4.3999999998050043</v>
      </c>
      <c r="BE20" s="72">
        <f t="shared" si="40"/>
        <v>-1.299999999901047</v>
      </c>
      <c r="BF20" s="72">
        <f t="shared" si="41"/>
        <v>4.5880278985667422</v>
      </c>
      <c r="BG20" s="112">
        <v>14407.824000000001</v>
      </c>
      <c r="BH20" s="112">
        <v>13396.635399999999</v>
      </c>
      <c r="BI20" s="72">
        <f t="shared" si="42"/>
        <v>4.1000000001076842</v>
      </c>
      <c r="BJ20" s="72">
        <f t="shared" si="43"/>
        <v>-4.5000000009167707</v>
      </c>
      <c r="BK20" s="72">
        <f t="shared" si="44"/>
        <v>6.0876925028399675</v>
      </c>
      <c r="BL20" s="32">
        <v>11</v>
      </c>
    </row>
    <row r="21" spans="3:64" x14ac:dyDescent="0.3">
      <c r="C21" s="32">
        <v>12</v>
      </c>
      <c r="D21" s="151" t="s">
        <v>26</v>
      </c>
      <c r="E21" s="152"/>
      <c r="F21" s="33" t="s">
        <v>17</v>
      </c>
      <c r="G21" s="33" t="s">
        <v>17</v>
      </c>
      <c r="H21" s="33" t="s">
        <v>17</v>
      </c>
      <c r="I21" s="149" t="s">
        <v>26</v>
      </c>
      <c r="J21" s="150"/>
      <c r="K21" s="33" t="s">
        <v>17</v>
      </c>
      <c r="L21" s="33" t="s">
        <v>17</v>
      </c>
      <c r="M21" s="33" t="s">
        <v>17</v>
      </c>
      <c r="N21" s="136" t="s">
        <v>26</v>
      </c>
      <c r="O21" s="137"/>
      <c r="P21" s="72" t="s">
        <v>17</v>
      </c>
      <c r="Q21" s="72" t="s">
        <v>17</v>
      </c>
      <c r="R21" s="72" t="s">
        <v>17</v>
      </c>
      <c r="S21" s="136" t="s">
        <v>26</v>
      </c>
      <c r="T21" s="137"/>
      <c r="U21" s="72" t="s">
        <v>17</v>
      </c>
      <c r="V21" s="72" t="s">
        <v>17</v>
      </c>
      <c r="W21" s="72" t="s">
        <v>17</v>
      </c>
      <c r="X21" s="136" t="s">
        <v>26</v>
      </c>
      <c r="Y21" s="137"/>
      <c r="Z21" s="72" t="s">
        <v>17</v>
      </c>
      <c r="AA21" s="72" t="s">
        <v>17</v>
      </c>
      <c r="AB21" s="72" t="s">
        <v>17</v>
      </c>
      <c r="AC21" s="136" t="s">
        <v>26</v>
      </c>
      <c r="AD21" s="137"/>
      <c r="AE21" s="33" t="s">
        <v>17</v>
      </c>
      <c r="AF21" s="33" t="s">
        <v>17</v>
      </c>
      <c r="AG21" s="33" t="s">
        <v>17</v>
      </c>
      <c r="AH21" s="136" t="s">
        <v>26</v>
      </c>
      <c r="AI21" s="137"/>
      <c r="AJ21" s="33" t="s">
        <v>17</v>
      </c>
      <c r="AK21" s="33" t="s">
        <v>17</v>
      </c>
      <c r="AL21" s="33" t="s">
        <v>17</v>
      </c>
      <c r="AM21" s="113">
        <v>14432.672399999999</v>
      </c>
      <c r="AN21" s="113">
        <v>13354.4208</v>
      </c>
      <c r="AO21" s="33">
        <v>0</v>
      </c>
      <c r="AP21" s="33">
        <v>0</v>
      </c>
      <c r="AQ21" s="33" t="s">
        <v>157</v>
      </c>
      <c r="AR21" s="113">
        <v>14432.672399999999</v>
      </c>
      <c r="AS21" s="113">
        <v>13354.417799999999</v>
      </c>
      <c r="AT21" s="72">
        <f t="shared" si="33"/>
        <v>0</v>
      </c>
      <c r="AU21" s="72">
        <f t="shared" si="34"/>
        <v>-3.0000000006111804</v>
      </c>
      <c r="AV21" s="72">
        <f t="shared" si="35"/>
        <v>3.0000000006111804</v>
      </c>
      <c r="AW21" s="112">
        <v>14432.6718</v>
      </c>
      <c r="AX21" s="112">
        <v>13354.416800000001</v>
      </c>
      <c r="AY21" s="72">
        <f t="shared" si="36"/>
        <v>-0.59999999939464033</v>
      </c>
      <c r="AZ21" s="72">
        <f t="shared" si="37"/>
        <v>-3.9999999989959178</v>
      </c>
      <c r="BA21" s="72">
        <f t="shared" si="38"/>
        <v>4.0447496821485647</v>
      </c>
      <c r="BB21" s="112">
        <v>14432.669900000001</v>
      </c>
      <c r="BC21" s="112">
        <v>13354.4144</v>
      </c>
      <c r="BD21" s="72">
        <f t="shared" si="39"/>
        <v>-2.4999999986903276</v>
      </c>
      <c r="BE21" s="72">
        <f t="shared" si="40"/>
        <v>-6.400000000212458</v>
      </c>
      <c r="BF21" s="72">
        <f t="shared" si="41"/>
        <v>6.8709533542421246</v>
      </c>
      <c r="BG21" s="112">
        <v>14432.668600000001</v>
      </c>
      <c r="BH21" s="112">
        <v>13354.4164</v>
      </c>
      <c r="BI21" s="72">
        <f t="shared" si="42"/>
        <v>-3.7999999985913746</v>
      </c>
      <c r="BJ21" s="72">
        <f t="shared" si="43"/>
        <v>-4.3999999998050043</v>
      </c>
      <c r="BK21" s="72">
        <f t="shared" si="44"/>
        <v>5.8137767404311704</v>
      </c>
      <c r="BL21" s="32">
        <v>12</v>
      </c>
    </row>
    <row r="22" spans="3:64" x14ac:dyDescent="0.3">
      <c r="C22" s="32">
        <v>13</v>
      </c>
      <c r="D22" s="151" t="s">
        <v>26</v>
      </c>
      <c r="E22" s="152"/>
      <c r="F22" s="33" t="s">
        <v>17</v>
      </c>
      <c r="G22" s="33" t="s">
        <v>17</v>
      </c>
      <c r="H22" s="33" t="s">
        <v>17</v>
      </c>
      <c r="I22" s="149" t="s">
        <v>26</v>
      </c>
      <c r="J22" s="150"/>
      <c r="K22" s="33" t="s">
        <v>17</v>
      </c>
      <c r="L22" s="33" t="s">
        <v>17</v>
      </c>
      <c r="M22" s="33" t="s">
        <v>17</v>
      </c>
      <c r="N22" s="136" t="s">
        <v>26</v>
      </c>
      <c r="O22" s="137"/>
      <c r="P22" s="72" t="s">
        <v>17</v>
      </c>
      <c r="Q22" s="72" t="s">
        <v>17</v>
      </c>
      <c r="R22" s="72" t="s">
        <v>17</v>
      </c>
      <c r="S22" s="136" t="s">
        <v>26</v>
      </c>
      <c r="T22" s="137"/>
      <c r="U22" s="72" t="s">
        <v>17</v>
      </c>
      <c r="V22" s="72" t="s">
        <v>17</v>
      </c>
      <c r="W22" s="72" t="s">
        <v>17</v>
      </c>
      <c r="X22" s="136" t="s">
        <v>26</v>
      </c>
      <c r="Y22" s="137"/>
      <c r="Z22" s="72" t="s">
        <v>17</v>
      </c>
      <c r="AA22" s="72" t="s">
        <v>17</v>
      </c>
      <c r="AB22" s="72" t="s">
        <v>17</v>
      </c>
      <c r="AC22" s="136" t="s">
        <v>26</v>
      </c>
      <c r="AD22" s="137"/>
      <c r="AE22" s="33" t="s">
        <v>17</v>
      </c>
      <c r="AF22" s="33" t="s">
        <v>17</v>
      </c>
      <c r="AG22" s="33" t="s">
        <v>17</v>
      </c>
      <c r="AH22" s="136" t="s">
        <v>26</v>
      </c>
      <c r="AI22" s="137"/>
      <c r="AJ22" s="33" t="s">
        <v>17</v>
      </c>
      <c r="AK22" s="33" t="s">
        <v>17</v>
      </c>
      <c r="AL22" s="33" t="s">
        <v>17</v>
      </c>
      <c r="AM22" s="113">
        <v>14407.574699999999</v>
      </c>
      <c r="AN22" s="113">
        <v>13372.575699999999</v>
      </c>
      <c r="AO22" s="33">
        <v>0</v>
      </c>
      <c r="AP22" s="33">
        <v>0</v>
      </c>
      <c r="AQ22" s="33" t="s">
        <v>157</v>
      </c>
      <c r="AR22" s="113">
        <v>14407.570900000001</v>
      </c>
      <c r="AS22" s="113">
        <v>13372.5736</v>
      </c>
      <c r="AT22" s="72">
        <f t="shared" si="33"/>
        <v>-3.7999999985913746</v>
      </c>
      <c r="AU22" s="72">
        <f t="shared" si="34"/>
        <v>-2.0999999997002305</v>
      </c>
      <c r="AV22" s="72">
        <f t="shared" si="35"/>
        <v>4.3416586678406004</v>
      </c>
      <c r="AW22" s="112">
        <v>14407.5689</v>
      </c>
      <c r="AX22" s="112">
        <v>13372.570400000001</v>
      </c>
      <c r="AY22" s="72">
        <f t="shared" si="36"/>
        <v>-5.7999999989988282</v>
      </c>
      <c r="AZ22" s="72">
        <f t="shared" si="37"/>
        <v>-5.2999999988969648</v>
      </c>
      <c r="BA22" s="72">
        <f t="shared" si="38"/>
        <v>7.8568441486829963</v>
      </c>
      <c r="BB22" s="112">
        <v>14407.568600000001</v>
      </c>
      <c r="BC22" s="112">
        <v>13372.570400000001</v>
      </c>
      <c r="BD22" s="72">
        <f t="shared" si="39"/>
        <v>-6.0999999986961484</v>
      </c>
      <c r="BE22" s="72">
        <f t="shared" si="40"/>
        <v>-5.2999999988969648</v>
      </c>
      <c r="BF22" s="72">
        <f t="shared" si="41"/>
        <v>8.0808415386270784</v>
      </c>
      <c r="BG22" s="112">
        <v>14407.568799999999</v>
      </c>
      <c r="BH22" s="112">
        <v>13372.571599999999</v>
      </c>
      <c r="BI22" s="72">
        <f t="shared" si="42"/>
        <v>-5.9000000001105946</v>
      </c>
      <c r="BJ22" s="72">
        <f t="shared" si="43"/>
        <v>-4.1000000001076842</v>
      </c>
      <c r="BK22" s="72">
        <f t="shared" si="44"/>
        <v>7.1847059788266927</v>
      </c>
      <c r="BL22" s="32">
        <v>13</v>
      </c>
    </row>
    <row r="23" spans="3:64" x14ac:dyDescent="0.3">
      <c r="C23" s="32">
        <v>14</v>
      </c>
      <c r="D23" s="151" t="s">
        <v>26</v>
      </c>
      <c r="E23" s="152"/>
      <c r="F23" s="33" t="s">
        <v>17</v>
      </c>
      <c r="G23" s="33" t="s">
        <v>17</v>
      </c>
      <c r="H23" s="33" t="s">
        <v>17</v>
      </c>
      <c r="I23" s="149" t="s">
        <v>26</v>
      </c>
      <c r="J23" s="150"/>
      <c r="K23" s="33" t="s">
        <v>17</v>
      </c>
      <c r="L23" s="33" t="s">
        <v>17</v>
      </c>
      <c r="M23" s="33" t="s">
        <v>17</v>
      </c>
      <c r="N23" s="136" t="s">
        <v>26</v>
      </c>
      <c r="O23" s="137"/>
      <c r="P23" s="72" t="s">
        <v>17</v>
      </c>
      <c r="Q23" s="72" t="s">
        <v>17</v>
      </c>
      <c r="R23" s="72" t="s">
        <v>17</v>
      </c>
      <c r="S23" s="136" t="s">
        <v>26</v>
      </c>
      <c r="T23" s="137"/>
      <c r="U23" s="72" t="s">
        <v>17</v>
      </c>
      <c r="V23" s="72" t="s">
        <v>17</v>
      </c>
      <c r="W23" s="72" t="s">
        <v>17</v>
      </c>
      <c r="X23" s="136" t="s">
        <v>26</v>
      </c>
      <c r="Y23" s="137"/>
      <c r="Z23" s="72" t="s">
        <v>17</v>
      </c>
      <c r="AA23" s="72" t="s">
        <v>17</v>
      </c>
      <c r="AB23" s="72" t="s">
        <v>17</v>
      </c>
      <c r="AC23" s="136" t="s">
        <v>26</v>
      </c>
      <c r="AD23" s="137"/>
      <c r="AE23" s="33" t="s">
        <v>17</v>
      </c>
      <c r="AF23" s="33" t="s">
        <v>17</v>
      </c>
      <c r="AG23" s="33" t="s">
        <v>17</v>
      </c>
      <c r="AH23" s="136" t="s">
        <v>26</v>
      </c>
      <c r="AI23" s="137"/>
      <c r="AJ23" s="33" t="s">
        <v>17</v>
      </c>
      <c r="AK23" s="33" t="s">
        <v>17</v>
      </c>
      <c r="AL23" s="33" t="s">
        <v>17</v>
      </c>
      <c r="AM23" s="113">
        <v>14407.366400000001</v>
      </c>
      <c r="AN23" s="113">
        <v>13356.5905</v>
      </c>
      <c r="AO23" s="33">
        <v>0</v>
      </c>
      <c r="AP23" s="33">
        <v>0</v>
      </c>
      <c r="AQ23" s="33" t="s">
        <v>157</v>
      </c>
      <c r="AR23" s="113">
        <v>14407.363300000001</v>
      </c>
      <c r="AS23" s="113">
        <v>13356.594300000001</v>
      </c>
      <c r="AT23" s="72">
        <f t="shared" si="33"/>
        <v>-3.0999999999039574</v>
      </c>
      <c r="AU23" s="72">
        <f t="shared" si="34"/>
        <v>3.800000000410364</v>
      </c>
      <c r="AV23" s="72">
        <f t="shared" si="35"/>
        <v>4.9040799343529571</v>
      </c>
      <c r="AW23" s="112">
        <v>14407.3616</v>
      </c>
      <c r="AX23" s="112">
        <v>13356.597900000001</v>
      </c>
      <c r="AY23" s="72">
        <f t="shared" si="36"/>
        <v>-4.8000000006140908</v>
      </c>
      <c r="AZ23" s="72">
        <f t="shared" si="37"/>
        <v>7.4000000004161848</v>
      </c>
      <c r="BA23" s="72">
        <f t="shared" si="38"/>
        <v>8.8204308291633247</v>
      </c>
      <c r="BB23" s="112">
        <v>14407.361699999999</v>
      </c>
      <c r="BC23" s="112">
        <v>13356.5946</v>
      </c>
      <c r="BD23" s="72">
        <f t="shared" si="39"/>
        <v>-4.7000000013213139</v>
      </c>
      <c r="BE23" s="72">
        <f t="shared" si="40"/>
        <v>4.1000000001076842</v>
      </c>
      <c r="BF23" s="72">
        <f t="shared" si="41"/>
        <v>6.2369864528715597</v>
      </c>
      <c r="BG23" s="112">
        <v>14407.361699999999</v>
      </c>
      <c r="BH23" s="112">
        <v>13356.594499999999</v>
      </c>
      <c r="BI23" s="72">
        <f t="shared" si="42"/>
        <v>-4.7000000013213139</v>
      </c>
      <c r="BJ23" s="72">
        <f t="shared" si="43"/>
        <v>3.9999999989959178</v>
      </c>
      <c r="BK23" s="72">
        <f t="shared" si="44"/>
        <v>6.171709650039257</v>
      </c>
      <c r="BL23" s="32">
        <v>14</v>
      </c>
    </row>
    <row r="24" spans="3:64" x14ac:dyDescent="0.3">
      <c r="C24" s="32">
        <v>15</v>
      </c>
      <c r="D24" s="151" t="s">
        <v>26</v>
      </c>
      <c r="E24" s="152"/>
      <c r="F24" s="33" t="s">
        <v>17</v>
      </c>
      <c r="G24" s="33" t="s">
        <v>17</v>
      </c>
      <c r="H24" s="33" t="s">
        <v>17</v>
      </c>
      <c r="I24" s="149" t="s">
        <v>26</v>
      </c>
      <c r="J24" s="150"/>
      <c r="K24" s="33" t="s">
        <v>17</v>
      </c>
      <c r="L24" s="33" t="s">
        <v>17</v>
      </c>
      <c r="M24" s="33" t="s">
        <v>17</v>
      </c>
      <c r="N24" s="136" t="s">
        <v>26</v>
      </c>
      <c r="O24" s="137"/>
      <c r="P24" s="72" t="s">
        <v>17</v>
      </c>
      <c r="Q24" s="72" t="s">
        <v>17</v>
      </c>
      <c r="R24" s="72" t="s">
        <v>17</v>
      </c>
      <c r="S24" s="136" t="s">
        <v>26</v>
      </c>
      <c r="T24" s="137"/>
      <c r="U24" s="72" t="s">
        <v>17</v>
      </c>
      <c r="V24" s="72" t="s">
        <v>17</v>
      </c>
      <c r="W24" s="72" t="s">
        <v>17</v>
      </c>
      <c r="X24" s="136" t="s">
        <v>26</v>
      </c>
      <c r="Y24" s="137"/>
      <c r="Z24" s="72" t="s">
        <v>17</v>
      </c>
      <c r="AA24" s="72" t="s">
        <v>17</v>
      </c>
      <c r="AB24" s="72" t="s">
        <v>17</v>
      </c>
      <c r="AC24" s="136" t="s">
        <v>26</v>
      </c>
      <c r="AD24" s="137"/>
      <c r="AE24" s="33" t="s">
        <v>17</v>
      </c>
      <c r="AF24" s="33" t="s">
        <v>17</v>
      </c>
      <c r="AG24" s="33" t="s">
        <v>17</v>
      </c>
      <c r="AH24" s="136" t="s">
        <v>26</v>
      </c>
      <c r="AI24" s="137"/>
      <c r="AJ24" s="33" t="s">
        <v>17</v>
      </c>
      <c r="AK24" s="33" t="s">
        <v>17</v>
      </c>
      <c r="AL24" s="33" t="s">
        <v>17</v>
      </c>
      <c r="AM24" s="113">
        <v>14407.223599999999</v>
      </c>
      <c r="AN24" s="113">
        <v>13347.7858</v>
      </c>
      <c r="AO24" s="33">
        <v>0</v>
      </c>
      <c r="AP24" s="33">
        <v>0</v>
      </c>
      <c r="AQ24" s="33" t="s">
        <v>157</v>
      </c>
      <c r="AR24" s="113">
        <v>14407.2232</v>
      </c>
      <c r="AS24" s="113">
        <v>13347.788699999999</v>
      </c>
      <c r="AT24" s="72">
        <f t="shared" si="33"/>
        <v>-0.39999999899009708</v>
      </c>
      <c r="AU24" s="72">
        <f t="shared" si="34"/>
        <v>2.8999999994994141</v>
      </c>
      <c r="AV24" s="72">
        <f t="shared" si="35"/>
        <v>2.9274562330270077</v>
      </c>
      <c r="AW24" s="112">
        <v>14407.222900000001</v>
      </c>
      <c r="AX24" s="112">
        <v>13347.786700000001</v>
      </c>
      <c r="AY24" s="72">
        <f t="shared" si="36"/>
        <v>-0.69999999868741725</v>
      </c>
      <c r="AZ24" s="72">
        <f t="shared" si="37"/>
        <v>0.90000000091094989</v>
      </c>
      <c r="BA24" s="72">
        <f t="shared" si="38"/>
        <v>1.1401754250123504</v>
      </c>
      <c r="BB24" s="112">
        <v>14407.222100000001</v>
      </c>
      <c r="BC24" s="112">
        <v>13347.787</v>
      </c>
      <c r="BD24" s="72">
        <f t="shared" si="39"/>
        <v>-1.4999999984866008</v>
      </c>
      <c r="BE24" s="72">
        <f t="shared" si="40"/>
        <v>1.2000000006082701</v>
      </c>
      <c r="BF24" s="72">
        <f t="shared" si="41"/>
        <v>1.9209372704280716</v>
      </c>
      <c r="BG24" s="112">
        <v>14407.2214</v>
      </c>
      <c r="BH24" s="112">
        <v>13347.787399999999</v>
      </c>
      <c r="BI24" s="72">
        <f t="shared" si="42"/>
        <v>-2.1999999989930075</v>
      </c>
      <c r="BJ24" s="72">
        <f t="shared" si="43"/>
        <v>1.5999999995983671</v>
      </c>
      <c r="BK24" s="72">
        <f t="shared" si="44"/>
        <v>2.7202941006964685</v>
      </c>
      <c r="BL24" s="32">
        <v>15</v>
      </c>
    </row>
    <row r="25" spans="3:64" x14ac:dyDescent="0.3">
      <c r="C25" s="32">
        <v>16</v>
      </c>
      <c r="D25" s="151" t="s">
        <v>26</v>
      </c>
      <c r="E25" s="152"/>
      <c r="F25" s="33" t="s">
        <v>17</v>
      </c>
      <c r="G25" s="33" t="s">
        <v>17</v>
      </c>
      <c r="H25" s="33" t="s">
        <v>17</v>
      </c>
      <c r="I25" s="149" t="s">
        <v>26</v>
      </c>
      <c r="J25" s="150"/>
      <c r="K25" s="33" t="s">
        <v>17</v>
      </c>
      <c r="L25" s="33" t="s">
        <v>17</v>
      </c>
      <c r="M25" s="33" t="s">
        <v>17</v>
      </c>
      <c r="N25" s="71">
        <v>14419.053</v>
      </c>
      <c r="O25" s="71">
        <v>13336.4</v>
      </c>
      <c r="P25" s="72">
        <v>0</v>
      </c>
      <c r="Q25" s="72">
        <v>0</v>
      </c>
      <c r="R25" s="72">
        <v>0</v>
      </c>
      <c r="S25" s="71">
        <v>14419.056</v>
      </c>
      <c r="T25" s="71">
        <v>13336.4</v>
      </c>
      <c r="U25" s="72">
        <f t="shared" ref="U25:U33" si="45">P25+(S25-N25)*1000</f>
        <v>3.0000000006111804</v>
      </c>
      <c r="V25" s="72">
        <f t="shared" ref="V25:V33" si="46">Q25+(T25-O25)*1000</f>
        <v>0</v>
      </c>
      <c r="W25" s="72">
        <f t="shared" ref="W25:W33" si="47">SQRT(((U25*U25)+(V25*V25)))</f>
        <v>3.0000000006111804</v>
      </c>
      <c r="X25" s="71">
        <v>14419.0605</v>
      </c>
      <c r="Y25" s="71">
        <v>13336.42</v>
      </c>
      <c r="Z25" s="72">
        <f t="shared" ref="Z25:Z33" si="48">U25+(X25-S25)*1000</f>
        <v>7.4999999997089617</v>
      </c>
      <c r="AA25" s="72">
        <f t="shared" ref="AA25:AA33" si="49">V25+(Y25-T25)*1000</f>
        <v>20.000000000436557</v>
      </c>
      <c r="AB25" s="72">
        <f t="shared" ref="AB25:AB33" si="50">SQRT(((Z25*Z25)+(AA25*AA25)))</f>
        <v>21.360009363600398</v>
      </c>
      <c r="AC25" s="71">
        <v>14419.059300000001</v>
      </c>
      <c r="AD25" s="71">
        <v>13336.4094</v>
      </c>
      <c r="AE25" s="33">
        <f t="shared" ref="AE25:AE36" si="51">Z25+(AC25-X25)*1000</f>
        <v>6.300000000919681</v>
      </c>
      <c r="AF25" s="33">
        <f t="shared" ref="AF25:AF36" si="52">AA25+(AD25-Y25)*1000</f>
        <v>9.4000000008236384</v>
      </c>
      <c r="AG25" s="33">
        <f t="shared" ref="AG25:AG36" si="53">SQRT(((AE25*AE25)+(AF25*AF25)))</f>
        <v>11.315917993122447</v>
      </c>
      <c r="AH25" s="113">
        <v>14419.059600000001</v>
      </c>
      <c r="AI25" s="113">
        <v>13336.4074</v>
      </c>
      <c r="AJ25" s="33">
        <f t="shared" ref="AJ25" si="54">AE25+(AH25-AC25)*1000</f>
        <v>6.6000000006170012</v>
      </c>
      <c r="AK25" s="33">
        <f t="shared" ref="AK25" si="55">AF25+(AI25-AD25)*1000</f>
        <v>7.4000000004161848</v>
      </c>
      <c r="AL25" s="72">
        <f t="shared" ref="AL25" si="56">SQRT(((AJ25*AJ25)+(AK25*AK25)))</f>
        <v>9.9156442057137149</v>
      </c>
      <c r="AM25" s="112">
        <v>14419.065000000001</v>
      </c>
      <c r="AN25" s="112">
        <v>13336.4022</v>
      </c>
      <c r="AO25" s="72">
        <f t="shared" ref="AO25" si="57">AJ25+(AM25-AH25)*1000</f>
        <v>12.000000000625732</v>
      </c>
      <c r="AP25" s="72">
        <f t="shared" ref="AP25" si="58">AK25+(AN25-AI25)*1000</f>
        <v>2.2000000008119969</v>
      </c>
      <c r="AQ25" s="72">
        <f t="shared" ref="AQ25" si="59">SQRT(((AO25*AO25)+(AP25*AP25)))</f>
        <v>12.2000000007619</v>
      </c>
      <c r="AR25" s="112">
        <v>14419.0659</v>
      </c>
      <c r="AS25" s="112">
        <v>13336.400600000001</v>
      </c>
      <c r="AT25" s="72">
        <f t="shared" si="33"/>
        <v>12.899999999717693</v>
      </c>
      <c r="AU25" s="72">
        <f t="shared" si="34"/>
        <v>0.60000000121362973</v>
      </c>
      <c r="AV25" s="72">
        <f t="shared" si="35"/>
        <v>12.913945949792915</v>
      </c>
      <c r="AW25" s="112">
        <v>14419.063099999999</v>
      </c>
      <c r="AX25" s="112">
        <v>13336.399100000001</v>
      </c>
      <c r="AY25" s="72">
        <f t="shared" si="36"/>
        <v>10.099999999511056</v>
      </c>
      <c r="AZ25" s="72">
        <f t="shared" si="37"/>
        <v>-0.89999999909196049</v>
      </c>
      <c r="BA25" s="72">
        <f t="shared" si="38"/>
        <v>10.140019723279085</v>
      </c>
      <c r="BB25" s="112">
        <v>14419.0635</v>
      </c>
      <c r="BC25" s="112">
        <v>13336.401599999999</v>
      </c>
      <c r="BD25" s="72">
        <f t="shared" si="39"/>
        <v>10.500000000320142</v>
      </c>
      <c r="BE25" s="72">
        <f t="shared" si="40"/>
        <v>1.5999999995983671</v>
      </c>
      <c r="BF25" s="72">
        <f t="shared" si="41"/>
        <v>10.621205204939681</v>
      </c>
      <c r="BG25" s="112">
        <v>14419.0648</v>
      </c>
      <c r="BH25" s="112">
        <v>13336.4004</v>
      </c>
      <c r="BI25" s="72">
        <f t="shared" si="42"/>
        <v>11.800000000221189</v>
      </c>
      <c r="BJ25" s="72">
        <f t="shared" si="43"/>
        <v>0.40000000080908649</v>
      </c>
      <c r="BK25" s="72">
        <f t="shared" si="44"/>
        <v>11.806777714764825</v>
      </c>
      <c r="BL25" s="32">
        <v>16</v>
      </c>
    </row>
    <row r="26" spans="3:64" x14ac:dyDescent="0.3">
      <c r="C26" s="32">
        <v>17</v>
      </c>
      <c r="D26" s="151" t="s">
        <v>26</v>
      </c>
      <c r="E26" s="152"/>
      <c r="F26" s="33" t="s">
        <v>17</v>
      </c>
      <c r="G26" s="33" t="s">
        <v>17</v>
      </c>
      <c r="H26" s="33" t="s">
        <v>17</v>
      </c>
      <c r="I26" s="149" t="s">
        <v>26</v>
      </c>
      <c r="J26" s="150"/>
      <c r="K26" s="33" t="s">
        <v>17</v>
      </c>
      <c r="L26" s="33" t="s">
        <v>17</v>
      </c>
      <c r="M26" s="33" t="s">
        <v>17</v>
      </c>
      <c r="N26" s="71">
        <v>14429.633</v>
      </c>
      <c r="O26" s="71">
        <v>13326.319</v>
      </c>
      <c r="P26" s="72">
        <v>0</v>
      </c>
      <c r="Q26" s="72">
        <v>0</v>
      </c>
      <c r="R26" s="72">
        <v>0</v>
      </c>
      <c r="S26" s="71">
        <v>14429.636</v>
      </c>
      <c r="T26" s="71">
        <v>13326.325000000001</v>
      </c>
      <c r="U26" s="72">
        <f t="shared" si="45"/>
        <v>3.0000000006111804</v>
      </c>
      <c r="V26" s="72">
        <f t="shared" si="46"/>
        <v>6.0000000012223609</v>
      </c>
      <c r="W26" s="72">
        <f t="shared" si="47"/>
        <v>6.7082039338660104</v>
      </c>
      <c r="X26" s="71">
        <v>14429.640799999999</v>
      </c>
      <c r="Y26" s="71">
        <v>13326.3405</v>
      </c>
      <c r="Z26" s="72">
        <f t="shared" si="48"/>
        <v>7.7999999994062819</v>
      </c>
      <c r="AA26" s="72">
        <f t="shared" si="49"/>
        <v>21.500000000742148</v>
      </c>
      <c r="AB26" s="72">
        <f t="shared" si="50"/>
        <v>22.871160880520481</v>
      </c>
      <c r="AC26" s="71">
        <v>14429.6373</v>
      </c>
      <c r="AD26" s="71">
        <v>13326.336300000001</v>
      </c>
      <c r="AE26" s="33">
        <f t="shared" si="51"/>
        <v>4.3000000005122274</v>
      </c>
      <c r="AF26" s="33">
        <f t="shared" si="52"/>
        <v>17.300000001341687</v>
      </c>
      <c r="AG26" s="33">
        <f t="shared" si="53"/>
        <v>17.826384940610573</v>
      </c>
      <c r="AH26" s="113">
        <v>14429.639499999999</v>
      </c>
      <c r="AI26" s="113">
        <v>13326.335499999999</v>
      </c>
      <c r="AJ26" s="33">
        <f t="shared" ref="AJ26:AJ36" si="60">AE26+(AH26-AC26)*1000</f>
        <v>6.4999999995052349</v>
      </c>
      <c r="AK26" s="33">
        <f t="shared" ref="AK26:AK36" si="61">AF26+(AI26-AD26)*1000</f>
        <v>16.499999999723514</v>
      </c>
      <c r="AL26" s="72">
        <f t="shared" ref="AL26:AL36" si="62">SQRT(((AJ26*AJ26)+(AK26*AK26)))</f>
        <v>17.73414785052961</v>
      </c>
      <c r="AM26" s="112">
        <v>14429.639499999999</v>
      </c>
      <c r="AN26" s="112">
        <v>13326.335499999999</v>
      </c>
      <c r="AO26" s="72">
        <f t="shared" ref="AO26:AO36" si="63">AJ26+(AM26-AH26)*1000</f>
        <v>6.4999999995052349</v>
      </c>
      <c r="AP26" s="72">
        <f t="shared" ref="AP26:AP36" si="64">AK26+(AN26-AI26)*1000</f>
        <v>16.499999999723514</v>
      </c>
      <c r="AQ26" s="72">
        <f t="shared" ref="AQ26:AQ36" si="65">SQRT(((AO26*AO26)+(AP26*AP26)))</f>
        <v>17.73414785052961</v>
      </c>
      <c r="AR26" s="112">
        <v>14429.6397</v>
      </c>
      <c r="AS26" s="112">
        <v>13326.332899999999</v>
      </c>
      <c r="AT26" s="72">
        <f t="shared" si="33"/>
        <v>6.6999999999097781</v>
      </c>
      <c r="AU26" s="72">
        <f t="shared" si="34"/>
        <v>13.89999999992142</v>
      </c>
      <c r="AV26" s="72">
        <f t="shared" si="35"/>
        <v>15.430489298677681</v>
      </c>
      <c r="AW26" s="112">
        <v>14429.6391</v>
      </c>
      <c r="AX26" s="112">
        <v>13326.3367</v>
      </c>
      <c r="AY26" s="72">
        <f t="shared" si="36"/>
        <v>6.1000000005151378</v>
      </c>
      <c r="AZ26" s="72">
        <f t="shared" si="37"/>
        <v>17.700000000331784</v>
      </c>
      <c r="BA26" s="72">
        <f t="shared" si="38"/>
        <v>18.72164522733058</v>
      </c>
      <c r="BB26" s="136" t="s">
        <v>27</v>
      </c>
      <c r="BC26" s="137"/>
      <c r="BD26" s="33" t="s">
        <v>17</v>
      </c>
      <c r="BE26" s="33" t="s">
        <v>17</v>
      </c>
      <c r="BF26" s="33" t="s">
        <v>17</v>
      </c>
      <c r="BG26" s="136" t="s">
        <v>27</v>
      </c>
      <c r="BH26" s="137"/>
      <c r="BI26" s="33" t="s">
        <v>17</v>
      </c>
      <c r="BJ26" s="33" t="s">
        <v>17</v>
      </c>
      <c r="BK26" s="33" t="s">
        <v>17</v>
      </c>
      <c r="BL26" s="32">
        <v>17</v>
      </c>
    </row>
    <row r="27" spans="3:64" x14ac:dyDescent="0.3">
      <c r="C27" s="32">
        <v>18</v>
      </c>
      <c r="D27" s="151" t="s">
        <v>26</v>
      </c>
      <c r="E27" s="152"/>
      <c r="F27" s="33" t="s">
        <v>17</v>
      </c>
      <c r="G27" s="33" t="s">
        <v>17</v>
      </c>
      <c r="H27" s="33" t="s">
        <v>17</v>
      </c>
      <c r="I27" s="149" t="s">
        <v>26</v>
      </c>
      <c r="J27" s="150"/>
      <c r="K27" s="33" t="s">
        <v>17</v>
      </c>
      <c r="L27" s="33" t="s">
        <v>17</v>
      </c>
      <c r="M27" s="33" t="s">
        <v>17</v>
      </c>
      <c r="N27" s="71">
        <v>14439.346</v>
      </c>
      <c r="O27" s="71">
        <v>13323.415999999999</v>
      </c>
      <c r="P27" s="72">
        <v>0</v>
      </c>
      <c r="Q27" s="72">
        <v>0</v>
      </c>
      <c r="R27" s="72">
        <v>0</v>
      </c>
      <c r="S27" s="71">
        <v>14439.349</v>
      </c>
      <c r="T27" s="71">
        <v>13323.414000000001</v>
      </c>
      <c r="U27" s="72">
        <f t="shared" si="45"/>
        <v>3.0000000006111804</v>
      </c>
      <c r="V27" s="72">
        <f t="shared" si="46"/>
        <v>-1.9999999985884642</v>
      </c>
      <c r="W27" s="72">
        <f t="shared" si="47"/>
        <v>3.6055512751895429</v>
      </c>
      <c r="X27" s="71">
        <v>14439.3531</v>
      </c>
      <c r="Y27" s="71">
        <v>13323.429099999999</v>
      </c>
      <c r="Z27" s="72">
        <f t="shared" si="48"/>
        <v>7.1000000007188646</v>
      </c>
      <c r="AA27" s="72">
        <f t="shared" si="49"/>
        <v>13.100000000122236</v>
      </c>
      <c r="AB27" s="72">
        <f t="shared" si="50"/>
        <v>14.900335567141113</v>
      </c>
      <c r="AC27" s="71">
        <v>14439.354799999999</v>
      </c>
      <c r="AD27" s="71">
        <v>13323.4264</v>
      </c>
      <c r="AE27" s="33">
        <f t="shared" si="51"/>
        <v>8.7999999996100087</v>
      </c>
      <c r="AF27" s="33">
        <f t="shared" si="52"/>
        <v>10.400000001027365</v>
      </c>
      <c r="AG27" s="33">
        <f t="shared" si="53"/>
        <v>13.623509093273485</v>
      </c>
      <c r="AH27" s="113">
        <v>14439.355299999999</v>
      </c>
      <c r="AI27" s="113">
        <v>13323.4282</v>
      </c>
      <c r="AJ27" s="33">
        <f t="shared" si="60"/>
        <v>9.2999999997118721</v>
      </c>
      <c r="AK27" s="33">
        <f t="shared" si="61"/>
        <v>12.200000001030276</v>
      </c>
      <c r="AL27" s="72">
        <f t="shared" si="62"/>
        <v>15.340469354611663</v>
      </c>
      <c r="AM27" s="112">
        <v>14439.3505</v>
      </c>
      <c r="AN27" s="112">
        <v>13323.429700000001</v>
      </c>
      <c r="AO27" s="72">
        <f t="shared" si="63"/>
        <v>4.5000000009167707</v>
      </c>
      <c r="AP27" s="72">
        <f t="shared" si="64"/>
        <v>13.700000001335866</v>
      </c>
      <c r="AQ27" s="72">
        <f t="shared" si="65"/>
        <v>14.420124827644651</v>
      </c>
      <c r="AR27" s="112">
        <v>14439.350700000001</v>
      </c>
      <c r="AS27" s="112">
        <v>13323.428400000001</v>
      </c>
      <c r="AT27" s="72">
        <f t="shared" si="33"/>
        <v>4.7000000013213139</v>
      </c>
      <c r="AU27" s="72">
        <f t="shared" si="34"/>
        <v>12.400000001434819</v>
      </c>
      <c r="AV27" s="72">
        <f t="shared" si="35"/>
        <v>13.260844620460789</v>
      </c>
      <c r="AW27" s="112">
        <v>14439.348900000001</v>
      </c>
      <c r="AX27" s="112">
        <v>13323.4295</v>
      </c>
      <c r="AY27" s="72">
        <f t="shared" si="36"/>
        <v>2.9000000013184035</v>
      </c>
      <c r="AZ27" s="72">
        <f t="shared" si="37"/>
        <v>13.500000000931323</v>
      </c>
      <c r="BA27" s="72">
        <f t="shared" si="38"/>
        <v>13.80796871494111</v>
      </c>
      <c r="BB27" s="136" t="s">
        <v>27</v>
      </c>
      <c r="BC27" s="137"/>
      <c r="BD27" s="33" t="s">
        <v>17</v>
      </c>
      <c r="BE27" s="33" t="s">
        <v>17</v>
      </c>
      <c r="BF27" s="33" t="s">
        <v>17</v>
      </c>
      <c r="BG27" s="136" t="s">
        <v>27</v>
      </c>
      <c r="BH27" s="137"/>
      <c r="BI27" s="33" t="s">
        <v>17</v>
      </c>
      <c r="BJ27" s="33" t="s">
        <v>17</v>
      </c>
      <c r="BK27" s="33" t="s">
        <v>17</v>
      </c>
      <c r="BL27" s="32">
        <v>18</v>
      </c>
    </row>
    <row r="28" spans="3:64" x14ac:dyDescent="0.3">
      <c r="C28" s="32">
        <v>19</v>
      </c>
      <c r="D28" s="151" t="s">
        <v>26</v>
      </c>
      <c r="E28" s="152"/>
      <c r="F28" s="33" t="s">
        <v>17</v>
      </c>
      <c r="G28" s="33" t="s">
        <v>17</v>
      </c>
      <c r="H28" s="33" t="s">
        <v>17</v>
      </c>
      <c r="I28" s="149" t="s">
        <v>26</v>
      </c>
      <c r="J28" s="150"/>
      <c r="K28" s="33" t="s">
        <v>17</v>
      </c>
      <c r="L28" s="33" t="s">
        <v>17</v>
      </c>
      <c r="M28" s="33" t="s">
        <v>17</v>
      </c>
      <c r="N28" s="71">
        <v>14447.88</v>
      </c>
      <c r="O28" s="71">
        <v>13320.929</v>
      </c>
      <c r="P28" s="72">
        <v>0</v>
      </c>
      <c r="Q28" s="72">
        <v>0</v>
      </c>
      <c r="R28" s="72">
        <v>0</v>
      </c>
      <c r="S28" s="71">
        <v>14447.880999999999</v>
      </c>
      <c r="T28" s="71">
        <v>13320.927</v>
      </c>
      <c r="U28" s="72">
        <f t="shared" si="45"/>
        <v>1.0000000002037268</v>
      </c>
      <c r="V28" s="72">
        <f t="shared" si="46"/>
        <v>-2.0000000004074536</v>
      </c>
      <c r="W28" s="72">
        <f t="shared" si="47"/>
        <v>2.2360679779553365</v>
      </c>
      <c r="X28" s="71">
        <v>14447.882299999999</v>
      </c>
      <c r="Y28" s="71">
        <v>13320.948399999999</v>
      </c>
      <c r="Z28" s="72">
        <f t="shared" si="48"/>
        <v>2.3000000001047738</v>
      </c>
      <c r="AA28" s="72">
        <f t="shared" si="49"/>
        <v>19.399999999222928</v>
      </c>
      <c r="AB28" s="72">
        <f t="shared" si="50"/>
        <v>19.535864454134902</v>
      </c>
      <c r="AC28" s="71">
        <v>14447.88</v>
      </c>
      <c r="AD28" s="71">
        <v>13320.941699999999</v>
      </c>
      <c r="AE28" s="33">
        <f t="shared" si="51"/>
        <v>0</v>
      </c>
      <c r="AF28" s="33">
        <f t="shared" si="52"/>
        <v>12.69999999931315</v>
      </c>
      <c r="AG28" s="33">
        <f t="shared" si="53"/>
        <v>12.69999999931315</v>
      </c>
      <c r="AH28" s="113">
        <v>14447.8789</v>
      </c>
      <c r="AI28" s="113">
        <v>13320.9429</v>
      </c>
      <c r="AJ28" s="33">
        <f t="shared" si="60"/>
        <v>-1.0999999994965037</v>
      </c>
      <c r="AK28" s="33">
        <f t="shared" si="61"/>
        <v>13.89999999992142</v>
      </c>
      <c r="AL28" s="72">
        <f t="shared" si="62"/>
        <v>13.943457246920785</v>
      </c>
      <c r="AM28" s="112">
        <v>14447.8858</v>
      </c>
      <c r="AN28" s="112">
        <v>13320.9485</v>
      </c>
      <c r="AO28" s="72">
        <f t="shared" si="63"/>
        <v>5.8000000008178176</v>
      </c>
      <c r="AP28" s="72">
        <f t="shared" si="64"/>
        <v>19.500000000334694</v>
      </c>
      <c r="AQ28" s="72">
        <f t="shared" si="65"/>
        <v>20.344286667822487</v>
      </c>
      <c r="AR28" s="112">
        <v>14447.886699999999</v>
      </c>
      <c r="AS28" s="112">
        <v>13320.950699999999</v>
      </c>
      <c r="AT28" s="72">
        <f t="shared" si="33"/>
        <v>6.6999999999097781</v>
      </c>
      <c r="AU28" s="72">
        <f t="shared" si="34"/>
        <v>21.699999999327702</v>
      </c>
      <c r="AV28" s="72">
        <f t="shared" si="35"/>
        <v>22.710790386281435</v>
      </c>
      <c r="AW28" s="112">
        <v>14447.8843</v>
      </c>
      <c r="AX28" s="112">
        <v>13320.948700000001</v>
      </c>
      <c r="AY28" s="72">
        <f t="shared" si="36"/>
        <v>4.3000000005122274</v>
      </c>
      <c r="AZ28" s="114">
        <f t="shared" si="37"/>
        <v>19.700000000739237</v>
      </c>
      <c r="BA28" s="72">
        <f t="shared" si="38"/>
        <v>20.163829002288505</v>
      </c>
      <c r="BB28" s="136" t="s">
        <v>27</v>
      </c>
      <c r="BC28" s="137"/>
      <c r="BD28" s="33" t="s">
        <v>17</v>
      </c>
      <c r="BE28" s="33" t="s">
        <v>17</v>
      </c>
      <c r="BF28" s="33" t="s">
        <v>17</v>
      </c>
      <c r="BG28" s="136" t="s">
        <v>27</v>
      </c>
      <c r="BH28" s="137"/>
      <c r="BI28" s="33" t="s">
        <v>17</v>
      </c>
      <c r="BJ28" s="33" t="s">
        <v>17</v>
      </c>
      <c r="BK28" s="33" t="s">
        <v>17</v>
      </c>
      <c r="BL28" s="32">
        <v>19</v>
      </c>
    </row>
    <row r="29" spans="3:64" x14ac:dyDescent="0.3">
      <c r="C29" s="32">
        <v>20</v>
      </c>
      <c r="D29" s="151" t="s">
        <v>26</v>
      </c>
      <c r="E29" s="152"/>
      <c r="F29" s="33" t="s">
        <v>17</v>
      </c>
      <c r="G29" s="33" t="s">
        <v>17</v>
      </c>
      <c r="H29" s="33" t="s">
        <v>17</v>
      </c>
      <c r="I29" s="149" t="s">
        <v>26</v>
      </c>
      <c r="J29" s="150"/>
      <c r="K29" s="33" t="s">
        <v>17</v>
      </c>
      <c r="L29" s="33" t="s">
        <v>17</v>
      </c>
      <c r="M29" s="33" t="s">
        <v>17</v>
      </c>
      <c r="N29" s="71">
        <v>14456.532999999999</v>
      </c>
      <c r="O29" s="71">
        <v>13318.27</v>
      </c>
      <c r="P29" s="72">
        <v>0</v>
      </c>
      <c r="Q29" s="72">
        <v>0</v>
      </c>
      <c r="R29" s="72">
        <v>0</v>
      </c>
      <c r="S29" s="71">
        <v>14456.537</v>
      </c>
      <c r="T29" s="71">
        <v>13318.266</v>
      </c>
      <c r="U29" s="72">
        <f t="shared" si="45"/>
        <v>4.0000000008149073</v>
      </c>
      <c r="V29" s="72">
        <f t="shared" si="46"/>
        <v>-4.0000000008149073</v>
      </c>
      <c r="W29" s="72">
        <f t="shared" si="47"/>
        <v>5.6568542506448329</v>
      </c>
      <c r="X29" s="71">
        <v>14456.536700000001</v>
      </c>
      <c r="Y29" s="71">
        <v>13318.2871</v>
      </c>
      <c r="Z29" s="72">
        <f t="shared" si="48"/>
        <v>3.7000000011175871</v>
      </c>
      <c r="AA29" s="72">
        <f t="shared" si="49"/>
        <v>17.099999999118154</v>
      </c>
      <c r="AB29" s="72">
        <f t="shared" si="50"/>
        <v>17.495713760178834</v>
      </c>
      <c r="AC29" s="71">
        <v>14456.533799999999</v>
      </c>
      <c r="AD29" s="71">
        <v>13318.279500000001</v>
      </c>
      <c r="AE29" s="33">
        <f t="shared" si="51"/>
        <v>0.79999999979918357</v>
      </c>
      <c r="AF29" s="33">
        <f t="shared" si="52"/>
        <v>9.5000000001164153</v>
      </c>
      <c r="AG29" s="33">
        <f t="shared" si="53"/>
        <v>9.5336247042712241</v>
      </c>
      <c r="AH29" s="113">
        <v>14456.5353</v>
      </c>
      <c r="AI29" s="113">
        <v>13318.275799999999</v>
      </c>
      <c r="AJ29" s="33">
        <f t="shared" si="60"/>
        <v>2.3000000001047738</v>
      </c>
      <c r="AK29" s="33">
        <f t="shared" si="61"/>
        <v>5.7999999989988282</v>
      </c>
      <c r="AL29" s="72">
        <f t="shared" si="62"/>
        <v>6.2393909950305542</v>
      </c>
      <c r="AM29" s="112">
        <v>14456.537399999999</v>
      </c>
      <c r="AN29" s="112">
        <v>13318.2799</v>
      </c>
      <c r="AO29" s="72">
        <f t="shared" si="63"/>
        <v>4.3999999998050043</v>
      </c>
      <c r="AP29" s="72">
        <f t="shared" si="64"/>
        <v>9.8999999991065124</v>
      </c>
      <c r="AQ29" s="72">
        <f t="shared" si="65"/>
        <v>10.833743581080041</v>
      </c>
      <c r="AR29" s="112">
        <v>14456.534799999999</v>
      </c>
      <c r="AS29" s="112">
        <v>13318.281999999999</v>
      </c>
      <c r="AT29" s="72">
        <f t="shared" si="33"/>
        <v>1.8000000000029104</v>
      </c>
      <c r="AU29" s="72">
        <f t="shared" si="34"/>
        <v>11.999999998806743</v>
      </c>
      <c r="AV29" s="72">
        <f t="shared" si="35"/>
        <v>12.134249048514386</v>
      </c>
      <c r="AW29" s="112">
        <v>14456.5332</v>
      </c>
      <c r="AX29" s="112">
        <v>13318.2829</v>
      </c>
      <c r="AY29" s="72">
        <f t="shared" si="36"/>
        <v>0.20000000040454324</v>
      </c>
      <c r="AZ29" s="72">
        <f t="shared" si="37"/>
        <v>12.899999999717693</v>
      </c>
      <c r="BA29" s="72">
        <f t="shared" si="38"/>
        <v>12.901550294165361</v>
      </c>
      <c r="BB29" s="136" t="s">
        <v>27</v>
      </c>
      <c r="BC29" s="137"/>
      <c r="BD29" s="33" t="s">
        <v>17</v>
      </c>
      <c r="BE29" s="33" t="s">
        <v>17</v>
      </c>
      <c r="BF29" s="33" t="s">
        <v>17</v>
      </c>
      <c r="BG29" s="136" t="s">
        <v>27</v>
      </c>
      <c r="BH29" s="137"/>
      <c r="BI29" s="33" t="s">
        <v>17</v>
      </c>
      <c r="BJ29" s="33" t="s">
        <v>17</v>
      </c>
      <c r="BK29" s="33" t="s">
        <v>17</v>
      </c>
      <c r="BL29" s="32">
        <v>20</v>
      </c>
    </row>
    <row r="30" spans="3:64" x14ac:dyDescent="0.3">
      <c r="C30" s="32">
        <v>21</v>
      </c>
      <c r="D30" s="151" t="s">
        <v>26</v>
      </c>
      <c r="E30" s="152"/>
      <c r="F30" s="33" t="s">
        <v>17</v>
      </c>
      <c r="G30" s="33" t="s">
        <v>17</v>
      </c>
      <c r="H30" s="33" t="s">
        <v>17</v>
      </c>
      <c r="I30" s="149" t="s">
        <v>26</v>
      </c>
      <c r="J30" s="150"/>
      <c r="K30" s="33" t="s">
        <v>17</v>
      </c>
      <c r="L30" s="33" t="s">
        <v>17</v>
      </c>
      <c r="M30" s="33" t="s">
        <v>17</v>
      </c>
      <c r="N30" s="71">
        <v>14466.464</v>
      </c>
      <c r="O30" s="71">
        <v>13315.334999999999</v>
      </c>
      <c r="P30" s="72">
        <v>0</v>
      </c>
      <c r="Q30" s="72">
        <v>0</v>
      </c>
      <c r="R30" s="72">
        <v>0</v>
      </c>
      <c r="S30" s="71">
        <v>14466.47</v>
      </c>
      <c r="T30" s="71">
        <v>13315.331</v>
      </c>
      <c r="U30" s="72">
        <f t="shared" si="45"/>
        <v>5.9999999994033715</v>
      </c>
      <c r="V30" s="72">
        <f t="shared" si="46"/>
        <v>-3.9999999989959178</v>
      </c>
      <c r="W30" s="72">
        <f t="shared" si="47"/>
        <v>7.2111025498745889</v>
      </c>
      <c r="X30" s="71">
        <v>14466.4673</v>
      </c>
      <c r="Y30" s="71">
        <v>13315.3531</v>
      </c>
      <c r="Z30" s="72">
        <f t="shared" si="48"/>
        <v>3.3000000003085006</v>
      </c>
      <c r="AA30" s="72">
        <f t="shared" si="49"/>
        <v>18.10000000114087</v>
      </c>
      <c r="AB30" s="72">
        <f t="shared" si="50"/>
        <v>18.398369494151801</v>
      </c>
      <c r="AC30" s="71">
        <v>14466.4584</v>
      </c>
      <c r="AD30" s="71">
        <v>13315.346799999999</v>
      </c>
      <c r="AE30" s="33">
        <f t="shared" si="51"/>
        <v>-5.6000000004132744</v>
      </c>
      <c r="AF30" s="33">
        <f t="shared" si="52"/>
        <v>11.800000000221189</v>
      </c>
      <c r="AG30" s="33">
        <f t="shared" si="53"/>
        <v>13.061393494181573</v>
      </c>
      <c r="AH30" s="113">
        <v>14466.4611</v>
      </c>
      <c r="AI30" s="113">
        <v>13315.348599999999</v>
      </c>
      <c r="AJ30" s="33">
        <f t="shared" si="60"/>
        <v>-2.8999999994994141</v>
      </c>
      <c r="AK30" s="33">
        <f t="shared" si="61"/>
        <v>13.600000000224099</v>
      </c>
      <c r="AL30" s="72">
        <f t="shared" si="62"/>
        <v>13.905754204759701</v>
      </c>
      <c r="AM30" s="112">
        <v>14466.466700000001</v>
      </c>
      <c r="AN30" s="112">
        <v>13315.3514</v>
      </c>
      <c r="AO30" s="72">
        <f t="shared" si="63"/>
        <v>2.7000000009138603</v>
      </c>
      <c r="AP30" s="72">
        <f t="shared" si="64"/>
        <v>16.400000000430737</v>
      </c>
      <c r="AQ30" s="72">
        <f t="shared" si="65"/>
        <v>16.62077013916813</v>
      </c>
      <c r="AR30" s="112">
        <v>14466.466200000001</v>
      </c>
      <c r="AS30" s="112">
        <v>13315.350700000001</v>
      </c>
      <c r="AT30" s="72">
        <f t="shared" si="33"/>
        <v>2.2000000008119969</v>
      </c>
      <c r="AU30" s="72">
        <f t="shared" si="34"/>
        <v>15.700000001743319</v>
      </c>
      <c r="AV30" s="72">
        <f t="shared" si="35"/>
        <v>15.853390806332664</v>
      </c>
      <c r="AW30" s="136" t="s">
        <v>27</v>
      </c>
      <c r="AX30" s="137"/>
      <c r="AY30" s="33" t="s">
        <v>17</v>
      </c>
      <c r="AZ30" s="33" t="s">
        <v>17</v>
      </c>
      <c r="BA30" s="33" t="s">
        <v>17</v>
      </c>
      <c r="BB30" s="136" t="s">
        <v>27</v>
      </c>
      <c r="BC30" s="137"/>
      <c r="BD30" s="33" t="s">
        <v>17</v>
      </c>
      <c r="BE30" s="33" t="s">
        <v>17</v>
      </c>
      <c r="BF30" s="33" t="s">
        <v>17</v>
      </c>
      <c r="BG30" s="136" t="s">
        <v>27</v>
      </c>
      <c r="BH30" s="137"/>
      <c r="BI30" s="33" t="s">
        <v>17</v>
      </c>
      <c r="BJ30" s="33" t="s">
        <v>17</v>
      </c>
      <c r="BK30" s="33" t="s">
        <v>17</v>
      </c>
      <c r="BL30" s="32">
        <v>21</v>
      </c>
    </row>
    <row r="31" spans="3:64" x14ac:dyDescent="0.3">
      <c r="C31" s="32">
        <v>22</v>
      </c>
      <c r="D31" s="151" t="s">
        <v>26</v>
      </c>
      <c r="E31" s="152"/>
      <c r="F31" s="33" t="s">
        <v>17</v>
      </c>
      <c r="G31" s="33" t="s">
        <v>17</v>
      </c>
      <c r="H31" s="33" t="s">
        <v>17</v>
      </c>
      <c r="I31" s="149" t="s">
        <v>26</v>
      </c>
      <c r="J31" s="150"/>
      <c r="K31" s="33" t="s">
        <v>17</v>
      </c>
      <c r="L31" s="33" t="s">
        <v>17</v>
      </c>
      <c r="M31" s="33" t="s">
        <v>17</v>
      </c>
      <c r="N31" s="71">
        <v>14479.199000000001</v>
      </c>
      <c r="O31" s="71">
        <v>13323.38</v>
      </c>
      <c r="P31" s="72">
        <v>0</v>
      </c>
      <c r="Q31" s="72">
        <v>0</v>
      </c>
      <c r="R31" s="72">
        <v>0</v>
      </c>
      <c r="S31" s="71">
        <v>14479.204</v>
      </c>
      <c r="T31" s="71">
        <v>13323.376</v>
      </c>
      <c r="U31" s="72">
        <f t="shared" si="45"/>
        <v>4.9999999991996447</v>
      </c>
      <c r="V31" s="72">
        <f t="shared" si="46"/>
        <v>-3.9999999989959178</v>
      </c>
      <c r="W31" s="72">
        <f t="shared" si="47"/>
        <v>6.4031242361806306</v>
      </c>
      <c r="X31" s="71">
        <v>14479.1945</v>
      </c>
      <c r="Y31" s="71">
        <v>13323.390100000001</v>
      </c>
      <c r="Z31" s="72">
        <f t="shared" si="48"/>
        <v>-4.5000000009167707</v>
      </c>
      <c r="AA31" s="72">
        <f t="shared" si="49"/>
        <v>10.100000001330045</v>
      </c>
      <c r="AB31" s="72">
        <f t="shared" si="50"/>
        <v>11.057124401720269</v>
      </c>
      <c r="AC31" s="71">
        <v>14479.1914</v>
      </c>
      <c r="AD31" s="71">
        <v>13323.3894</v>
      </c>
      <c r="AE31" s="33">
        <f t="shared" si="51"/>
        <v>-7.600000000820728</v>
      </c>
      <c r="AF31" s="33">
        <f t="shared" si="52"/>
        <v>9.4000000008236384</v>
      </c>
      <c r="AG31" s="33">
        <f t="shared" si="53"/>
        <v>12.088010590165755</v>
      </c>
      <c r="AH31" s="113">
        <v>14479.191999999999</v>
      </c>
      <c r="AI31" s="113">
        <v>13323.3876</v>
      </c>
      <c r="AJ31" s="33">
        <f t="shared" si="60"/>
        <v>-7.0000000014260877</v>
      </c>
      <c r="AK31" s="33">
        <f t="shared" si="61"/>
        <v>7.600000000820728</v>
      </c>
      <c r="AL31" s="72">
        <f t="shared" si="62"/>
        <v>10.332473084041414</v>
      </c>
      <c r="AM31" s="112">
        <v>14479.195299999999</v>
      </c>
      <c r="AN31" s="112">
        <v>13323.3896</v>
      </c>
      <c r="AO31" s="72">
        <f t="shared" si="63"/>
        <v>-3.7000000011175871</v>
      </c>
      <c r="AP31" s="72">
        <f t="shared" si="64"/>
        <v>9.6000000012281816</v>
      </c>
      <c r="AQ31" s="72">
        <f t="shared" si="65"/>
        <v>10.288342919627594</v>
      </c>
      <c r="AR31" s="112">
        <v>14479.192300000001</v>
      </c>
      <c r="AS31" s="112">
        <v>13323.388199999999</v>
      </c>
      <c r="AT31" s="72">
        <f t="shared" si="33"/>
        <v>-6.6999999999097781</v>
      </c>
      <c r="AU31" s="72">
        <f t="shared" si="34"/>
        <v>8.2000000002153683</v>
      </c>
      <c r="AV31" s="72">
        <f t="shared" si="35"/>
        <v>10.589145385833698</v>
      </c>
      <c r="AW31" s="136" t="s">
        <v>27</v>
      </c>
      <c r="AX31" s="137"/>
      <c r="AY31" s="33" t="s">
        <v>17</v>
      </c>
      <c r="AZ31" s="33" t="s">
        <v>17</v>
      </c>
      <c r="BA31" s="33" t="s">
        <v>17</v>
      </c>
      <c r="BB31" s="136" t="s">
        <v>27</v>
      </c>
      <c r="BC31" s="137"/>
      <c r="BD31" s="33" t="s">
        <v>17</v>
      </c>
      <c r="BE31" s="33" t="s">
        <v>17</v>
      </c>
      <c r="BF31" s="33" t="s">
        <v>17</v>
      </c>
      <c r="BG31" s="136" t="s">
        <v>27</v>
      </c>
      <c r="BH31" s="137"/>
      <c r="BI31" s="33" t="s">
        <v>17</v>
      </c>
      <c r="BJ31" s="33" t="s">
        <v>17</v>
      </c>
      <c r="BK31" s="33" t="s">
        <v>17</v>
      </c>
      <c r="BL31" s="32">
        <v>22</v>
      </c>
    </row>
    <row r="32" spans="3:64" x14ac:dyDescent="0.3">
      <c r="C32" s="32">
        <v>23</v>
      </c>
      <c r="D32" s="151" t="s">
        <v>26</v>
      </c>
      <c r="E32" s="152"/>
      <c r="F32" s="33" t="s">
        <v>17</v>
      </c>
      <c r="G32" s="33" t="s">
        <v>17</v>
      </c>
      <c r="H32" s="33" t="s">
        <v>17</v>
      </c>
      <c r="I32" s="149" t="s">
        <v>26</v>
      </c>
      <c r="J32" s="150"/>
      <c r="K32" s="33" t="s">
        <v>17</v>
      </c>
      <c r="L32" s="33" t="s">
        <v>17</v>
      </c>
      <c r="M32" s="33" t="s">
        <v>17</v>
      </c>
      <c r="N32" s="71">
        <v>14484.653</v>
      </c>
      <c r="O32" s="71">
        <v>13336.587</v>
      </c>
      <c r="P32" s="72">
        <v>0</v>
      </c>
      <c r="Q32" s="72">
        <v>0</v>
      </c>
      <c r="R32" s="72">
        <v>0</v>
      </c>
      <c r="S32" s="71">
        <v>14484.656000000001</v>
      </c>
      <c r="T32" s="71">
        <v>13336.587</v>
      </c>
      <c r="U32" s="72">
        <f t="shared" si="45"/>
        <v>3.0000000006111804</v>
      </c>
      <c r="V32" s="72">
        <f t="shared" si="46"/>
        <v>0</v>
      </c>
      <c r="W32" s="72">
        <f t="shared" si="47"/>
        <v>3.0000000006111804</v>
      </c>
      <c r="X32" s="71">
        <v>14484.6302</v>
      </c>
      <c r="Y32" s="71">
        <v>13336.606400000001</v>
      </c>
      <c r="Z32" s="72">
        <f t="shared" si="48"/>
        <v>-22.800000000643195</v>
      </c>
      <c r="AA32" s="72">
        <f t="shared" si="49"/>
        <v>19.400000001041917</v>
      </c>
      <c r="AB32" s="72">
        <f t="shared" si="50"/>
        <v>29.936599674474653</v>
      </c>
      <c r="AC32" s="71">
        <v>14484.627500000001</v>
      </c>
      <c r="AD32" s="71">
        <v>13336.602800000001</v>
      </c>
      <c r="AE32" s="33">
        <f t="shared" si="51"/>
        <v>-25.499999999738066</v>
      </c>
      <c r="AF32" s="33">
        <f t="shared" si="52"/>
        <v>15.800000001036096</v>
      </c>
      <c r="AG32" s="33">
        <f t="shared" si="53"/>
        <v>29.998166610967779</v>
      </c>
      <c r="AH32" s="113">
        <v>14484.6281</v>
      </c>
      <c r="AI32" s="113">
        <v>13336.606299999999</v>
      </c>
      <c r="AJ32" s="33">
        <f t="shared" si="60"/>
        <v>-24.900000000343425</v>
      </c>
      <c r="AK32" s="33">
        <f t="shared" si="61"/>
        <v>19.299999999930151</v>
      </c>
      <c r="AL32" s="72">
        <f t="shared" si="62"/>
        <v>31.503968004275372</v>
      </c>
      <c r="AM32" s="112">
        <v>14484.629800000001</v>
      </c>
      <c r="AN32" s="112">
        <v>13336.6083</v>
      </c>
      <c r="AO32" s="114">
        <f t="shared" si="63"/>
        <v>-23.199999999633292</v>
      </c>
      <c r="AP32" s="114">
        <f t="shared" si="64"/>
        <v>21.300000000337604</v>
      </c>
      <c r="AQ32" s="114">
        <f t="shared" si="65"/>
        <v>31.494920225289771</v>
      </c>
      <c r="AR32" s="112">
        <v>14484.628500000001</v>
      </c>
      <c r="AS32" s="112">
        <v>13336.606100000001</v>
      </c>
      <c r="AT32" s="72">
        <f t="shared" si="33"/>
        <v>-24.499999999534339</v>
      </c>
      <c r="AU32" s="72">
        <f t="shared" si="34"/>
        <v>19.100000001344597</v>
      </c>
      <c r="AV32" s="72">
        <f t="shared" si="35"/>
        <v>31.065414853636611</v>
      </c>
      <c r="AW32" s="136" t="s">
        <v>27</v>
      </c>
      <c r="AX32" s="137"/>
      <c r="AY32" s="33" t="s">
        <v>17</v>
      </c>
      <c r="AZ32" s="33" t="s">
        <v>17</v>
      </c>
      <c r="BA32" s="33" t="s">
        <v>17</v>
      </c>
      <c r="BB32" s="136" t="s">
        <v>27</v>
      </c>
      <c r="BC32" s="137"/>
      <c r="BD32" s="33" t="s">
        <v>17</v>
      </c>
      <c r="BE32" s="33" t="s">
        <v>17</v>
      </c>
      <c r="BF32" s="33" t="s">
        <v>17</v>
      </c>
      <c r="BG32" s="136" t="s">
        <v>27</v>
      </c>
      <c r="BH32" s="137"/>
      <c r="BI32" s="33" t="s">
        <v>17</v>
      </c>
      <c r="BJ32" s="33" t="s">
        <v>17</v>
      </c>
      <c r="BK32" s="33" t="s">
        <v>17</v>
      </c>
      <c r="BL32" s="32">
        <v>23</v>
      </c>
    </row>
    <row r="33" spans="3:66" x14ac:dyDescent="0.3">
      <c r="C33" s="32">
        <v>24</v>
      </c>
      <c r="D33" s="151" t="s">
        <v>26</v>
      </c>
      <c r="E33" s="152"/>
      <c r="F33" s="33" t="s">
        <v>17</v>
      </c>
      <c r="G33" s="33" t="s">
        <v>17</v>
      </c>
      <c r="H33" s="33" t="s">
        <v>17</v>
      </c>
      <c r="I33" s="149" t="s">
        <v>26</v>
      </c>
      <c r="J33" s="150"/>
      <c r="K33" s="33" t="s">
        <v>17</v>
      </c>
      <c r="L33" s="33" t="s">
        <v>17</v>
      </c>
      <c r="M33" s="33" t="s">
        <v>17</v>
      </c>
      <c r="N33" s="71">
        <v>14488.607</v>
      </c>
      <c r="O33" s="71">
        <v>13349.151</v>
      </c>
      <c r="P33" s="72">
        <v>0</v>
      </c>
      <c r="Q33" s="72">
        <v>0</v>
      </c>
      <c r="R33" s="72">
        <v>0</v>
      </c>
      <c r="S33" s="71">
        <v>14488.612999999999</v>
      </c>
      <c r="T33" s="71">
        <v>13349.152</v>
      </c>
      <c r="U33" s="72">
        <f t="shared" si="45"/>
        <v>5.9999999994033715</v>
      </c>
      <c r="V33" s="72">
        <f t="shared" si="46"/>
        <v>1.0000000002037268</v>
      </c>
      <c r="W33" s="72">
        <f t="shared" si="47"/>
        <v>6.0827625297432011</v>
      </c>
      <c r="X33" s="71">
        <v>14488.6016</v>
      </c>
      <c r="Y33" s="71">
        <v>13349.1664</v>
      </c>
      <c r="Z33" s="72">
        <f t="shared" si="48"/>
        <v>-5.4000000000087311</v>
      </c>
      <c r="AA33" s="72">
        <f t="shared" si="49"/>
        <v>15.40000000022701</v>
      </c>
      <c r="AB33" s="72">
        <f t="shared" si="50"/>
        <v>16.319313711277388</v>
      </c>
      <c r="AC33" s="71">
        <v>14488.594499999999</v>
      </c>
      <c r="AD33" s="71">
        <v>13349.161899999999</v>
      </c>
      <c r="AE33" s="33">
        <f t="shared" si="51"/>
        <v>-12.500000000727596</v>
      </c>
      <c r="AF33" s="33">
        <f t="shared" si="52"/>
        <v>10.899999999310239</v>
      </c>
      <c r="AG33" s="33">
        <f t="shared" si="53"/>
        <v>16.584932921273847</v>
      </c>
      <c r="AH33" s="113">
        <v>14488.596299999999</v>
      </c>
      <c r="AI33" s="113">
        <v>13349.162399999999</v>
      </c>
      <c r="AJ33" s="33">
        <f t="shared" si="60"/>
        <v>-10.700000000724685</v>
      </c>
      <c r="AK33" s="33">
        <f t="shared" si="61"/>
        <v>11.399999999412103</v>
      </c>
      <c r="AL33" s="72">
        <f t="shared" si="62"/>
        <v>15.634896865732893</v>
      </c>
      <c r="AM33" s="112">
        <v>14488.5933</v>
      </c>
      <c r="AN33" s="112">
        <v>13349.161400000001</v>
      </c>
      <c r="AO33" s="72">
        <f t="shared" si="63"/>
        <v>-13.699999999516876</v>
      </c>
      <c r="AP33" s="72">
        <f t="shared" si="64"/>
        <v>10.400000001027365</v>
      </c>
      <c r="AQ33" s="72">
        <f t="shared" si="65"/>
        <v>17.200290695454296</v>
      </c>
      <c r="AR33" s="112">
        <v>14488.5944</v>
      </c>
      <c r="AS33" s="112">
        <v>13349.1592</v>
      </c>
      <c r="AT33" s="72">
        <f t="shared" si="33"/>
        <v>-12.600000000020373</v>
      </c>
      <c r="AU33" s="72">
        <f t="shared" si="34"/>
        <v>8.2000000002153683</v>
      </c>
      <c r="AV33" s="72">
        <f t="shared" si="35"/>
        <v>15.033296378507456</v>
      </c>
      <c r="AW33" s="136" t="s">
        <v>27</v>
      </c>
      <c r="AX33" s="137"/>
      <c r="AY33" s="33" t="s">
        <v>17</v>
      </c>
      <c r="AZ33" s="33" t="s">
        <v>17</v>
      </c>
      <c r="BA33" s="33" t="s">
        <v>17</v>
      </c>
      <c r="BB33" s="136" t="s">
        <v>27</v>
      </c>
      <c r="BC33" s="137"/>
      <c r="BD33" s="33" t="s">
        <v>17</v>
      </c>
      <c r="BE33" s="33" t="s">
        <v>17</v>
      </c>
      <c r="BF33" s="33" t="s">
        <v>17</v>
      </c>
      <c r="BG33" s="136" t="s">
        <v>27</v>
      </c>
      <c r="BH33" s="137"/>
      <c r="BI33" s="33" t="s">
        <v>17</v>
      </c>
      <c r="BJ33" s="33" t="s">
        <v>17</v>
      </c>
      <c r="BK33" s="33" t="s">
        <v>17</v>
      </c>
      <c r="BL33" s="32">
        <v>24</v>
      </c>
    </row>
    <row r="34" spans="3:66" x14ac:dyDescent="0.3">
      <c r="C34" s="32">
        <v>25</v>
      </c>
      <c r="D34" s="151" t="s">
        <v>26</v>
      </c>
      <c r="E34" s="152"/>
      <c r="F34" s="33" t="s">
        <v>17</v>
      </c>
      <c r="G34" s="33" t="s">
        <v>17</v>
      </c>
      <c r="H34" s="33" t="s">
        <v>17</v>
      </c>
      <c r="I34" s="149" t="s">
        <v>26</v>
      </c>
      <c r="J34" s="150"/>
      <c r="K34" s="33" t="s">
        <v>17</v>
      </c>
      <c r="L34" s="33" t="s">
        <v>17</v>
      </c>
      <c r="M34" s="33" t="s">
        <v>17</v>
      </c>
      <c r="N34" s="136" t="s">
        <v>26</v>
      </c>
      <c r="O34" s="137"/>
      <c r="P34" s="72" t="s">
        <v>17</v>
      </c>
      <c r="Q34" s="72" t="s">
        <v>17</v>
      </c>
      <c r="R34" s="72" t="s">
        <v>17</v>
      </c>
      <c r="S34" s="71">
        <v>14484.278</v>
      </c>
      <c r="T34" s="71">
        <v>13367.472</v>
      </c>
      <c r="U34" s="72">
        <v>0</v>
      </c>
      <c r="V34" s="72">
        <v>0</v>
      </c>
      <c r="W34" s="72">
        <v>0</v>
      </c>
      <c r="X34" s="71">
        <v>14484.2737</v>
      </c>
      <c r="Y34" s="71">
        <v>13367.475899999999</v>
      </c>
      <c r="Z34" s="72">
        <f t="shared" ref="Z34:Z36" si="66">U34+(X34-S34)*1000</f>
        <v>-4.3000000005122274</v>
      </c>
      <c r="AA34" s="72">
        <f t="shared" ref="AA34:AA36" si="67">V34+(Y34-T34)*1000</f>
        <v>3.8999999997031409</v>
      </c>
      <c r="AB34" s="72">
        <f t="shared" ref="AB34:AB36" si="68">SQRT(((Z34*Z34)+(AA34*AA34)))</f>
        <v>5.8051701096599793</v>
      </c>
      <c r="AC34" s="71">
        <v>14484.2755</v>
      </c>
      <c r="AD34" s="71">
        <v>13367.4771</v>
      </c>
      <c r="AE34" s="33">
        <f t="shared" si="51"/>
        <v>-2.500000000509317</v>
      </c>
      <c r="AF34" s="33">
        <f t="shared" si="52"/>
        <v>5.100000000311411</v>
      </c>
      <c r="AG34" s="33">
        <f t="shared" si="53"/>
        <v>5.6797887289689726</v>
      </c>
      <c r="AH34" s="113">
        <v>14484.275299999999</v>
      </c>
      <c r="AI34" s="113">
        <v>13367.479799999999</v>
      </c>
      <c r="AJ34" s="33">
        <f t="shared" si="60"/>
        <v>-2.7000000009138603</v>
      </c>
      <c r="AK34" s="33">
        <f t="shared" si="61"/>
        <v>7.7999999994062819</v>
      </c>
      <c r="AL34" s="72">
        <f t="shared" si="62"/>
        <v>8.2540898950564401</v>
      </c>
      <c r="AM34" s="112">
        <v>14484.2783</v>
      </c>
      <c r="AN34" s="112">
        <v>13367.475399999999</v>
      </c>
      <c r="AO34" s="72">
        <f t="shared" si="63"/>
        <v>0.29999999969732016</v>
      </c>
      <c r="AP34" s="72">
        <f t="shared" si="64"/>
        <v>3.3999999996012775</v>
      </c>
      <c r="AQ34" s="72">
        <f t="shared" si="65"/>
        <v>3.4132096327514194</v>
      </c>
      <c r="AR34" s="112">
        <v>14484.2814</v>
      </c>
      <c r="AS34" s="112">
        <v>13367.473599999999</v>
      </c>
      <c r="AT34" s="72">
        <f t="shared" si="33"/>
        <v>3.3999999996012775</v>
      </c>
      <c r="AU34" s="72">
        <f t="shared" si="34"/>
        <v>1.5999999995983671</v>
      </c>
      <c r="AV34" s="72">
        <f t="shared" si="35"/>
        <v>3.7576588450794013</v>
      </c>
      <c r="AW34" s="136" t="s">
        <v>27</v>
      </c>
      <c r="AX34" s="137"/>
      <c r="AY34" s="33" t="s">
        <v>17</v>
      </c>
      <c r="AZ34" s="33" t="s">
        <v>17</v>
      </c>
      <c r="BA34" s="33" t="s">
        <v>17</v>
      </c>
      <c r="BB34" s="136" t="s">
        <v>27</v>
      </c>
      <c r="BC34" s="137"/>
      <c r="BD34" s="33" t="s">
        <v>17</v>
      </c>
      <c r="BE34" s="33" t="s">
        <v>17</v>
      </c>
      <c r="BF34" s="33" t="s">
        <v>17</v>
      </c>
      <c r="BG34" s="136" t="s">
        <v>27</v>
      </c>
      <c r="BH34" s="137"/>
      <c r="BI34" s="33" t="s">
        <v>17</v>
      </c>
      <c r="BJ34" s="33" t="s">
        <v>17</v>
      </c>
      <c r="BK34" s="33" t="s">
        <v>17</v>
      </c>
      <c r="BL34" s="32">
        <v>25</v>
      </c>
    </row>
    <row r="35" spans="3:66" x14ac:dyDescent="0.3">
      <c r="C35" s="32">
        <v>26</v>
      </c>
      <c r="D35" s="151" t="s">
        <v>26</v>
      </c>
      <c r="E35" s="152"/>
      <c r="F35" s="33" t="s">
        <v>17</v>
      </c>
      <c r="G35" s="33" t="s">
        <v>17</v>
      </c>
      <c r="H35" s="33" t="s">
        <v>17</v>
      </c>
      <c r="I35" s="149" t="s">
        <v>26</v>
      </c>
      <c r="J35" s="150"/>
      <c r="K35" s="33" t="s">
        <v>17</v>
      </c>
      <c r="L35" s="33" t="s">
        <v>17</v>
      </c>
      <c r="M35" s="33" t="s">
        <v>17</v>
      </c>
      <c r="N35" s="136" t="s">
        <v>26</v>
      </c>
      <c r="O35" s="137"/>
      <c r="P35" s="72" t="s">
        <v>17</v>
      </c>
      <c r="Q35" s="72" t="s">
        <v>17</v>
      </c>
      <c r="R35" s="72" t="s">
        <v>17</v>
      </c>
      <c r="S35" s="71">
        <v>14481.5177</v>
      </c>
      <c r="T35" s="71">
        <v>13367.3711</v>
      </c>
      <c r="U35" s="72">
        <v>0</v>
      </c>
      <c r="V35" s="72">
        <v>0</v>
      </c>
      <c r="W35" s="72">
        <v>0</v>
      </c>
      <c r="X35" s="71">
        <v>14481.5052</v>
      </c>
      <c r="Y35" s="71">
        <v>13367.388499999999</v>
      </c>
      <c r="Z35" s="72">
        <f t="shared" si="66"/>
        <v>-12.500000000727596</v>
      </c>
      <c r="AA35" s="72">
        <f t="shared" si="67"/>
        <v>17.399999998815474</v>
      </c>
      <c r="AB35" s="72">
        <f t="shared" si="68"/>
        <v>21.424518663833929</v>
      </c>
      <c r="AC35" s="71">
        <v>14481.4972</v>
      </c>
      <c r="AD35" s="71">
        <v>13367.385399999999</v>
      </c>
      <c r="AE35" s="33">
        <f t="shared" si="51"/>
        <v>-20.500000000538421</v>
      </c>
      <c r="AF35" s="33">
        <f t="shared" si="52"/>
        <v>14.299999998911517</v>
      </c>
      <c r="AG35" s="33">
        <f t="shared" si="53"/>
        <v>24.994799458906339</v>
      </c>
      <c r="AH35" s="113">
        <v>14481.4967</v>
      </c>
      <c r="AI35" s="113">
        <v>13367.388499999999</v>
      </c>
      <c r="AJ35" s="33">
        <f t="shared" si="60"/>
        <v>-21.000000000640284</v>
      </c>
      <c r="AK35" s="33">
        <f t="shared" si="61"/>
        <v>17.399999998815474</v>
      </c>
      <c r="AL35" s="72">
        <f t="shared" si="62"/>
        <v>27.271963625409711</v>
      </c>
      <c r="AM35" s="112">
        <v>14481.4997</v>
      </c>
      <c r="AN35" s="112">
        <v>13367.3853</v>
      </c>
      <c r="AO35" s="72">
        <f t="shared" si="63"/>
        <v>-18.000000000029104</v>
      </c>
      <c r="AP35" s="72">
        <f t="shared" si="64"/>
        <v>14.19999999961874</v>
      </c>
      <c r="AQ35" s="72">
        <f t="shared" si="65"/>
        <v>22.926840165845356</v>
      </c>
      <c r="AR35" s="112">
        <v>14481.5013</v>
      </c>
      <c r="AS35" s="112">
        <v>13367.3822</v>
      </c>
      <c r="AT35" s="72">
        <f t="shared" si="33"/>
        <v>-16.400000000430737</v>
      </c>
      <c r="AU35" s="72">
        <f t="shared" si="34"/>
        <v>11.099999999714782</v>
      </c>
      <c r="AV35" s="72">
        <f t="shared" si="35"/>
        <v>19.803282556379294</v>
      </c>
      <c r="AW35" s="136" t="s">
        <v>27</v>
      </c>
      <c r="AX35" s="137"/>
      <c r="AY35" s="33" t="s">
        <v>17</v>
      </c>
      <c r="AZ35" s="33" t="s">
        <v>17</v>
      </c>
      <c r="BA35" s="33" t="s">
        <v>17</v>
      </c>
      <c r="BB35" s="136" t="s">
        <v>27</v>
      </c>
      <c r="BC35" s="137"/>
      <c r="BD35" s="33" t="s">
        <v>17</v>
      </c>
      <c r="BE35" s="33" t="s">
        <v>17</v>
      </c>
      <c r="BF35" s="33" t="s">
        <v>17</v>
      </c>
      <c r="BG35" s="136" t="s">
        <v>27</v>
      </c>
      <c r="BH35" s="137"/>
      <c r="BI35" s="33" t="s">
        <v>17</v>
      </c>
      <c r="BJ35" s="33" t="s">
        <v>17</v>
      </c>
      <c r="BK35" s="33" t="s">
        <v>17</v>
      </c>
      <c r="BL35" s="32">
        <v>26</v>
      </c>
    </row>
    <row r="36" spans="3:66" x14ac:dyDescent="0.3">
      <c r="C36" s="32">
        <v>27</v>
      </c>
      <c r="D36" s="151" t="s">
        <v>26</v>
      </c>
      <c r="E36" s="152"/>
      <c r="F36" s="33" t="s">
        <v>17</v>
      </c>
      <c r="G36" s="33" t="s">
        <v>17</v>
      </c>
      <c r="H36" s="33" t="s">
        <v>17</v>
      </c>
      <c r="I36" s="149" t="s">
        <v>26</v>
      </c>
      <c r="J36" s="150"/>
      <c r="K36" s="33" t="s">
        <v>17</v>
      </c>
      <c r="L36" s="33" t="s">
        <v>17</v>
      </c>
      <c r="M36" s="33" t="s">
        <v>17</v>
      </c>
      <c r="N36" s="136" t="s">
        <v>26</v>
      </c>
      <c r="O36" s="137"/>
      <c r="P36" s="72" t="s">
        <v>17</v>
      </c>
      <c r="Q36" s="72" t="s">
        <v>17</v>
      </c>
      <c r="R36" s="72" t="s">
        <v>17</v>
      </c>
      <c r="S36" s="71">
        <v>14485.959199999999</v>
      </c>
      <c r="T36" s="71">
        <v>13382.7</v>
      </c>
      <c r="U36" s="72">
        <v>0</v>
      </c>
      <c r="V36" s="72">
        <v>0</v>
      </c>
      <c r="W36" s="72">
        <v>0</v>
      </c>
      <c r="X36" s="71">
        <v>14485.952499999999</v>
      </c>
      <c r="Y36" s="71">
        <v>13382.717500000001</v>
      </c>
      <c r="Z36" s="72">
        <f t="shared" si="66"/>
        <v>-6.6999999999097781</v>
      </c>
      <c r="AA36" s="72">
        <f t="shared" si="67"/>
        <v>17.49999999992724</v>
      </c>
      <c r="AB36" s="72">
        <f t="shared" si="68"/>
        <v>18.738729946190176</v>
      </c>
      <c r="AC36" s="71">
        <v>14485.9431</v>
      </c>
      <c r="AD36" s="71">
        <v>13382.7176</v>
      </c>
      <c r="AE36" s="33">
        <f t="shared" si="51"/>
        <v>-16.099999998914427</v>
      </c>
      <c r="AF36" s="33">
        <f t="shared" si="52"/>
        <v>17.599999999220017</v>
      </c>
      <c r="AG36" s="33">
        <f t="shared" si="53"/>
        <v>23.853092041443791</v>
      </c>
      <c r="AH36" s="113">
        <v>14485.9437</v>
      </c>
      <c r="AI36" s="113">
        <v>13382.7189</v>
      </c>
      <c r="AJ36" s="33">
        <f t="shared" si="60"/>
        <v>-15.499999999519787</v>
      </c>
      <c r="AK36" s="33">
        <f t="shared" si="61"/>
        <v>18.899999999121064</v>
      </c>
      <c r="AL36" s="72">
        <f t="shared" si="62"/>
        <v>24.442994905532537</v>
      </c>
      <c r="AM36" s="112">
        <v>14485.945900000001</v>
      </c>
      <c r="AN36" s="112">
        <v>13382.7173</v>
      </c>
      <c r="AO36" s="72">
        <f t="shared" si="63"/>
        <v>-13.29999999870779</v>
      </c>
      <c r="AP36" s="72">
        <f t="shared" si="64"/>
        <v>17.299999999522697</v>
      </c>
      <c r="AQ36" s="72">
        <f t="shared" si="65"/>
        <v>21.821548981433754</v>
      </c>
      <c r="AR36" s="112">
        <v>14485.948899999999</v>
      </c>
      <c r="AS36" s="112">
        <v>13382.7176</v>
      </c>
      <c r="AT36" s="72">
        <f t="shared" si="33"/>
        <v>-10.299999999915599</v>
      </c>
      <c r="AU36" s="72">
        <f t="shared" si="34"/>
        <v>17.599999999220017</v>
      </c>
      <c r="AV36" s="72">
        <f t="shared" si="35"/>
        <v>20.392400544585374</v>
      </c>
      <c r="AW36" s="136" t="s">
        <v>27</v>
      </c>
      <c r="AX36" s="137"/>
      <c r="AY36" s="33" t="s">
        <v>17</v>
      </c>
      <c r="AZ36" s="33" t="s">
        <v>17</v>
      </c>
      <c r="BA36" s="33" t="s">
        <v>17</v>
      </c>
      <c r="BB36" s="136" t="s">
        <v>27</v>
      </c>
      <c r="BC36" s="137"/>
      <c r="BD36" s="33" t="s">
        <v>17</v>
      </c>
      <c r="BE36" s="33" t="s">
        <v>17</v>
      </c>
      <c r="BF36" s="33" t="s">
        <v>17</v>
      </c>
      <c r="BG36" s="136" t="s">
        <v>27</v>
      </c>
      <c r="BH36" s="137"/>
      <c r="BI36" s="33" t="s">
        <v>17</v>
      </c>
      <c r="BJ36" s="33" t="s">
        <v>17</v>
      </c>
      <c r="BK36" s="33" t="s">
        <v>17</v>
      </c>
      <c r="BL36" s="32">
        <v>27</v>
      </c>
    </row>
    <row r="37" spans="3:66" x14ac:dyDescent="0.3">
      <c r="C37" s="32">
        <v>28</v>
      </c>
      <c r="D37" s="34">
        <v>14491.0185</v>
      </c>
      <c r="E37" s="34">
        <v>13390.856900000001</v>
      </c>
      <c r="F37" s="33">
        <v>0</v>
      </c>
      <c r="G37" s="33">
        <v>0</v>
      </c>
      <c r="H37" s="33">
        <v>0</v>
      </c>
      <c r="I37" s="149" t="s">
        <v>27</v>
      </c>
      <c r="J37" s="150"/>
      <c r="K37" s="33" t="s">
        <v>17</v>
      </c>
      <c r="L37" s="33" t="s">
        <v>17</v>
      </c>
      <c r="M37" s="33" t="s">
        <v>17</v>
      </c>
      <c r="N37" s="136" t="s">
        <v>27</v>
      </c>
      <c r="O37" s="137"/>
      <c r="P37" s="72" t="s">
        <v>17</v>
      </c>
      <c r="Q37" s="72" t="s">
        <v>17</v>
      </c>
      <c r="R37" s="72" t="s">
        <v>17</v>
      </c>
      <c r="S37" s="136" t="s">
        <v>27</v>
      </c>
      <c r="T37" s="137"/>
      <c r="U37" s="72" t="s">
        <v>17</v>
      </c>
      <c r="V37" s="72" t="s">
        <v>17</v>
      </c>
      <c r="W37" s="72" t="s">
        <v>17</v>
      </c>
      <c r="X37" s="136" t="s">
        <v>27</v>
      </c>
      <c r="Y37" s="137"/>
      <c r="Z37" s="72" t="s">
        <v>17</v>
      </c>
      <c r="AA37" s="72" t="s">
        <v>17</v>
      </c>
      <c r="AB37" s="72" t="s">
        <v>17</v>
      </c>
      <c r="AC37" s="136" t="s">
        <v>27</v>
      </c>
      <c r="AD37" s="137"/>
      <c r="AE37" s="33" t="s">
        <v>17</v>
      </c>
      <c r="AF37" s="33" t="s">
        <v>17</v>
      </c>
      <c r="AG37" s="33" t="s">
        <v>17</v>
      </c>
      <c r="AH37" s="136" t="s">
        <v>27</v>
      </c>
      <c r="AI37" s="137"/>
      <c r="AJ37" s="33" t="s">
        <v>17</v>
      </c>
      <c r="AK37" s="33" t="s">
        <v>17</v>
      </c>
      <c r="AL37" s="33" t="s">
        <v>17</v>
      </c>
      <c r="AM37" s="136" t="s">
        <v>27</v>
      </c>
      <c r="AN37" s="137"/>
      <c r="AO37" s="33" t="s">
        <v>17</v>
      </c>
      <c r="AP37" s="33" t="s">
        <v>17</v>
      </c>
      <c r="AQ37" s="33" t="s">
        <v>17</v>
      </c>
      <c r="AR37" s="136" t="s">
        <v>27</v>
      </c>
      <c r="AS37" s="137"/>
      <c r="AT37" s="33" t="s">
        <v>17</v>
      </c>
      <c r="AU37" s="33" t="s">
        <v>17</v>
      </c>
      <c r="AV37" s="33" t="s">
        <v>17</v>
      </c>
      <c r="AW37" s="136" t="s">
        <v>27</v>
      </c>
      <c r="AX37" s="137"/>
      <c r="AY37" s="33" t="s">
        <v>17</v>
      </c>
      <c r="AZ37" s="33" t="s">
        <v>17</v>
      </c>
      <c r="BA37" s="33" t="s">
        <v>17</v>
      </c>
      <c r="BB37" s="136" t="s">
        <v>27</v>
      </c>
      <c r="BC37" s="137"/>
      <c r="BD37" s="33" t="s">
        <v>17</v>
      </c>
      <c r="BE37" s="33" t="s">
        <v>17</v>
      </c>
      <c r="BF37" s="33" t="s">
        <v>17</v>
      </c>
      <c r="BG37" s="136" t="s">
        <v>27</v>
      </c>
      <c r="BH37" s="137"/>
      <c r="BI37" s="33" t="s">
        <v>17</v>
      </c>
      <c r="BJ37" s="33" t="s">
        <v>17</v>
      </c>
      <c r="BK37" s="33" t="s">
        <v>17</v>
      </c>
      <c r="BL37" s="32">
        <v>28</v>
      </c>
      <c r="BM37" s="41" t="s">
        <v>32</v>
      </c>
      <c r="BN37" s="42"/>
    </row>
    <row r="38" spans="3:66" x14ac:dyDescent="0.3">
      <c r="C38" s="32">
        <v>29</v>
      </c>
      <c r="D38" s="34">
        <v>14507.2084</v>
      </c>
      <c r="E38" s="34">
        <v>13386.059800000001</v>
      </c>
      <c r="F38" s="33">
        <v>0</v>
      </c>
      <c r="G38" s="33">
        <v>0</v>
      </c>
      <c r="H38" s="33">
        <v>0</v>
      </c>
      <c r="I38" s="149" t="s">
        <v>27</v>
      </c>
      <c r="J38" s="150"/>
      <c r="K38" s="33" t="s">
        <v>17</v>
      </c>
      <c r="L38" s="33" t="s">
        <v>17</v>
      </c>
      <c r="M38" s="33" t="s">
        <v>17</v>
      </c>
      <c r="N38" s="136" t="s">
        <v>27</v>
      </c>
      <c r="O38" s="137"/>
      <c r="P38" s="72" t="s">
        <v>17</v>
      </c>
      <c r="Q38" s="72" t="s">
        <v>17</v>
      </c>
      <c r="R38" s="72" t="s">
        <v>17</v>
      </c>
      <c r="S38" s="136" t="s">
        <v>27</v>
      </c>
      <c r="T38" s="137"/>
      <c r="U38" s="72" t="s">
        <v>17</v>
      </c>
      <c r="V38" s="72" t="s">
        <v>17</v>
      </c>
      <c r="W38" s="72" t="s">
        <v>17</v>
      </c>
      <c r="X38" s="136" t="s">
        <v>27</v>
      </c>
      <c r="Y38" s="137"/>
      <c r="Z38" s="72" t="s">
        <v>17</v>
      </c>
      <c r="AA38" s="72" t="s">
        <v>17</v>
      </c>
      <c r="AB38" s="72" t="s">
        <v>17</v>
      </c>
      <c r="AC38" s="136" t="s">
        <v>27</v>
      </c>
      <c r="AD38" s="137"/>
      <c r="AE38" s="33" t="s">
        <v>17</v>
      </c>
      <c r="AF38" s="33" t="s">
        <v>17</v>
      </c>
      <c r="AG38" s="33" t="s">
        <v>17</v>
      </c>
      <c r="AH38" s="136" t="s">
        <v>27</v>
      </c>
      <c r="AI38" s="137"/>
      <c r="AJ38" s="33" t="s">
        <v>17</v>
      </c>
      <c r="AK38" s="33" t="s">
        <v>17</v>
      </c>
      <c r="AL38" s="33" t="s">
        <v>17</v>
      </c>
      <c r="AM38" s="136" t="s">
        <v>27</v>
      </c>
      <c r="AN38" s="137"/>
      <c r="AO38" s="33" t="s">
        <v>17</v>
      </c>
      <c r="AP38" s="33" t="s">
        <v>17</v>
      </c>
      <c r="AQ38" s="33" t="s">
        <v>17</v>
      </c>
      <c r="AR38" s="136" t="s">
        <v>27</v>
      </c>
      <c r="AS38" s="137"/>
      <c r="AT38" s="33" t="s">
        <v>17</v>
      </c>
      <c r="AU38" s="33" t="s">
        <v>17</v>
      </c>
      <c r="AV38" s="33" t="s">
        <v>17</v>
      </c>
      <c r="AW38" s="136" t="s">
        <v>27</v>
      </c>
      <c r="AX38" s="137"/>
      <c r="AY38" s="33" t="s">
        <v>17</v>
      </c>
      <c r="AZ38" s="33" t="s">
        <v>17</v>
      </c>
      <c r="BA38" s="33" t="s">
        <v>17</v>
      </c>
      <c r="BB38" s="136" t="s">
        <v>27</v>
      </c>
      <c r="BC38" s="137"/>
      <c r="BD38" s="33" t="s">
        <v>17</v>
      </c>
      <c r="BE38" s="33" t="s">
        <v>17</v>
      </c>
      <c r="BF38" s="33" t="s">
        <v>17</v>
      </c>
      <c r="BG38" s="136" t="s">
        <v>27</v>
      </c>
      <c r="BH38" s="137"/>
      <c r="BI38" s="33" t="s">
        <v>17</v>
      </c>
      <c r="BJ38" s="33" t="s">
        <v>17</v>
      </c>
      <c r="BK38" s="33" t="s">
        <v>17</v>
      </c>
      <c r="BL38" s="32">
        <v>29</v>
      </c>
      <c r="BM38" s="147" t="s">
        <v>28</v>
      </c>
      <c r="BN38" s="148"/>
    </row>
    <row r="39" spans="3:66" x14ac:dyDescent="0.3">
      <c r="C39" s="32">
        <v>30</v>
      </c>
      <c r="D39" s="34">
        <v>14527.2873</v>
      </c>
      <c r="E39" s="34">
        <v>13380.2199</v>
      </c>
      <c r="F39" s="33">
        <v>0</v>
      </c>
      <c r="G39" s="33">
        <v>0</v>
      </c>
      <c r="H39" s="33">
        <v>0</v>
      </c>
      <c r="I39" s="149" t="s">
        <v>27</v>
      </c>
      <c r="J39" s="150"/>
      <c r="K39" s="33" t="s">
        <v>17</v>
      </c>
      <c r="L39" s="33" t="s">
        <v>17</v>
      </c>
      <c r="M39" s="33" t="s">
        <v>17</v>
      </c>
      <c r="N39" s="136" t="s">
        <v>27</v>
      </c>
      <c r="O39" s="137"/>
      <c r="P39" s="72" t="s">
        <v>17</v>
      </c>
      <c r="Q39" s="72" t="s">
        <v>17</v>
      </c>
      <c r="R39" s="72" t="s">
        <v>17</v>
      </c>
      <c r="S39" s="136" t="s">
        <v>27</v>
      </c>
      <c r="T39" s="137"/>
      <c r="U39" s="72" t="s">
        <v>17</v>
      </c>
      <c r="V39" s="72" t="s">
        <v>17</v>
      </c>
      <c r="W39" s="72" t="s">
        <v>17</v>
      </c>
      <c r="X39" s="136" t="s">
        <v>27</v>
      </c>
      <c r="Y39" s="137"/>
      <c r="Z39" s="72" t="s">
        <v>17</v>
      </c>
      <c r="AA39" s="72" t="s">
        <v>17</v>
      </c>
      <c r="AB39" s="72" t="s">
        <v>17</v>
      </c>
      <c r="AC39" s="136" t="s">
        <v>27</v>
      </c>
      <c r="AD39" s="137"/>
      <c r="AE39" s="33" t="s">
        <v>17</v>
      </c>
      <c r="AF39" s="33" t="s">
        <v>17</v>
      </c>
      <c r="AG39" s="33" t="s">
        <v>17</v>
      </c>
      <c r="AH39" s="136" t="s">
        <v>27</v>
      </c>
      <c r="AI39" s="137"/>
      <c r="AJ39" s="33" t="s">
        <v>17</v>
      </c>
      <c r="AK39" s="33" t="s">
        <v>17</v>
      </c>
      <c r="AL39" s="33" t="s">
        <v>17</v>
      </c>
      <c r="AM39" s="136" t="s">
        <v>27</v>
      </c>
      <c r="AN39" s="137"/>
      <c r="AO39" s="33" t="s">
        <v>17</v>
      </c>
      <c r="AP39" s="33" t="s">
        <v>17</v>
      </c>
      <c r="AQ39" s="33" t="s">
        <v>17</v>
      </c>
      <c r="AR39" s="136" t="s">
        <v>27</v>
      </c>
      <c r="AS39" s="137"/>
      <c r="AT39" s="33" t="s">
        <v>17</v>
      </c>
      <c r="AU39" s="33" t="s">
        <v>17</v>
      </c>
      <c r="AV39" s="33" t="s">
        <v>17</v>
      </c>
      <c r="AW39" s="136" t="s">
        <v>27</v>
      </c>
      <c r="AX39" s="137"/>
      <c r="AY39" s="33" t="s">
        <v>17</v>
      </c>
      <c r="AZ39" s="33" t="s">
        <v>17</v>
      </c>
      <c r="BA39" s="33" t="s">
        <v>17</v>
      </c>
      <c r="BB39" s="136" t="s">
        <v>27</v>
      </c>
      <c r="BC39" s="137"/>
      <c r="BD39" s="33" t="s">
        <v>17</v>
      </c>
      <c r="BE39" s="33" t="s">
        <v>17</v>
      </c>
      <c r="BF39" s="33" t="s">
        <v>17</v>
      </c>
      <c r="BG39" s="136" t="s">
        <v>27</v>
      </c>
      <c r="BH39" s="137"/>
      <c r="BI39" s="33" t="s">
        <v>17</v>
      </c>
      <c r="BJ39" s="33" t="s">
        <v>17</v>
      </c>
      <c r="BK39" s="33" t="s">
        <v>17</v>
      </c>
      <c r="BL39" s="32">
        <v>30</v>
      </c>
    </row>
    <row r="40" spans="3:66" x14ac:dyDescent="0.3">
      <c r="C40" s="32">
        <v>31</v>
      </c>
      <c r="D40" s="34">
        <v>14541.7318</v>
      </c>
      <c r="E40" s="34">
        <v>13375.8321</v>
      </c>
      <c r="F40" s="33">
        <v>0</v>
      </c>
      <c r="G40" s="33">
        <v>0</v>
      </c>
      <c r="H40" s="33">
        <v>0</v>
      </c>
      <c r="I40" s="48">
        <v>14541.7287</v>
      </c>
      <c r="J40" s="48">
        <v>13375.8187</v>
      </c>
      <c r="K40" s="33">
        <f t="shared" ref="K40:K64" si="69">F40+(I40-D40)*1000</f>
        <v>-3.0999999999039574</v>
      </c>
      <c r="L40" s="33">
        <f t="shared" ref="L40:L64" si="70">G40+(J40-E40)*1000</f>
        <v>-13.399999999819556</v>
      </c>
      <c r="M40" s="33">
        <f t="shared" ref="M40:M64" si="71">SQRT(((K40*K40)+(L40*L40)))</f>
        <v>13.753908535197136</v>
      </c>
      <c r="N40" s="71">
        <v>14541.724</v>
      </c>
      <c r="O40" s="71">
        <v>13375.824999999999</v>
      </c>
      <c r="P40" s="72">
        <f t="shared" ref="P40:P52" si="72">K40+(N40-I40)*1000</f>
        <v>-7.7999999994062819</v>
      </c>
      <c r="Q40" s="72">
        <f t="shared" ref="Q40:Q52" si="73">L40+(O40-J40)*1000</f>
        <v>-7.1000000007188646</v>
      </c>
      <c r="R40" s="72">
        <f t="shared" ref="R40:R52" si="74">SQRT(((P40*P40)+(Q40*Q40)))</f>
        <v>10.547511554909333</v>
      </c>
      <c r="S40" s="71">
        <v>14541.722</v>
      </c>
      <c r="T40" s="71">
        <v>13375.828</v>
      </c>
      <c r="U40" s="72">
        <f t="shared" ref="U40:U52" si="75">P40+(S40-N40)*1000</f>
        <v>-9.7999999998137355</v>
      </c>
      <c r="V40" s="72">
        <f t="shared" ref="V40:V52" si="76">Q40+(T40-O40)*1000</f>
        <v>-4.1000000001076842</v>
      </c>
      <c r="W40" s="72">
        <f t="shared" ref="W40:W52" si="77">SQRT(((U40*U40)+(V40*V40)))</f>
        <v>10.623088063140219</v>
      </c>
      <c r="X40" s="71">
        <v>14541.7209</v>
      </c>
      <c r="Y40" s="71">
        <v>13375.830099999999</v>
      </c>
      <c r="Z40" s="72">
        <f t="shared" ref="Z40:Z52" si="78">U40+(X40-S40)*1000</f>
        <v>-10.899999999310239</v>
      </c>
      <c r="AA40" s="72">
        <f t="shared" ref="AA40:AA52" si="79">V40+(Y40-T40)*1000</f>
        <v>-2.0000000004074536</v>
      </c>
      <c r="AB40" s="72">
        <f t="shared" ref="AB40:AB52" si="80">SQRT(((Z40*Z40)+(AA40*AA40)))</f>
        <v>11.081967333763126</v>
      </c>
      <c r="AC40" s="71">
        <v>14541.723400000001</v>
      </c>
      <c r="AD40" s="71">
        <v>13375.832</v>
      </c>
      <c r="AE40" s="33">
        <f t="shared" ref="AE40:AE52" si="81">Z40+(AC40-X40)*1000</f>
        <v>-8.3999999988009222</v>
      </c>
      <c r="AF40" s="33">
        <f t="shared" ref="AF40:AF52" si="82">AA40+(AD40-Y40)*1000</f>
        <v>-9.999999929277692E-2</v>
      </c>
      <c r="AG40" s="33">
        <f t="shared" ref="AG40:AG52" si="83">SQRT(((AE40*AE40)+(AF40*AF40)))</f>
        <v>8.4005952157995356</v>
      </c>
      <c r="AH40" s="113">
        <v>14541.721600000001</v>
      </c>
      <c r="AI40" s="113">
        <v>13375.8323</v>
      </c>
      <c r="AJ40" s="33">
        <f t="shared" ref="AJ40" si="84">AE40+(AH40-AC40)*1000</f>
        <v>-10.199999998803833</v>
      </c>
      <c r="AK40" s="33">
        <f t="shared" ref="AK40" si="85">AF40+(AI40-AD40)*1000</f>
        <v>0.20000000040454324</v>
      </c>
      <c r="AL40" s="72">
        <f t="shared" ref="AL40" si="86">SQRT(((AJ40*AJ40)+(AK40*AK40)))</f>
        <v>10.201960594697471</v>
      </c>
      <c r="AM40" s="136" t="s">
        <v>27</v>
      </c>
      <c r="AN40" s="137"/>
      <c r="AO40" s="33" t="s">
        <v>17</v>
      </c>
      <c r="AP40" s="33" t="s">
        <v>17</v>
      </c>
      <c r="AQ40" s="33" t="s">
        <v>17</v>
      </c>
      <c r="AR40" s="136" t="s">
        <v>27</v>
      </c>
      <c r="AS40" s="137"/>
      <c r="AT40" s="33" t="s">
        <v>17</v>
      </c>
      <c r="AU40" s="33" t="s">
        <v>17</v>
      </c>
      <c r="AV40" s="33" t="s">
        <v>17</v>
      </c>
      <c r="AW40" s="136" t="s">
        <v>27</v>
      </c>
      <c r="AX40" s="137"/>
      <c r="AY40" s="33" t="s">
        <v>17</v>
      </c>
      <c r="AZ40" s="33" t="s">
        <v>17</v>
      </c>
      <c r="BA40" s="33" t="s">
        <v>17</v>
      </c>
      <c r="BB40" s="136" t="s">
        <v>27</v>
      </c>
      <c r="BC40" s="137"/>
      <c r="BD40" s="33" t="s">
        <v>17</v>
      </c>
      <c r="BE40" s="33" t="s">
        <v>17</v>
      </c>
      <c r="BF40" s="33" t="s">
        <v>17</v>
      </c>
      <c r="BG40" s="136" t="s">
        <v>27</v>
      </c>
      <c r="BH40" s="137"/>
      <c r="BI40" s="33" t="s">
        <v>17</v>
      </c>
      <c r="BJ40" s="33" t="s">
        <v>17</v>
      </c>
      <c r="BK40" s="33" t="s">
        <v>17</v>
      </c>
      <c r="BL40" s="32">
        <v>31</v>
      </c>
    </row>
    <row r="41" spans="3:66" x14ac:dyDescent="0.3">
      <c r="C41" s="32">
        <v>32</v>
      </c>
      <c r="D41" s="34">
        <v>14555.133900000001</v>
      </c>
      <c r="E41" s="34">
        <v>13371.8297</v>
      </c>
      <c r="F41" s="33">
        <v>0</v>
      </c>
      <c r="G41" s="33">
        <v>0</v>
      </c>
      <c r="H41" s="33">
        <v>0</v>
      </c>
      <c r="I41" s="48">
        <v>14555.132</v>
      </c>
      <c r="J41" s="48">
        <v>13371.8179</v>
      </c>
      <c r="K41" s="33">
        <f t="shared" si="69"/>
        <v>-1.9000000011146767</v>
      </c>
      <c r="L41" s="33">
        <f t="shared" si="70"/>
        <v>-11.800000000221189</v>
      </c>
      <c r="M41" s="33">
        <f t="shared" si="71"/>
        <v>11.951987282851995</v>
      </c>
      <c r="N41" s="71">
        <v>14555.125</v>
      </c>
      <c r="O41" s="71">
        <v>13371.821</v>
      </c>
      <c r="P41" s="72">
        <f t="shared" si="72"/>
        <v>-8.900000000721775</v>
      </c>
      <c r="Q41" s="72">
        <f t="shared" si="73"/>
        <v>-8.7000000003172318</v>
      </c>
      <c r="R41" s="72">
        <f t="shared" si="74"/>
        <v>12.445882854115551</v>
      </c>
      <c r="S41" s="71">
        <v>14555.127</v>
      </c>
      <c r="T41" s="71">
        <v>13371.822</v>
      </c>
      <c r="U41" s="72">
        <f t="shared" si="75"/>
        <v>-6.9000000003143214</v>
      </c>
      <c r="V41" s="72">
        <f t="shared" si="76"/>
        <v>-7.7000000001135049</v>
      </c>
      <c r="W41" s="72">
        <f t="shared" si="77"/>
        <v>10.339245620744562</v>
      </c>
      <c r="X41" s="71">
        <v>14555.124599999999</v>
      </c>
      <c r="Y41" s="71">
        <v>13371.8223</v>
      </c>
      <c r="Z41" s="72">
        <f t="shared" si="78"/>
        <v>-9.3000000015308615</v>
      </c>
      <c r="AA41" s="72">
        <f t="shared" si="79"/>
        <v>-7.4000000004161848</v>
      </c>
      <c r="AB41" s="72">
        <f t="shared" si="80"/>
        <v>11.884864325461757</v>
      </c>
      <c r="AC41" s="71">
        <v>14555.1232</v>
      </c>
      <c r="AD41" s="71">
        <v>13371.821599999999</v>
      </c>
      <c r="AE41" s="33">
        <f t="shared" si="81"/>
        <v>-10.700000000724685</v>
      </c>
      <c r="AF41" s="33">
        <f t="shared" si="82"/>
        <v>-8.1000000009225914</v>
      </c>
      <c r="AG41" s="33">
        <f t="shared" si="83"/>
        <v>13.420134128631288</v>
      </c>
      <c r="AH41" s="113">
        <v>14555.123</v>
      </c>
      <c r="AI41" s="113">
        <v>13371.8205</v>
      </c>
      <c r="AJ41" s="33">
        <f t="shared" ref="AJ41:AJ52" si="87">AE41+(AH41-AC41)*1000</f>
        <v>-10.900000001129229</v>
      </c>
      <c r="AK41" s="33">
        <f t="shared" ref="AK41:AK52" si="88">AF41+(AI41-AD41)*1000</f>
        <v>-9.2000000004190952</v>
      </c>
      <c r="AL41" s="72">
        <f t="shared" ref="AL41:AL52" si="89">SQRT(((AJ41*AJ41)+(AK41*AK41)))</f>
        <v>14.263590012066686</v>
      </c>
      <c r="AM41" s="136" t="s">
        <v>27</v>
      </c>
      <c r="AN41" s="137"/>
      <c r="AO41" s="33" t="s">
        <v>17</v>
      </c>
      <c r="AP41" s="33" t="s">
        <v>17</v>
      </c>
      <c r="AQ41" s="33" t="s">
        <v>17</v>
      </c>
      <c r="AR41" s="136" t="s">
        <v>27</v>
      </c>
      <c r="AS41" s="137"/>
      <c r="AT41" s="33" t="s">
        <v>17</v>
      </c>
      <c r="AU41" s="33" t="s">
        <v>17</v>
      </c>
      <c r="AV41" s="33" t="s">
        <v>17</v>
      </c>
      <c r="AW41" s="136" t="s">
        <v>27</v>
      </c>
      <c r="AX41" s="137"/>
      <c r="AY41" s="33" t="s">
        <v>17</v>
      </c>
      <c r="AZ41" s="33" t="s">
        <v>17</v>
      </c>
      <c r="BA41" s="33" t="s">
        <v>17</v>
      </c>
      <c r="BB41" s="136" t="s">
        <v>27</v>
      </c>
      <c r="BC41" s="137"/>
      <c r="BD41" s="33" t="s">
        <v>17</v>
      </c>
      <c r="BE41" s="33" t="s">
        <v>17</v>
      </c>
      <c r="BF41" s="33" t="s">
        <v>17</v>
      </c>
      <c r="BG41" s="136" t="s">
        <v>27</v>
      </c>
      <c r="BH41" s="137"/>
      <c r="BI41" s="33" t="s">
        <v>17</v>
      </c>
      <c r="BJ41" s="33" t="s">
        <v>17</v>
      </c>
      <c r="BK41" s="33" t="s">
        <v>17</v>
      </c>
      <c r="BL41" s="32">
        <v>32</v>
      </c>
    </row>
    <row r="42" spans="3:66" x14ac:dyDescent="0.3">
      <c r="C42" s="32">
        <v>33</v>
      </c>
      <c r="D42" s="34">
        <v>14569.445299999999</v>
      </c>
      <c r="E42" s="34">
        <v>13367.564200000001</v>
      </c>
      <c r="F42" s="33">
        <v>0</v>
      </c>
      <c r="G42" s="33">
        <v>0</v>
      </c>
      <c r="H42" s="33">
        <v>0</v>
      </c>
      <c r="I42" s="48">
        <v>14569.453299999999</v>
      </c>
      <c r="J42" s="48">
        <v>13367.5592</v>
      </c>
      <c r="K42" s="33">
        <f t="shared" si="69"/>
        <v>7.9999999998108251</v>
      </c>
      <c r="L42" s="33">
        <f t="shared" si="70"/>
        <v>-5.0000000010186341</v>
      </c>
      <c r="M42" s="33">
        <f t="shared" si="71"/>
        <v>9.4339811324360596</v>
      </c>
      <c r="N42" s="71">
        <v>14569.449999999999</v>
      </c>
      <c r="O42" s="71">
        <v>13367.561</v>
      </c>
      <c r="P42" s="72">
        <f t="shared" si="72"/>
        <v>4.6999999995023245</v>
      </c>
      <c r="Q42" s="72">
        <f t="shared" si="73"/>
        <v>-3.2000000010157237</v>
      </c>
      <c r="R42" s="72">
        <f t="shared" si="74"/>
        <v>5.685947590492062</v>
      </c>
      <c r="S42" s="71">
        <v>14569.448999999999</v>
      </c>
      <c r="T42" s="71">
        <v>13367.555</v>
      </c>
      <c r="U42" s="72">
        <f t="shared" si="75"/>
        <v>3.6999999992985977</v>
      </c>
      <c r="V42" s="72">
        <f t="shared" si="76"/>
        <v>-9.2000000004190952</v>
      </c>
      <c r="W42" s="72">
        <f t="shared" si="77"/>
        <v>9.9161484459703892</v>
      </c>
      <c r="X42" s="71">
        <v>14569.4486</v>
      </c>
      <c r="Y42" s="71">
        <v>13367.5545</v>
      </c>
      <c r="Z42" s="72">
        <f t="shared" si="78"/>
        <v>3.3000000003085006</v>
      </c>
      <c r="AA42" s="72">
        <f t="shared" si="79"/>
        <v>-9.7000000005209586</v>
      </c>
      <c r="AB42" s="72">
        <f t="shared" si="80"/>
        <v>10.245974820003351</v>
      </c>
      <c r="AC42" s="71">
        <v>14569.4476</v>
      </c>
      <c r="AD42" s="71">
        <v>13367.5517</v>
      </c>
      <c r="AE42" s="33">
        <f t="shared" si="81"/>
        <v>2.3000000001047738</v>
      </c>
      <c r="AF42" s="33">
        <f t="shared" si="82"/>
        <v>-12.500000000727596</v>
      </c>
      <c r="AG42" s="33">
        <f t="shared" si="83"/>
        <v>12.70983870938856</v>
      </c>
      <c r="AH42" s="113">
        <v>14569.447099999999</v>
      </c>
      <c r="AI42" s="113">
        <v>13367.550800000001</v>
      </c>
      <c r="AJ42" s="33">
        <f t="shared" si="87"/>
        <v>1.8000000000029104</v>
      </c>
      <c r="AK42" s="33">
        <f t="shared" si="88"/>
        <v>-13.399999999819556</v>
      </c>
      <c r="AL42" s="72">
        <f t="shared" si="89"/>
        <v>13.520355024746006</v>
      </c>
      <c r="AM42" s="136" t="s">
        <v>27</v>
      </c>
      <c r="AN42" s="137"/>
      <c r="AO42" s="33" t="s">
        <v>17</v>
      </c>
      <c r="AP42" s="33" t="s">
        <v>17</v>
      </c>
      <c r="AQ42" s="33" t="s">
        <v>17</v>
      </c>
      <c r="AR42" s="136" t="s">
        <v>27</v>
      </c>
      <c r="AS42" s="137"/>
      <c r="AT42" s="33" t="s">
        <v>17</v>
      </c>
      <c r="AU42" s="33" t="s">
        <v>17</v>
      </c>
      <c r="AV42" s="33" t="s">
        <v>17</v>
      </c>
      <c r="AW42" s="136" t="s">
        <v>27</v>
      </c>
      <c r="AX42" s="137"/>
      <c r="AY42" s="33" t="s">
        <v>17</v>
      </c>
      <c r="AZ42" s="33" t="s">
        <v>17</v>
      </c>
      <c r="BA42" s="33" t="s">
        <v>17</v>
      </c>
      <c r="BB42" s="136" t="s">
        <v>27</v>
      </c>
      <c r="BC42" s="137"/>
      <c r="BD42" s="33" t="s">
        <v>17</v>
      </c>
      <c r="BE42" s="33" t="s">
        <v>17</v>
      </c>
      <c r="BF42" s="33" t="s">
        <v>17</v>
      </c>
      <c r="BG42" s="136" t="s">
        <v>27</v>
      </c>
      <c r="BH42" s="137"/>
      <c r="BI42" s="33" t="s">
        <v>17</v>
      </c>
      <c r="BJ42" s="33" t="s">
        <v>17</v>
      </c>
      <c r="BK42" s="33" t="s">
        <v>17</v>
      </c>
      <c r="BL42" s="32">
        <v>33</v>
      </c>
    </row>
    <row r="43" spans="3:66" x14ac:dyDescent="0.3">
      <c r="C43" s="32">
        <v>34</v>
      </c>
      <c r="D43" s="34">
        <v>14583.951300000001</v>
      </c>
      <c r="E43" s="34">
        <v>13368.077499999999</v>
      </c>
      <c r="F43" s="33">
        <v>0</v>
      </c>
      <c r="G43" s="33">
        <v>0</v>
      </c>
      <c r="H43" s="33">
        <v>0</v>
      </c>
      <c r="I43" s="48">
        <v>14583.937599999999</v>
      </c>
      <c r="J43" s="48">
        <v>13368.062599999999</v>
      </c>
      <c r="K43" s="33">
        <f t="shared" si="69"/>
        <v>-13.700000001335866</v>
      </c>
      <c r="L43" s="33">
        <f t="shared" si="70"/>
        <v>-14.900000000125146</v>
      </c>
      <c r="M43" s="33">
        <f t="shared" si="71"/>
        <v>20.241047404725183</v>
      </c>
      <c r="N43" s="71">
        <v>14583.931</v>
      </c>
      <c r="O43" s="71">
        <v>13368.069</v>
      </c>
      <c r="P43" s="72">
        <f t="shared" si="72"/>
        <v>-20.300000000133878</v>
      </c>
      <c r="Q43" s="72">
        <f t="shared" si="73"/>
        <v>-8.4999999999126885</v>
      </c>
      <c r="R43" s="72">
        <f t="shared" si="74"/>
        <v>22.007725916231127</v>
      </c>
      <c r="S43" s="71">
        <v>14583.935000000001</v>
      </c>
      <c r="T43" s="71">
        <v>13368.071</v>
      </c>
      <c r="U43" s="72">
        <f t="shared" si="75"/>
        <v>-16.29999999931897</v>
      </c>
      <c r="V43" s="72">
        <f t="shared" si="76"/>
        <v>-6.4999999995052349</v>
      </c>
      <c r="W43" s="72">
        <f t="shared" si="77"/>
        <v>17.548219282062966</v>
      </c>
      <c r="X43" s="71">
        <v>14583.933300000001</v>
      </c>
      <c r="Y43" s="71">
        <v>13368.069100000001</v>
      </c>
      <c r="Z43" s="72">
        <f t="shared" si="78"/>
        <v>-18.000000000029104</v>
      </c>
      <c r="AA43" s="72">
        <f t="shared" si="79"/>
        <v>-8.3999999988009222</v>
      </c>
      <c r="AB43" s="72">
        <f t="shared" si="80"/>
        <v>19.86353442821552</v>
      </c>
      <c r="AC43" s="71">
        <v>14583.932699999999</v>
      </c>
      <c r="AD43" s="71">
        <v>13368.071400000001</v>
      </c>
      <c r="AE43" s="33">
        <f t="shared" si="81"/>
        <v>-18.600000001242734</v>
      </c>
      <c r="AF43" s="33">
        <f t="shared" si="82"/>
        <v>-6.0999999986961484</v>
      </c>
      <c r="AG43" s="33">
        <f t="shared" si="83"/>
        <v>19.574728606811455</v>
      </c>
      <c r="AH43" s="113">
        <v>14583.934999999999</v>
      </c>
      <c r="AI43" s="113">
        <v>13368.068300000001</v>
      </c>
      <c r="AJ43" s="33">
        <f t="shared" si="87"/>
        <v>-16.30000000113796</v>
      </c>
      <c r="AK43" s="33">
        <f t="shared" si="88"/>
        <v>-9.1999999986001058</v>
      </c>
      <c r="AL43" s="72">
        <f t="shared" si="89"/>
        <v>18.717104477224556</v>
      </c>
      <c r="AM43" s="136" t="s">
        <v>27</v>
      </c>
      <c r="AN43" s="137"/>
      <c r="AO43" s="33" t="s">
        <v>17</v>
      </c>
      <c r="AP43" s="33" t="s">
        <v>17</v>
      </c>
      <c r="AQ43" s="33" t="s">
        <v>17</v>
      </c>
      <c r="AR43" s="136" t="s">
        <v>27</v>
      </c>
      <c r="AS43" s="137"/>
      <c r="AT43" s="33" t="s">
        <v>17</v>
      </c>
      <c r="AU43" s="33" t="s">
        <v>17</v>
      </c>
      <c r="AV43" s="33" t="s">
        <v>17</v>
      </c>
      <c r="AW43" s="136" t="s">
        <v>27</v>
      </c>
      <c r="AX43" s="137"/>
      <c r="AY43" s="33" t="s">
        <v>17</v>
      </c>
      <c r="AZ43" s="33" t="s">
        <v>17</v>
      </c>
      <c r="BA43" s="33" t="s">
        <v>17</v>
      </c>
      <c r="BB43" s="136" t="s">
        <v>27</v>
      </c>
      <c r="BC43" s="137"/>
      <c r="BD43" s="33" t="s">
        <v>17</v>
      </c>
      <c r="BE43" s="33" t="s">
        <v>17</v>
      </c>
      <c r="BF43" s="33" t="s">
        <v>17</v>
      </c>
      <c r="BG43" s="136" t="s">
        <v>27</v>
      </c>
      <c r="BH43" s="137"/>
      <c r="BI43" s="33" t="s">
        <v>17</v>
      </c>
      <c r="BJ43" s="33" t="s">
        <v>17</v>
      </c>
      <c r="BK43" s="33" t="s">
        <v>17</v>
      </c>
      <c r="BL43" s="32">
        <v>34</v>
      </c>
    </row>
    <row r="44" spans="3:66" x14ac:dyDescent="0.3">
      <c r="C44" s="32">
        <v>35</v>
      </c>
      <c r="D44" s="34">
        <v>14587.6314</v>
      </c>
      <c r="E44" s="34">
        <v>13380.4588</v>
      </c>
      <c r="F44" s="33">
        <v>0</v>
      </c>
      <c r="G44" s="33">
        <v>0</v>
      </c>
      <c r="H44" s="33">
        <v>0</v>
      </c>
      <c r="I44" s="48">
        <v>14587.6198</v>
      </c>
      <c r="J44" s="48">
        <v>13380.4476</v>
      </c>
      <c r="K44" s="33">
        <f t="shared" si="69"/>
        <v>-11.599999999816646</v>
      </c>
      <c r="L44" s="33">
        <f t="shared" si="70"/>
        <v>-11.200000000826549</v>
      </c>
      <c r="M44" s="33">
        <f t="shared" si="71"/>
        <v>16.124515497039312</v>
      </c>
      <c r="N44" s="71">
        <v>14587.615000000002</v>
      </c>
      <c r="O44" s="71">
        <v>13380.452000000001</v>
      </c>
      <c r="P44" s="72">
        <f t="shared" si="72"/>
        <v>-16.399999998611747</v>
      </c>
      <c r="Q44" s="72">
        <f t="shared" si="73"/>
        <v>-6.799999999202555</v>
      </c>
      <c r="R44" s="72">
        <f t="shared" si="74"/>
        <v>17.753872815349897</v>
      </c>
      <c r="S44" s="71">
        <v>14587.615000000002</v>
      </c>
      <c r="T44" s="71">
        <v>13380.445000000002</v>
      </c>
      <c r="U44" s="72">
        <f t="shared" si="75"/>
        <v>-16.399999998611747</v>
      </c>
      <c r="V44" s="72">
        <f t="shared" si="76"/>
        <v>-13.799999998809653</v>
      </c>
      <c r="W44" s="72">
        <f t="shared" si="77"/>
        <v>21.433618451433063</v>
      </c>
      <c r="X44" s="71">
        <v>14587.6167</v>
      </c>
      <c r="Y44" s="71">
        <v>13380.4476</v>
      </c>
      <c r="Z44" s="72">
        <f t="shared" si="78"/>
        <v>-14.699999999720603</v>
      </c>
      <c r="AA44" s="72">
        <f t="shared" si="79"/>
        <v>-11.200000000826549</v>
      </c>
      <c r="AB44" s="72">
        <f t="shared" si="80"/>
        <v>18.480530295700405</v>
      </c>
      <c r="AC44" s="71">
        <v>14587.618399999999</v>
      </c>
      <c r="AD44" s="71">
        <v>13380.444799999999</v>
      </c>
      <c r="AE44" s="33">
        <f t="shared" si="81"/>
        <v>-13.000000000829459</v>
      </c>
      <c r="AF44" s="33">
        <f t="shared" si="82"/>
        <v>-14.000000001033186</v>
      </c>
      <c r="AG44" s="33">
        <f t="shared" si="83"/>
        <v>19.10497317586432</v>
      </c>
      <c r="AH44" s="113">
        <v>14587.616</v>
      </c>
      <c r="AI44" s="113">
        <v>13380.441500000001</v>
      </c>
      <c r="AJ44" s="33">
        <f t="shared" si="87"/>
        <v>-15.40000000022701</v>
      </c>
      <c r="AK44" s="33">
        <f t="shared" si="88"/>
        <v>-17.299999999522697</v>
      </c>
      <c r="AL44" s="72">
        <f t="shared" si="89"/>
        <v>23.161390286217216</v>
      </c>
      <c r="AM44" s="136" t="s">
        <v>27</v>
      </c>
      <c r="AN44" s="137"/>
      <c r="AO44" s="33" t="s">
        <v>17</v>
      </c>
      <c r="AP44" s="33" t="s">
        <v>17</v>
      </c>
      <c r="AQ44" s="33" t="s">
        <v>17</v>
      </c>
      <c r="AR44" s="136" t="s">
        <v>27</v>
      </c>
      <c r="AS44" s="137"/>
      <c r="AT44" s="33" t="s">
        <v>17</v>
      </c>
      <c r="AU44" s="33" t="s">
        <v>17</v>
      </c>
      <c r="AV44" s="33" t="s">
        <v>17</v>
      </c>
      <c r="AW44" s="136" t="s">
        <v>27</v>
      </c>
      <c r="AX44" s="137"/>
      <c r="AY44" s="33" t="s">
        <v>17</v>
      </c>
      <c r="AZ44" s="33" t="s">
        <v>17</v>
      </c>
      <c r="BA44" s="33" t="s">
        <v>17</v>
      </c>
      <c r="BB44" s="136" t="s">
        <v>27</v>
      </c>
      <c r="BC44" s="137"/>
      <c r="BD44" s="33" t="s">
        <v>17</v>
      </c>
      <c r="BE44" s="33" t="s">
        <v>17</v>
      </c>
      <c r="BF44" s="33" t="s">
        <v>17</v>
      </c>
      <c r="BG44" s="136" t="s">
        <v>27</v>
      </c>
      <c r="BH44" s="137"/>
      <c r="BI44" s="33" t="s">
        <v>17</v>
      </c>
      <c r="BJ44" s="33" t="s">
        <v>17</v>
      </c>
      <c r="BK44" s="33" t="s">
        <v>17</v>
      </c>
      <c r="BL44" s="32">
        <v>35</v>
      </c>
    </row>
    <row r="45" spans="3:66" x14ac:dyDescent="0.3">
      <c r="C45" s="32">
        <v>36</v>
      </c>
      <c r="D45" s="34">
        <v>14591.0371</v>
      </c>
      <c r="E45" s="34">
        <v>13392.043100000001</v>
      </c>
      <c r="F45" s="33">
        <v>0</v>
      </c>
      <c r="G45" s="33">
        <v>0</v>
      </c>
      <c r="H45" s="33">
        <v>0</v>
      </c>
      <c r="I45" s="48">
        <v>14591.0321</v>
      </c>
      <c r="J45" s="48">
        <v>13392.0391</v>
      </c>
      <c r="K45" s="33">
        <f t="shared" si="69"/>
        <v>-4.9999999991996447</v>
      </c>
      <c r="L45" s="33">
        <f t="shared" si="70"/>
        <v>-4.0000000008149073</v>
      </c>
      <c r="M45" s="33">
        <f t="shared" si="71"/>
        <v>6.4031242373169448</v>
      </c>
      <c r="N45" s="71">
        <v>14591.027999999998</v>
      </c>
      <c r="O45" s="71">
        <v>13392.043000000001</v>
      </c>
      <c r="P45" s="72">
        <f t="shared" si="72"/>
        <v>-9.1000000011263182</v>
      </c>
      <c r="Q45" s="72">
        <f t="shared" si="73"/>
        <v>-9.999999929277692E-2</v>
      </c>
      <c r="R45" s="72">
        <f t="shared" si="74"/>
        <v>9.100549435081243</v>
      </c>
      <c r="S45" s="71">
        <v>14591.033999999998</v>
      </c>
      <c r="T45" s="71">
        <v>13392.041000000001</v>
      </c>
      <c r="U45" s="72">
        <f t="shared" si="75"/>
        <v>-3.1000000017229468</v>
      </c>
      <c r="V45" s="72">
        <f t="shared" si="76"/>
        <v>-2.0999999997002305</v>
      </c>
      <c r="W45" s="72">
        <f t="shared" si="77"/>
        <v>3.7443290466281458</v>
      </c>
      <c r="X45" s="71">
        <v>14591.0321</v>
      </c>
      <c r="Y45" s="71">
        <v>13392.0407</v>
      </c>
      <c r="Z45" s="72">
        <f t="shared" si="78"/>
        <v>-4.9999999991996447</v>
      </c>
      <c r="AA45" s="72">
        <f t="shared" si="79"/>
        <v>-2.4000000012165401</v>
      </c>
      <c r="AB45" s="72">
        <f t="shared" si="80"/>
        <v>5.5461698493497149</v>
      </c>
      <c r="AC45" s="71">
        <v>14591.0306</v>
      </c>
      <c r="AD45" s="71">
        <v>13392.0404</v>
      </c>
      <c r="AE45" s="33">
        <f t="shared" si="81"/>
        <v>-6.4999999995052349</v>
      </c>
      <c r="AF45" s="33">
        <f t="shared" si="82"/>
        <v>-2.7000000009138603</v>
      </c>
      <c r="AG45" s="33">
        <f t="shared" si="83"/>
        <v>7.0384657418007581</v>
      </c>
      <c r="AH45" s="113">
        <v>14591.0319</v>
      </c>
      <c r="AI45" s="113">
        <v>13392.041800000001</v>
      </c>
      <c r="AJ45" s="33">
        <f t="shared" si="87"/>
        <v>-5.1999999996041879</v>
      </c>
      <c r="AK45" s="33">
        <f t="shared" si="88"/>
        <v>-1.299999999901047</v>
      </c>
      <c r="AL45" s="72">
        <f t="shared" si="89"/>
        <v>5.3600373128949652</v>
      </c>
      <c r="AM45" s="136" t="s">
        <v>27</v>
      </c>
      <c r="AN45" s="137"/>
      <c r="AO45" s="33" t="s">
        <v>17</v>
      </c>
      <c r="AP45" s="33" t="s">
        <v>17</v>
      </c>
      <c r="AQ45" s="33" t="s">
        <v>17</v>
      </c>
      <c r="AR45" s="136" t="s">
        <v>27</v>
      </c>
      <c r="AS45" s="137"/>
      <c r="AT45" s="33" t="s">
        <v>17</v>
      </c>
      <c r="AU45" s="33" t="s">
        <v>17</v>
      </c>
      <c r="AV45" s="33" t="s">
        <v>17</v>
      </c>
      <c r="AW45" s="136" t="s">
        <v>27</v>
      </c>
      <c r="AX45" s="137"/>
      <c r="AY45" s="33" t="s">
        <v>17</v>
      </c>
      <c r="AZ45" s="33" t="s">
        <v>17</v>
      </c>
      <c r="BA45" s="33" t="s">
        <v>17</v>
      </c>
      <c r="BB45" s="136" t="s">
        <v>27</v>
      </c>
      <c r="BC45" s="137"/>
      <c r="BD45" s="33" t="s">
        <v>17</v>
      </c>
      <c r="BE45" s="33" t="s">
        <v>17</v>
      </c>
      <c r="BF45" s="33" t="s">
        <v>17</v>
      </c>
      <c r="BG45" s="136" t="s">
        <v>27</v>
      </c>
      <c r="BH45" s="137"/>
      <c r="BI45" s="33" t="s">
        <v>17</v>
      </c>
      <c r="BJ45" s="33" t="s">
        <v>17</v>
      </c>
      <c r="BK45" s="33" t="s">
        <v>17</v>
      </c>
      <c r="BL45" s="32">
        <v>36</v>
      </c>
    </row>
    <row r="46" spans="3:66" x14ac:dyDescent="0.3">
      <c r="C46" s="32">
        <v>37</v>
      </c>
      <c r="D46" s="34">
        <v>14594.7215</v>
      </c>
      <c r="E46" s="34">
        <v>13403.6644</v>
      </c>
      <c r="F46" s="33">
        <v>0</v>
      </c>
      <c r="G46" s="33">
        <v>0</v>
      </c>
      <c r="H46" s="33">
        <v>0</v>
      </c>
      <c r="I46" s="48">
        <v>14594.7143</v>
      </c>
      <c r="J46" s="48">
        <v>13403.649100000001</v>
      </c>
      <c r="K46" s="33">
        <f t="shared" si="69"/>
        <v>-7.2000000000116415</v>
      </c>
      <c r="L46" s="33">
        <f t="shared" si="70"/>
        <v>-15.299999999115244</v>
      </c>
      <c r="M46" s="33">
        <f t="shared" si="71"/>
        <v>16.909464804454753</v>
      </c>
      <c r="N46" s="71">
        <v>14594.708000000001</v>
      </c>
      <c r="O46" s="71">
        <v>13403.653</v>
      </c>
      <c r="P46" s="72">
        <f t="shared" si="72"/>
        <v>-13.499999999112333</v>
      </c>
      <c r="Q46" s="72">
        <f t="shared" si="73"/>
        <v>-11.399999999412103</v>
      </c>
      <c r="R46" s="72">
        <f t="shared" si="74"/>
        <v>17.669465186095159</v>
      </c>
      <c r="S46" s="71">
        <v>14594.713</v>
      </c>
      <c r="T46" s="71">
        <v>13403.646000000001</v>
      </c>
      <c r="U46" s="72">
        <f t="shared" si="75"/>
        <v>-8.4999999999126885</v>
      </c>
      <c r="V46" s="72">
        <f t="shared" si="76"/>
        <v>-18.399999999019201</v>
      </c>
      <c r="W46" s="72">
        <f t="shared" si="77"/>
        <v>20.268448385666385</v>
      </c>
      <c r="X46" s="71">
        <v>14594.715200000001</v>
      </c>
      <c r="Y46" s="71">
        <v>13403.6456</v>
      </c>
      <c r="Z46" s="72">
        <f t="shared" si="78"/>
        <v>-6.2999999991006916</v>
      </c>
      <c r="AA46" s="72">
        <f t="shared" si="79"/>
        <v>-18.799999999828287</v>
      </c>
      <c r="AB46" s="72">
        <f t="shared" si="80"/>
        <v>19.827506146316342</v>
      </c>
      <c r="AC46" s="71">
        <v>14594.716399999999</v>
      </c>
      <c r="AD46" s="71">
        <v>13403.644</v>
      </c>
      <c r="AE46" s="33">
        <f t="shared" si="81"/>
        <v>-5.100000000311411</v>
      </c>
      <c r="AF46" s="33">
        <f t="shared" si="82"/>
        <v>-20.399999999426655</v>
      </c>
      <c r="AG46" s="33">
        <f t="shared" si="83"/>
        <v>21.027838690169371</v>
      </c>
      <c r="AH46" s="113">
        <v>14594.7163</v>
      </c>
      <c r="AI46" s="113">
        <v>13403.6438</v>
      </c>
      <c r="AJ46" s="33">
        <f t="shared" si="87"/>
        <v>-5.1999999996041879</v>
      </c>
      <c r="AK46" s="33">
        <f t="shared" si="88"/>
        <v>-20.599999999831198</v>
      </c>
      <c r="AL46" s="72">
        <f t="shared" si="89"/>
        <v>21.246176126280439</v>
      </c>
      <c r="AM46" s="136" t="s">
        <v>27</v>
      </c>
      <c r="AN46" s="137"/>
      <c r="AO46" s="33" t="s">
        <v>17</v>
      </c>
      <c r="AP46" s="33" t="s">
        <v>17</v>
      </c>
      <c r="AQ46" s="33" t="s">
        <v>17</v>
      </c>
      <c r="AR46" s="136" t="s">
        <v>27</v>
      </c>
      <c r="AS46" s="137"/>
      <c r="AT46" s="33" t="s">
        <v>17</v>
      </c>
      <c r="AU46" s="33" t="s">
        <v>17</v>
      </c>
      <c r="AV46" s="33" t="s">
        <v>17</v>
      </c>
      <c r="AW46" s="136" t="s">
        <v>27</v>
      </c>
      <c r="AX46" s="137"/>
      <c r="AY46" s="33" t="s">
        <v>17</v>
      </c>
      <c r="AZ46" s="33" t="s">
        <v>17</v>
      </c>
      <c r="BA46" s="33" t="s">
        <v>17</v>
      </c>
      <c r="BB46" s="136" t="s">
        <v>27</v>
      </c>
      <c r="BC46" s="137"/>
      <c r="BD46" s="33" t="s">
        <v>17</v>
      </c>
      <c r="BE46" s="33" t="s">
        <v>17</v>
      </c>
      <c r="BF46" s="33" t="s">
        <v>17</v>
      </c>
      <c r="BG46" s="136" t="s">
        <v>27</v>
      </c>
      <c r="BH46" s="137"/>
      <c r="BI46" s="33" t="s">
        <v>17</v>
      </c>
      <c r="BJ46" s="33" t="s">
        <v>17</v>
      </c>
      <c r="BK46" s="33" t="s">
        <v>17</v>
      </c>
      <c r="BL46" s="32">
        <v>37</v>
      </c>
    </row>
    <row r="47" spans="3:66" x14ac:dyDescent="0.3">
      <c r="C47" s="32">
        <v>38</v>
      </c>
      <c r="D47" s="34">
        <v>14597.853300000001</v>
      </c>
      <c r="E47" s="34">
        <v>13414.227999999999</v>
      </c>
      <c r="F47" s="33">
        <v>0</v>
      </c>
      <c r="G47" s="33">
        <v>0</v>
      </c>
      <c r="H47" s="33">
        <v>0</v>
      </c>
      <c r="I47" s="48">
        <v>14597.843999999999</v>
      </c>
      <c r="J47" s="48">
        <v>13414.217199999999</v>
      </c>
      <c r="K47" s="33">
        <f t="shared" si="69"/>
        <v>-9.3000000015308615</v>
      </c>
      <c r="L47" s="33">
        <f t="shared" si="70"/>
        <v>-10.800000000017462</v>
      </c>
      <c r="M47" s="33">
        <f t="shared" si="71"/>
        <v>14.252368225275799</v>
      </c>
      <c r="N47" s="71">
        <v>14597.839999999998</v>
      </c>
      <c r="O47" s="71">
        <v>13414.220000000001</v>
      </c>
      <c r="P47" s="72">
        <f t="shared" si="72"/>
        <v>-13.300000002345769</v>
      </c>
      <c r="Q47" s="72">
        <f t="shared" si="73"/>
        <v>-7.9999999979918357</v>
      </c>
      <c r="R47" s="72">
        <f t="shared" si="74"/>
        <v>15.520631431429162</v>
      </c>
      <c r="S47" s="71">
        <v>14597.836999999998</v>
      </c>
      <c r="T47" s="71">
        <v>13414.225</v>
      </c>
      <c r="U47" s="72">
        <f t="shared" si="75"/>
        <v>-16.300000002956949</v>
      </c>
      <c r="V47" s="72">
        <f t="shared" si="76"/>
        <v>-2.999999998792191</v>
      </c>
      <c r="W47" s="72">
        <f t="shared" si="77"/>
        <v>16.573774467186094</v>
      </c>
      <c r="X47" s="71">
        <v>14597.835499999999</v>
      </c>
      <c r="Y47" s="71">
        <v>13414.225399999999</v>
      </c>
      <c r="Z47" s="72">
        <f t="shared" si="78"/>
        <v>-17.80000000144355</v>
      </c>
      <c r="AA47" s="72">
        <f t="shared" si="79"/>
        <v>-2.599999999802094</v>
      </c>
      <c r="AB47" s="72">
        <f t="shared" si="80"/>
        <v>17.988885458814877</v>
      </c>
      <c r="AC47" s="71">
        <v>14597.836300000001</v>
      </c>
      <c r="AD47" s="71">
        <v>13414.225700000001</v>
      </c>
      <c r="AE47" s="33">
        <f t="shared" si="81"/>
        <v>-16.999999999825377</v>
      </c>
      <c r="AF47" s="33">
        <f t="shared" si="82"/>
        <v>-2.2999999982857844</v>
      </c>
      <c r="AG47" s="33">
        <f t="shared" si="83"/>
        <v>17.154882686459192</v>
      </c>
      <c r="AH47" s="113">
        <v>14597.8388</v>
      </c>
      <c r="AI47" s="113">
        <v>13414.2274</v>
      </c>
      <c r="AJ47" s="33">
        <f t="shared" si="87"/>
        <v>-14.500000001135049</v>
      </c>
      <c r="AK47" s="33">
        <f t="shared" si="88"/>
        <v>-0.59999999939464033</v>
      </c>
      <c r="AL47" s="72">
        <f t="shared" si="89"/>
        <v>14.51240848488596</v>
      </c>
      <c r="AM47" s="136" t="s">
        <v>27</v>
      </c>
      <c r="AN47" s="137"/>
      <c r="AO47" s="33" t="s">
        <v>17</v>
      </c>
      <c r="AP47" s="33" t="s">
        <v>17</v>
      </c>
      <c r="AQ47" s="33" t="s">
        <v>17</v>
      </c>
      <c r="AR47" s="136" t="s">
        <v>27</v>
      </c>
      <c r="AS47" s="137"/>
      <c r="AT47" s="33" t="s">
        <v>17</v>
      </c>
      <c r="AU47" s="33" t="s">
        <v>17</v>
      </c>
      <c r="AV47" s="33" t="s">
        <v>17</v>
      </c>
      <c r="AW47" s="136" t="s">
        <v>27</v>
      </c>
      <c r="AX47" s="137"/>
      <c r="AY47" s="33" t="s">
        <v>17</v>
      </c>
      <c r="AZ47" s="33" t="s">
        <v>17</v>
      </c>
      <c r="BA47" s="33" t="s">
        <v>17</v>
      </c>
      <c r="BB47" s="136" t="s">
        <v>27</v>
      </c>
      <c r="BC47" s="137"/>
      <c r="BD47" s="33" t="s">
        <v>17</v>
      </c>
      <c r="BE47" s="33" t="s">
        <v>17</v>
      </c>
      <c r="BF47" s="33" t="s">
        <v>17</v>
      </c>
      <c r="BG47" s="136" t="s">
        <v>27</v>
      </c>
      <c r="BH47" s="137"/>
      <c r="BI47" s="33" t="s">
        <v>17</v>
      </c>
      <c r="BJ47" s="33" t="s">
        <v>17</v>
      </c>
      <c r="BK47" s="33" t="s">
        <v>17</v>
      </c>
      <c r="BL47" s="32">
        <v>38</v>
      </c>
    </row>
    <row r="48" spans="3:66" x14ac:dyDescent="0.3">
      <c r="C48" s="32">
        <v>39</v>
      </c>
      <c r="D48" s="34">
        <v>14601.5826</v>
      </c>
      <c r="E48" s="34">
        <v>13427.015299999999</v>
      </c>
      <c r="F48" s="33">
        <v>0</v>
      </c>
      <c r="G48" s="33">
        <v>0</v>
      </c>
      <c r="H48" s="33">
        <v>0</v>
      </c>
      <c r="I48" s="48">
        <v>14601.578600000001</v>
      </c>
      <c r="J48" s="48">
        <v>13427.025100000001</v>
      </c>
      <c r="K48" s="33">
        <f t="shared" si="69"/>
        <v>-3.9999999989959178</v>
      </c>
      <c r="L48" s="33">
        <f t="shared" si="70"/>
        <v>9.8000000016327249</v>
      </c>
      <c r="M48" s="33">
        <f t="shared" si="71"/>
        <v>10.584894899051609</v>
      </c>
      <c r="N48" s="71">
        <v>14601.574999999999</v>
      </c>
      <c r="O48" s="71">
        <v>13427.027</v>
      </c>
      <c r="P48" s="72">
        <f t="shared" si="72"/>
        <v>-7.600000000820728</v>
      </c>
      <c r="Q48" s="72">
        <f t="shared" si="73"/>
        <v>11.700000000928412</v>
      </c>
      <c r="R48" s="72">
        <f t="shared" si="74"/>
        <v>13.951702406308698</v>
      </c>
      <c r="S48" s="71">
        <v>14601.574999999999</v>
      </c>
      <c r="T48" s="71">
        <v>13427.028</v>
      </c>
      <c r="U48" s="72">
        <f t="shared" si="75"/>
        <v>-7.600000000820728</v>
      </c>
      <c r="V48" s="72">
        <f t="shared" si="76"/>
        <v>12.700000001132139</v>
      </c>
      <c r="W48" s="72">
        <f t="shared" si="77"/>
        <v>14.800337835374956</v>
      </c>
      <c r="X48" s="71">
        <v>14601.5761</v>
      </c>
      <c r="Y48" s="71">
        <v>13427.029399999999</v>
      </c>
      <c r="Z48" s="72">
        <f t="shared" si="78"/>
        <v>-6.4999999995052349</v>
      </c>
      <c r="AA48" s="72">
        <f t="shared" si="79"/>
        <v>14.100000000325963</v>
      </c>
      <c r="AB48" s="72">
        <f t="shared" si="80"/>
        <v>15.526107045964878</v>
      </c>
      <c r="AC48" s="71">
        <v>14601.5761</v>
      </c>
      <c r="AD48" s="71">
        <v>13427.0275</v>
      </c>
      <c r="AE48" s="33">
        <f t="shared" si="81"/>
        <v>-6.4999999995052349</v>
      </c>
      <c r="AF48" s="33">
        <f t="shared" si="82"/>
        <v>12.200000001030276</v>
      </c>
      <c r="AG48" s="33">
        <f t="shared" si="83"/>
        <v>13.823530664005732</v>
      </c>
      <c r="AH48" s="113">
        <v>14601.575999999999</v>
      </c>
      <c r="AI48" s="113">
        <v>13427.029399999999</v>
      </c>
      <c r="AJ48" s="33">
        <f t="shared" si="87"/>
        <v>-6.6000000006170012</v>
      </c>
      <c r="AK48" s="33">
        <f t="shared" si="88"/>
        <v>14.100000000325963</v>
      </c>
      <c r="AL48" s="72">
        <f t="shared" si="89"/>
        <v>15.568236894951738</v>
      </c>
      <c r="AM48" s="136" t="s">
        <v>27</v>
      </c>
      <c r="AN48" s="137"/>
      <c r="AO48" s="33" t="s">
        <v>17</v>
      </c>
      <c r="AP48" s="33" t="s">
        <v>17</v>
      </c>
      <c r="AQ48" s="33" t="s">
        <v>17</v>
      </c>
      <c r="AR48" s="136" t="s">
        <v>27</v>
      </c>
      <c r="AS48" s="137"/>
      <c r="AT48" s="33" t="s">
        <v>17</v>
      </c>
      <c r="AU48" s="33" t="s">
        <v>17</v>
      </c>
      <c r="AV48" s="33" t="s">
        <v>17</v>
      </c>
      <c r="AW48" s="136" t="s">
        <v>27</v>
      </c>
      <c r="AX48" s="137"/>
      <c r="AY48" s="33" t="s">
        <v>17</v>
      </c>
      <c r="AZ48" s="33" t="s">
        <v>17</v>
      </c>
      <c r="BA48" s="33" t="s">
        <v>17</v>
      </c>
      <c r="BB48" s="136" t="s">
        <v>27</v>
      </c>
      <c r="BC48" s="137"/>
      <c r="BD48" s="33" t="s">
        <v>17</v>
      </c>
      <c r="BE48" s="33" t="s">
        <v>17</v>
      </c>
      <c r="BF48" s="33" t="s">
        <v>17</v>
      </c>
      <c r="BG48" s="136" t="s">
        <v>27</v>
      </c>
      <c r="BH48" s="137"/>
      <c r="BI48" s="33" t="s">
        <v>17</v>
      </c>
      <c r="BJ48" s="33" t="s">
        <v>17</v>
      </c>
      <c r="BK48" s="33" t="s">
        <v>17</v>
      </c>
      <c r="BL48" s="32">
        <v>39</v>
      </c>
    </row>
    <row r="49" spans="3:66" x14ac:dyDescent="0.3">
      <c r="C49" s="32">
        <v>40</v>
      </c>
      <c r="D49" s="34">
        <v>14604.7793</v>
      </c>
      <c r="E49" s="34">
        <v>13437.786</v>
      </c>
      <c r="F49" s="33">
        <v>0</v>
      </c>
      <c r="G49" s="33">
        <v>0</v>
      </c>
      <c r="H49" s="33">
        <v>0</v>
      </c>
      <c r="I49" s="48">
        <v>14604.777700000001</v>
      </c>
      <c r="J49" s="48">
        <v>13437.799300000001</v>
      </c>
      <c r="K49" s="33">
        <f t="shared" si="69"/>
        <v>-1.5999999995983671</v>
      </c>
      <c r="L49" s="33">
        <f t="shared" si="70"/>
        <v>13.300000000526779</v>
      </c>
      <c r="M49" s="33">
        <f t="shared" si="71"/>
        <v>13.395894894060909</v>
      </c>
      <c r="N49" s="71">
        <v>14604.77</v>
      </c>
      <c r="O49" s="71">
        <v>13437.802</v>
      </c>
      <c r="P49" s="72">
        <f t="shared" si="72"/>
        <v>-9.2999999997118721</v>
      </c>
      <c r="Q49" s="72">
        <f t="shared" si="73"/>
        <v>15.99999999962165</v>
      </c>
      <c r="R49" s="72">
        <f t="shared" si="74"/>
        <v>18.506485349264285</v>
      </c>
      <c r="S49" s="71">
        <v>14604.776</v>
      </c>
      <c r="T49" s="71">
        <v>13437.798999999999</v>
      </c>
      <c r="U49" s="72">
        <f t="shared" si="75"/>
        <v>-3.3000000003085006</v>
      </c>
      <c r="V49" s="72">
        <f t="shared" si="76"/>
        <v>12.99999999901047</v>
      </c>
      <c r="W49" s="72">
        <f t="shared" si="77"/>
        <v>13.41230777965926</v>
      </c>
      <c r="X49" s="71">
        <v>14604.773999999999</v>
      </c>
      <c r="Y49" s="71">
        <v>13437.7968</v>
      </c>
      <c r="Z49" s="72">
        <f t="shared" si="78"/>
        <v>-5.3000000007159542</v>
      </c>
      <c r="AA49" s="72">
        <f t="shared" si="79"/>
        <v>10.800000000017462</v>
      </c>
      <c r="AB49" s="72">
        <f t="shared" si="80"/>
        <v>12.030378215499557</v>
      </c>
      <c r="AC49" s="71">
        <v>14604.772199999999</v>
      </c>
      <c r="AD49" s="71">
        <v>13437.796899999999</v>
      </c>
      <c r="AE49" s="33">
        <f t="shared" si="81"/>
        <v>-7.1000000007188646</v>
      </c>
      <c r="AF49" s="33">
        <f t="shared" si="82"/>
        <v>10.899999999310239</v>
      </c>
      <c r="AG49" s="33">
        <f t="shared" si="83"/>
        <v>13.00845878631174</v>
      </c>
      <c r="AH49" s="113">
        <v>14604.7721</v>
      </c>
      <c r="AI49" s="113">
        <v>13437.7943</v>
      </c>
      <c r="AJ49" s="33">
        <f t="shared" si="87"/>
        <v>-7.2000000000116415</v>
      </c>
      <c r="AK49" s="33">
        <f t="shared" si="88"/>
        <v>8.2999999995081453</v>
      </c>
      <c r="AL49" s="72">
        <f t="shared" si="89"/>
        <v>10.987720418358069</v>
      </c>
      <c r="AM49" s="136" t="s">
        <v>27</v>
      </c>
      <c r="AN49" s="137"/>
      <c r="AO49" s="33" t="s">
        <v>17</v>
      </c>
      <c r="AP49" s="33" t="s">
        <v>17</v>
      </c>
      <c r="AQ49" s="33" t="s">
        <v>17</v>
      </c>
      <c r="AR49" s="136" t="s">
        <v>27</v>
      </c>
      <c r="AS49" s="137"/>
      <c r="AT49" s="33" t="s">
        <v>17</v>
      </c>
      <c r="AU49" s="33" t="s">
        <v>17</v>
      </c>
      <c r="AV49" s="33" t="s">
        <v>17</v>
      </c>
      <c r="AW49" s="136" t="s">
        <v>27</v>
      </c>
      <c r="AX49" s="137"/>
      <c r="AY49" s="33" t="s">
        <v>17</v>
      </c>
      <c r="AZ49" s="33" t="s">
        <v>17</v>
      </c>
      <c r="BA49" s="33" t="s">
        <v>17</v>
      </c>
      <c r="BB49" s="136" t="s">
        <v>27</v>
      </c>
      <c r="BC49" s="137"/>
      <c r="BD49" s="33" t="s">
        <v>17</v>
      </c>
      <c r="BE49" s="33" t="s">
        <v>17</v>
      </c>
      <c r="BF49" s="33" t="s">
        <v>17</v>
      </c>
      <c r="BG49" s="136" t="s">
        <v>27</v>
      </c>
      <c r="BH49" s="137"/>
      <c r="BI49" s="33" t="s">
        <v>17</v>
      </c>
      <c r="BJ49" s="33" t="s">
        <v>17</v>
      </c>
      <c r="BK49" s="33" t="s">
        <v>17</v>
      </c>
      <c r="BL49" s="32">
        <v>40</v>
      </c>
    </row>
    <row r="50" spans="3:66" x14ac:dyDescent="0.3">
      <c r="C50" s="32">
        <v>41</v>
      </c>
      <c r="D50" s="34">
        <v>14608.5185</v>
      </c>
      <c r="E50" s="34">
        <v>13449.8932</v>
      </c>
      <c r="F50" s="33">
        <v>0</v>
      </c>
      <c r="G50" s="33">
        <v>0</v>
      </c>
      <c r="H50" s="33">
        <v>0</v>
      </c>
      <c r="I50" s="48">
        <v>14608.512199999999</v>
      </c>
      <c r="J50" s="48">
        <v>13449.9023</v>
      </c>
      <c r="K50" s="33">
        <f t="shared" si="69"/>
        <v>-6.300000000919681</v>
      </c>
      <c r="L50" s="33">
        <f t="shared" si="70"/>
        <v>9.0999999993073288</v>
      </c>
      <c r="M50" s="33">
        <f t="shared" si="71"/>
        <v>11.067971810543311</v>
      </c>
      <c r="N50" s="71">
        <v>14608.504000000001</v>
      </c>
      <c r="O50" s="71">
        <v>13449.913</v>
      </c>
      <c r="P50" s="72">
        <f t="shared" si="72"/>
        <v>-14.49999999931606</v>
      </c>
      <c r="Q50" s="72">
        <f t="shared" si="73"/>
        <v>19.800000000032014</v>
      </c>
      <c r="R50" s="72">
        <f t="shared" si="74"/>
        <v>24.54159733964832</v>
      </c>
      <c r="S50" s="71">
        <v>14608.498000000001</v>
      </c>
      <c r="T50" s="71">
        <v>13449.907000000001</v>
      </c>
      <c r="U50" s="72">
        <f t="shared" si="75"/>
        <v>-20.499999998719431</v>
      </c>
      <c r="V50" s="72">
        <f t="shared" si="76"/>
        <v>13.800000000628643</v>
      </c>
      <c r="W50" s="72">
        <f t="shared" si="77"/>
        <v>24.712142763525126</v>
      </c>
      <c r="X50" s="71">
        <v>14608.501</v>
      </c>
      <c r="Y50" s="71">
        <v>13449.9043</v>
      </c>
      <c r="Z50" s="72">
        <f t="shared" si="78"/>
        <v>-17.49999999992724</v>
      </c>
      <c r="AA50" s="72">
        <f t="shared" si="79"/>
        <v>11.099999999714782</v>
      </c>
      <c r="AB50" s="72">
        <f t="shared" si="80"/>
        <v>20.723416706497062</v>
      </c>
      <c r="AC50" s="71">
        <v>14608.5016</v>
      </c>
      <c r="AD50" s="71">
        <v>13449.9025</v>
      </c>
      <c r="AE50" s="33">
        <f t="shared" si="81"/>
        <v>-16.9000000005326</v>
      </c>
      <c r="AF50" s="33">
        <f t="shared" si="82"/>
        <v>9.2999999997118721</v>
      </c>
      <c r="AG50" s="33">
        <f t="shared" si="83"/>
        <v>19.289893727354816</v>
      </c>
      <c r="AH50" s="113">
        <v>14608.5016</v>
      </c>
      <c r="AI50" s="113">
        <v>13449.9058</v>
      </c>
      <c r="AJ50" s="33">
        <f t="shared" si="87"/>
        <v>-16.9000000005326</v>
      </c>
      <c r="AK50" s="33">
        <f t="shared" si="88"/>
        <v>12.600000000020373</v>
      </c>
      <c r="AL50" s="72">
        <f t="shared" si="89"/>
        <v>21.080085389260532</v>
      </c>
      <c r="AM50" s="136" t="s">
        <v>27</v>
      </c>
      <c r="AN50" s="137"/>
      <c r="AO50" s="33" t="s">
        <v>17</v>
      </c>
      <c r="AP50" s="33" t="s">
        <v>17</v>
      </c>
      <c r="AQ50" s="33" t="s">
        <v>17</v>
      </c>
      <c r="AR50" s="136" t="s">
        <v>27</v>
      </c>
      <c r="AS50" s="137"/>
      <c r="AT50" s="33" t="s">
        <v>17</v>
      </c>
      <c r="AU50" s="33" t="s">
        <v>17</v>
      </c>
      <c r="AV50" s="33" t="s">
        <v>17</v>
      </c>
      <c r="AW50" s="136" t="s">
        <v>27</v>
      </c>
      <c r="AX50" s="137"/>
      <c r="AY50" s="33" t="s">
        <v>17</v>
      </c>
      <c r="AZ50" s="33" t="s">
        <v>17</v>
      </c>
      <c r="BA50" s="33" t="s">
        <v>17</v>
      </c>
      <c r="BB50" s="136" t="s">
        <v>27</v>
      </c>
      <c r="BC50" s="137"/>
      <c r="BD50" s="33" t="s">
        <v>17</v>
      </c>
      <c r="BE50" s="33" t="s">
        <v>17</v>
      </c>
      <c r="BF50" s="33" t="s">
        <v>17</v>
      </c>
      <c r="BG50" s="136" t="s">
        <v>27</v>
      </c>
      <c r="BH50" s="137"/>
      <c r="BI50" s="33" t="s">
        <v>17</v>
      </c>
      <c r="BJ50" s="33" t="s">
        <v>17</v>
      </c>
      <c r="BK50" s="33" t="s">
        <v>17</v>
      </c>
      <c r="BL50" s="32">
        <v>41</v>
      </c>
    </row>
    <row r="51" spans="3:66" x14ac:dyDescent="0.3">
      <c r="C51" s="32">
        <v>42</v>
      </c>
      <c r="D51" s="34">
        <v>14611.733200000001</v>
      </c>
      <c r="E51" s="34">
        <v>13460.552</v>
      </c>
      <c r="F51" s="33">
        <v>0</v>
      </c>
      <c r="G51" s="33">
        <v>0</v>
      </c>
      <c r="H51" s="33">
        <v>0</v>
      </c>
      <c r="I51" s="48">
        <v>14611.7392</v>
      </c>
      <c r="J51" s="48">
        <v>13460.5579</v>
      </c>
      <c r="K51" s="33">
        <f t="shared" si="69"/>
        <v>5.9999999994033715</v>
      </c>
      <c r="L51" s="33">
        <f t="shared" si="70"/>
        <v>5.9000000001105946</v>
      </c>
      <c r="M51" s="33">
        <f t="shared" si="71"/>
        <v>8.4148677942167023</v>
      </c>
      <c r="N51" s="71">
        <v>14611.726000000001</v>
      </c>
      <c r="O51" s="71">
        <v>13460.566000000001</v>
      </c>
      <c r="P51" s="72">
        <f t="shared" si="72"/>
        <v>-7.2000000000116415</v>
      </c>
      <c r="Q51" s="72">
        <f t="shared" si="73"/>
        <v>14.000000001033186</v>
      </c>
      <c r="R51" s="72">
        <f t="shared" si="74"/>
        <v>15.742934924247665</v>
      </c>
      <c r="S51" s="71">
        <v>14611.726000000001</v>
      </c>
      <c r="T51" s="71">
        <v>13460.565000000001</v>
      </c>
      <c r="U51" s="72">
        <f t="shared" si="75"/>
        <v>-7.2000000000116415</v>
      </c>
      <c r="V51" s="72">
        <f t="shared" si="76"/>
        <v>13.000000000829459</v>
      </c>
      <c r="W51" s="72">
        <f t="shared" si="77"/>
        <v>14.860686391339183</v>
      </c>
      <c r="X51" s="71">
        <v>14611.7246</v>
      </c>
      <c r="Y51" s="71">
        <v>13460.5682</v>
      </c>
      <c r="Z51" s="72">
        <f t="shared" si="78"/>
        <v>-8.6000000010244548</v>
      </c>
      <c r="AA51" s="72">
        <f t="shared" si="79"/>
        <v>16.200000000026193</v>
      </c>
      <c r="AB51" s="72">
        <f t="shared" si="80"/>
        <v>18.341210429480093</v>
      </c>
      <c r="AC51" s="71">
        <v>14611.723099999999</v>
      </c>
      <c r="AD51" s="71">
        <v>13460.567999999999</v>
      </c>
      <c r="AE51" s="33">
        <f t="shared" si="81"/>
        <v>-10.100000001330045</v>
      </c>
      <c r="AF51" s="33">
        <f t="shared" si="82"/>
        <v>15.99999999962165</v>
      </c>
      <c r="AG51" s="33">
        <f t="shared" si="83"/>
        <v>18.921152185180471</v>
      </c>
      <c r="AH51" s="113">
        <v>14611.7261</v>
      </c>
      <c r="AI51" s="113">
        <v>13460.569</v>
      </c>
      <c r="AJ51" s="33">
        <f t="shared" si="87"/>
        <v>-7.1000000007188646</v>
      </c>
      <c r="AK51" s="33">
        <f t="shared" si="88"/>
        <v>16.999999999825377</v>
      </c>
      <c r="AL51" s="72">
        <f t="shared" si="89"/>
        <v>18.423083346830701</v>
      </c>
      <c r="AM51" s="136" t="s">
        <v>27</v>
      </c>
      <c r="AN51" s="137"/>
      <c r="AO51" s="33" t="s">
        <v>17</v>
      </c>
      <c r="AP51" s="33" t="s">
        <v>17</v>
      </c>
      <c r="AQ51" s="33" t="s">
        <v>17</v>
      </c>
      <c r="AR51" s="136" t="s">
        <v>27</v>
      </c>
      <c r="AS51" s="137"/>
      <c r="AT51" s="33" t="s">
        <v>17</v>
      </c>
      <c r="AU51" s="33" t="s">
        <v>17</v>
      </c>
      <c r="AV51" s="33" t="s">
        <v>17</v>
      </c>
      <c r="AW51" s="136" t="s">
        <v>27</v>
      </c>
      <c r="AX51" s="137"/>
      <c r="AY51" s="33" t="s">
        <v>17</v>
      </c>
      <c r="AZ51" s="33" t="s">
        <v>17</v>
      </c>
      <c r="BA51" s="33" t="s">
        <v>17</v>
      </c>
      <c r="BB51" s="136" t="s">
        <v>27</v>
      </c>
      <c r="BC51" s="137"/>
      <c r="BD51" s="33" t="s">
        <v>17</v>
      </c>
      <c r="BE51" s="33" t="s">
        <v>17</v>
      </c>
      <c r="BF51" s="33" t="s">
        <v>17</v>
      </c>
      <c r="BG51" s="136" t="s">
        <v>27</v>
      </c>
      <c r="BH51" s="137"/>
      <c r="BI51" s="33" t="s">
        <v>17</v>
      </c>
      <c r="BJ51" s="33" t="s">
        <v>17</v>
      </c>
      <c r="BK51" s="33" t="s">
        <v>17</v>
      </c>
      <c r="BL51" s="32">
        <v>42</v>
      </c>
    </row>
    <row r="52" spans="3:66" x14ac:dyDescent="0.3">
      <c r="C52" s="32">
        <v>43</v>
      </c>
      <c r="D52" s="34">
        <v>14615.5082</v>
      </c>
      <c r="E52" s="34">
        <v>13473.227000000001</v>
      </c>
      <c r="F52" s="33">
        <v>0</v>
      </c>
      <c r="G52" s="33">
        <v>0</v>
      </c>
      <c r="H52" s="33">
        <v>0</v>
      </c>
      <c r="I52" s="48">
        <v>14615.495800000001</v>
      </c>
      <c r="J52" s="48">
        <v>13473.232900000001</v>
      </c>
      <c r="K52" s="33">
        <f t="shared" si="69"/>
        <v>-12.399999999615829</v>
      </c>
      <c r="L52" s="33">
        <f t="shared" si="70"/>
        <v>5.9000000001105946</v>
      </c>
      <c r="M52" s="33">
        <f t="shared" si="71"/>
        <v>13.732079230465342</v>
      </c>
      <c r="N52" s="71">
        <v>14615.495999999999</v>
      </c>
      <c r="O52" s="71">
        <v>13473.233</v>
      </c>
      <c r="P52" s="72">
        <f t="shared" si="72"/>
        <v>-12.200000001030276</v>
      </c>
      <c r="Q52" s="72">
        <f t="shared" si="73"/>
        <v>5.9999999994033715</v>
      </c>
      <c r="R52" s="72">
        <f t="shared" si="74"/>
        <v>13.595587520147086</v>
      </c>
      <c r="S52" s="71">
        <v>14615.49</v>
      </c>
      <c r="T52" s="71">
        <v>13473.236000000001</v>
      </c>
      <c r="U52" s="72">
        <f t="shared" si="75"/>
        <v>-18.200000000433647</v>
      </c>
      <c r="V52" s="72">
        <f t="shared" si="76"/>
        <v>9.0000000000145519</v>
      </c>
      <c r="W52" s="72">
        <f t="shared" si="77"/>
        <v>20.303694245531936</v>
      </c>
      <c r="X52" s="71">
        <v>14615.4876</v>
      </c>
      <c r="Y52" s="71">
        <v>13473.2369</v>
      </c>
      <c r="Z52" s="72">
        <f t="shared" si="78"/>
        <v>-20.599999999831198</v>
      </c>
      <c r="AA52" s="72">
        <f t="shared" si="79"/>
        <v>9.8999999991065124</v>
      </c>
      <c r="AB52" s="72">
        <f t="shared" si="80"/>
        <v>22.855415112733226</v>
      </c>
      <c r="AC52" s="71">
        <v>14615.486800000001</v>
      </c>
      <c r="AD52" s="71">
        <v>13473.238300000001</v>
      </c>
      <c r="AE52" s="33">
        <f t="shared" si="81"/>
        <v>-21.399999999630381</v>
      </c>
      <c r="AF52" s="33">
        <f t="shared" si="82"/>
        <v>11.300000000119326</v>
      </c>
      <c r="AG52" s="33">
        <f t="shared" si="83"/>
        <v>24.200206610417133</v>
      </c>
      <c r="AH52" s="113">
        <v>14615.489100000001</v>
      </c>
      <c r="AI52" s="113">
        <v>13473.237800000001</v>
      </c>
      <c r="AJ52" s="33">
        <f t="shared" si="87"/>
        <v>-19.099999999525608</v>
      </c>
      <c r="AK52" s="33">
        <f t="shared" si="88"/>
        <v>10.800000000017462</v>
      </c>
      <c r="AL52" s="72">
        <f t="shared" si="89"/>
        <v>21.941968917630327</v>
      </c>
      <c r="AM52" s="136" t="s">
        <v>27</v>
      </c>
      <c r="AN52" s="137"/>
      <c r="AO52" s="33" t="s">
        <v>17</v>
      </c>
      <c r="AP52" s="33" t="s">
        <v>17</v>
      </c>
      <c r="AQ52" s="33" t="s">
        <v>17</v>
      </c>
      <c r="AR52" s="136" t="s">
        <v>27</v>
      </c>
      <c r="AS52" s="137"/>
      <c r="AT52" s="33" t="s">
        <v>17</v>
      </c>
      <c r="AU52" s="33" t="s">
        <v>17</v>
      </c>
      <c r="AV52" s="33" t="s">
        <v>17</v>
      </c>
      <c r="AW52" s="136" t="s">
        <v>27</v>
      </c>
      <c r="AX52" s="137"/>
      <c r="AY52" s="33" t="s">
        <v>17</v>
      </c>
      <c r="AZ52" s="33" t="s">
        <v>17</v>
      </c>
      <c r="BA52" s="33" t="s">
        <v>17</v>
      </c>
      <c r="BB52" s="136" t="s">
        <v>27</v>
      </c>
      <c r="BC52" s="137"/>
      <c r="BD52" s="33" t="s">
        <v>17</v>
      </c>
      <c r="BE52" s="33" t="s">
        <v>17</v>
      </c>
      <c r="BF52" s="33" t="s">
        <v>17</v>
      </c>
      <c r="BG52" s="136" t="s">
        <v>27</v>
      </c>
      <c r="BH52" s="137"/>
      <c r="BI52" s="33" t="s">
        <v>17</v>
      </c>
      <c r="BJ52" s="33" t="s">
        <v>17</v>
      </c>
      <c r="BK52" s="33" t="s">
        <v>17</v>
      </c>
      <c r="BL52" s="32">
        <v>43</v>
      </c>
    </row>
    <row r="53" spans="3:66" x14ac:dyDescent="0.3">
      <c r="C53" s="32">
        <v>44</v>
      </c>
      <c r="D53" s="34">
        <v>14619.208699999999</v>
      </c>
      <c r="E53" s="34">
        <v>13487.9653</v>
      </c>
      <c r="F53" s="33">
        <v>0</v>
      </c>
      <c r="G53" s="33">
        <v>0</v>
      </c>
      <c r="H53" s="33">
        <v>0</v>
      </c>
      <c r="I53" s="149" t="s">
        <v>27</v>
      </c>
      <c r="J53" s="150"/>
      <c r="K53" s="33" t="s">
        <v>17</v>
      </c>
      <c r="L53" s="33" t="s">
        <v>17</v>
      </c>
      <c r="M53" s="33" t="s">
        <v>17</v>
      </c>
      <c r="N53" s="136" t="s">
        <v>27</v>
      </c>
      <c r="O53" s="137"/>
      <c r="P53" s="72" t="s">
        <v>17</v>
      </c>
      <c r="Q53" s="72" t="s">
        <v>17</v>
      </c>
      <c r="R53" s="72" t="s">
        <v>17</v>
      </c>
      <c r="S53" s="136" t="s">
        <v>27</v>
      </c>
      <c r="T53" s="137"/>
      <c r="U53" s="72" t="s">
        <v>17</v>
      </c>
      <c r="V53" s="72" t="s">
        <v>17</v>
      </c>
      <c r="W53" s="72" t="s">
        <v>17</v>
      </c>
      <c r="X53" s="136" t="s">
        <v>27</v>
      </c>
      <c r="Y53" s="137"/>
      <c r="Z53" s="72" t="s">
        <v>17</v>
      </c>
      <c r="AA53" s="72" t="s">
        <v>17</v>
      </c>
      <c r="AB53" s="72" t="s">
        <v>17</v>
      </c>
      <c r="AC53" s="136" t="s">
        <v>27</v>
      </c>
      <c r="AD53" s="137"/>
      <c r="AE53" s="33" t="s">
        <v>17</v>
      </c>
      <c r="AF53" s="33" t="s">
        <v>17</v>
      </c>
      <c r="AG53" s="33" t="s">
        <v>17</v>
      </c>
      <c r="AH53" s="136" t="s">
        <v>27</v>
      </c>
      <c r="AI53" s="137"/>
      <c r="AJ53" s="33" t="s">
        <v>17</v>
      </c>
      <c r="AK53" s="33" t="s">
        <v>17</v>
      </c>
      <c r="AL53" s="33" t="s">
        <v>17</v>
      </c>
      <c r="AM53" s="136" t="s">
        <v>27</v>
      </c>
      <c r="AN53" s="137"/>
      <c r="AO53" s="33" t="s">
        <v>17</v>
      </c>
      <c r="AP53" s="33" t="s">
        <v>17</v>
      </c>
      <c r="AQ53" s="33" t="s">
        <v>17</v>
      </c>
      <c r="AR53" s="136" t="s">
        <v>27</v>
      </c>
      <c r="AS53" s="137"/>
      <c r="AT53" s="33" t="s">
        <v>17</v>
      </c>
      <c r="AU53" s="33" t="s">
        <v>17</v>
      </c>
      <c r="AV53" s="33" t="s">
        <v>17</v>
      </c>
      <c r="AW53" s="136" t="s">
        <v>27</v>
      </c>
      <c r="AX53" s="137"/>
      <c r="AY53" s="33" t="s">
        <v>17</v>
      </c>
      <c r="AZ53" s="33" t="s">
        <v>17</v>
      </c>
      <c r="BA53" s="33" t="s">
        <v>17</v>
      </c>
      <c r="BB53" s="136" t="s">
        <v>27</v>
      </c>
      <c r="BC53" s="137"/>
      <c r="BD53" s="33" t="s">
        <v>17</v>
      </c>
      <c r="BE53" s="33" t="s">
        <v>17</v>
      </c>
      <c r="BF53" s="33" t="s">
        <v>17</v>
      </c>
      <c r="BG53" s="136" t="s">
        <v>27</v>
      </c>
      <c r="BH53" s="137"/>
      <c r="BI53" s="33" t="s">
        <v>17</v>
      </c>
      <c r="BJ53" s="33" t="s">
        <v>17</v>
      </c>
      <c r="BK53" s="33" t="s">
        <v>17</v>
      </c>
      <c r="BL53" s="32">
        <v>44</v>
      </c>
    </row>
    <row r="54" spans="3:66" ht="16.5" customHeight="1" x14ac:dyDescent="0.3">
      <c r="C54" s="32">
        <v>45</v>
      </c>
      <c r="D54" s="34">
        <v>14610.167600000001</v>
      </c>
      <c r="E54" s="34">
        <v>13497.891799999999</v>
      </c>
      <c r="F54" s="33">
        <v>0</v>
      </c>
      <c r="G54" s="33">
        <v>0</v>
      </c>
      <c r="H54" s="33">
        <v>0</v>
      </c>
      <c r="I54" s="149" t="s">
        <v>27</v>
      </c>
      <c r="J54" s="150"/>
      <c r="K54" s="33" t="s">
        <v>17</v>
      </c>
      <c r="L54" s="33" t="s">
        <v>17</v>
      </c>
      <c r="M54" s="33" t="s">
        <v>17</v>
      </c>
      <c r="N54" s="136" t="s">
        <v>27</v>
      </c>
      <c r="O54" s="137"/>
      <c r="P54" s="72" t="s">
        <v>17</v>
      </c>
      <c r="Q54" s="72" t="s">
        <v>17</v>
      </c>
      <c r="R54" s="72" t="s">
        <v>17</v>
      </c>
      <c r="S54" s="136" t="s">
        <v>27</v>
      </c>
      <c r="T54" s="137"/>
      <c r="U54" s="72" t="s">
        <v>17</v>
      </c>
      <c r="V54" s="72" t="s">
        <v>17</v>
      </c>
      <c r="W54" s="72" t="s">
        <v>17</v>
      </c>
      <c r="X54" s="136" t="s">
        <v>27</v>
      </c>
      <c r="Y54" s="137"/>
      <c r="Z54" s="72" t="s">
        <v>17</v>
      </c>
      <c r="AA54" s="72" t="s">
        <v>17</v>
      </c>
      <c r="AB54" s="72" t="s">
        <v>17</v>
      </c>
      <c r="AC54" s="136" t="s">
        <v>27</v>
      </c>
      <c r="AD54" s="137"/>
      <c r="AE54" s="33" t="s">
        <v>17</v>
      </c>
      <c r="AF54" s="33" t="s">
        <v>17</v>
      </c>
      <c r="AG54" s="33" t="s">
        <v>17</v>
      </c>
      <c r="AH54" s="136" t="s">
        <v>27</v>
      </c>
      <c r="AI54" s="137"/>
      <c r="AJ54" s="33" t="s">
        <v>17</v>
      </c>
      <c r="AK54" s="33" t="s">
        <v>17</v>
      </c>
      <c r="AL54" s="33" t="s">
        <v>17</v>
      </c>
      <c r="AM54" s="136" t="s">
        <v>27</v>
      </c>
      <c r="AN54" s="137"/>
      <c r="AO54" s="33" t="s">
        <v>17</v>
      </c>
      <c r="AP54" s="33" t="s">
        <v>17</v>
      </c>
      <c r="AQ54" s="33" t="s">
        <v>17</v>
      </c>
      <c r="AR54" s="136" t="s">
        <v>27</v>
      </c>
      <c r="AS54" s="137"/>
      <c r="AT54" s="33" t="s">
        <v>17</v>
      </c>
      <c r="AU54" s="33" t="s">
        <v>17</v>
      </c>
      <c r="AV54" s="33" t="s">
        <v>17</v>
      </c>
      <c r="AW54" s="136" t="s">
        <v>27</v>
      </c>
      <c r="AX54" s="137"/>
      <c r="AY54" s="33" t="s">
        <v>17</v>
      </c>
      <c r="AZ54" s="33" t="s">
        <v>17</v>
      </c>
      <c r="BA54" s="33" t="s">
        <v>17</v>
      </c>
      <c r="BB54" s="136" t="s">
        <v>27</v>
      </c>
      <c r="BC54" s="137"/>
      <c r="BD54" s="33" t="s">
        <v>17</v>
      </c>
      <c r="BE54" s="33" t="s">
        <v>17</v>
      </c>
      <c r="BF54" s="33" t="s">
        <v>17</v>
      </c>
      <c r="BG54" s="136" t="s">
        <v>27</v>
      </c>
      <c r="BH54" s="137"/>
      <c r="BI54" s="33" t="s">
        <v>17</v>
      </c>
      <c r="BJ54" s="33" t="s">
        <v>17</v>
      </c>
      <c r="BK54" s="33" t="s">
        <v>17</v>
      </c>
      <c r="BL54" s="32">
        <v>45</v>
      </c>
    </row>
    <row r="55" spans="3:66" x14ac:dyDescent="0.3">
      <c r="C55" s="32">
        <v>46</v>
      </c>
      <c r="D55" s="34">
        <v>14598.295899999999</v>
      </c>
      <c r="E55" s="34">
        <v>13501.5823</v>
      </c>
      <c r="F55" s="33">
        <v>0</v>
      </c>
      <c r="G55" s="33">
        <v>0</v>
      </c>
      <c r="H55" s="33">
        <v>0</v>
      </c>
      <c r="I55" s="149" t="s">
        <v>27</v>
      </c>
      <c r="J55" s="150"/>
      <c r="K55" s="33" t="s">
        <v>17</v>
      </c>
      <c r="L55" s="33" t="s">
        <v>17</v>
      </c>
      <c r="M55" s="33" t="s">
        <v>17</v>
      </c>
      <c r="N55" s="136" t="s">
        <v>27</v>
      </c>
      <c r="O55" s="137"/>
      <c r="P55" s="72" t="s">
        <v>17</v>
      </c>
      <c r="Q55" s="72" t="s">
        <v>17</v>
      </c>
      <c r="R55" s="72" t="s">
        <v>17</v>
      </c>
      <c r="S55" s="136" t="s">
        <v>27</v>
      </c>
      <c r="T55" s="137"/>
      <c r="U55" s="72" t="s">
        <v>17</v>
      </c>
      <c r="V55" s="72" t="s">
        <v>17</v>
      </c>
      <c r="W55" s="72" t="s">
        <v>17</v>
      </c>
      <c r="X55" s="136" t="s">
        <v>27</v>
      </c>
      <c r="Y55" s="137"/>
      <c r="Z55" s="72" t="s">
        <v>17</v>
      </c>
      <c r="AA55" s="72" t="s">
        <v>17</v>
      </c>
      <c r="AB55" s="72" t="s">
        <v>17</v>
      </c>
      <c r="AC55" s="136" t="s">
        <v>27</v>
      </c>
      <c r="AD55" s="137"/>
      <c r="AE55" s="33" t="s">
        <v>17</v>
      </c>
      <c r="AF55" s="33" t="s">
        <v>17</v>
      </c>
      <c r="AG55" s="33" t="s">
        <v>17</v>
      </c>
      <c r="AH55" s="136" t="s">
        <v>27</v>
      </c>
      <c r="AI55" s="137"/>
      <c r="AJ55" s="33" t="s">
        <v>17</v>
      </c>
      <c r="AK55" s="33" t="s">
        <v>17</v>
      </c>
      <c r="AL55" s="33" t="s">
        <v>17</v>
      </c>
      <c r="AM55" s="136" t="s">
        <v>27</v>
      </c>
      <c r="AN55" s="137"/>
      <c r="AO55" s="33" t="s">
        <v>17</v>
      </c>
      <c r="AP55" s="33" t="s">
        <v>17</v>
      </c>
      <c r="AQ55" s="33" t="s">
        <v>17</v>
      </c>
      <c r="AR55" s="136" t="s">
        <v>27</v>
      </c>
      <c r="AS55" s="137"/>
      <c r="AT55" s="33" t="s">
        <v>17</v>
      </c>
      <c r="AU55" s="33" t="s">
        <v>17</v>
      </c>
      <c r="AV55" s="33" t="s">
        <v>17</v>
      </c>
      <c r="AW55" s="136" t="s">
        <v>27</v>
      </c>
      <c r="AX55" s="137"/>
      <c r="AY55" s="33" t="s">
        <v>17</v>
      </c>
      <c r="AZ55" s="33" t="s">
        <v>17</v>
      </c>
      <c r="BA55" s="33" t="s">
        <v>17</v>
      </c>
      <c r="BB55" s="136" t="s">
        <v>27</v>
      </c>
      <c r="BC55" s="137"/>
      <c r="BD55" s="33" t="s">
        <v>17</v>
      </c>
      <c r="BE55" s="33" t="s">
        <v>17</v>
      </c>
      <c r="BF55" s="33" t="s">
        <v>17</v>
      </c>
      <c r="BG55" s="136" t="s">
        <v>27</v>
      </c>
      <c r="BH55" s="137"/>
      <c r="BI55" s="33" t="s">
        <v>17</v>
      </c>
      <c r="BJ55" s="33" t="s">
        <v>17</v>
      </c>
      <c r="BK55" s="33" t="s">
        <v>17</v>
      </c>
      <c r="BL55" s="32">
        <v>46</v>
      </c>
    </row>
    <row r="56" spans="3:66" x14ac:dyDescent="0.3">
      <c r="C56" s="32">
        <v>47</v>
      </c>
      <c r="D56" s="34">
        <v>14583.7266</v>
      </c>
      <c r="E56" s="34">
        <v>13503.4087</v>
      </c>
      <c r="F56" s="33">
        <v>0</v>
      </c>
      <c r="G56" s="33">
        <v>0</v>
      </c>
      <c r="H56" s="33">
        <v>0</v>
      </c>
      <c r="I56" s="149" t="s">
        <v>27</v>
      </c>
      <c r="J56" s="150"/>
      <c r="K56" s="33" t="s">
        <v>17</v>
      </c>
      <c r="L56" s="33" t="s">
        <v>17</v>
      </c>
      <c r="M56" s="33" t="s">
        <v>17</v>
      </c>
      <c r="N56" s="136" t="s">
        <v>27</v>
      </c>
      <c r="O56" s="137"/>
      <c r="P56" s="72" t="s">
        <v>17</v>
      </c>
      <c r="Q56" s="72" t="s">
        <v>17</v>
      </c>
      <c r="R56" s="72" t="s">
        <v>17</v>
      </c>
      <c r="S56" s="136" t="s">
        <v>27</v>
      </c>
      <c r="T56" s="137"/>
      <c r="U56" s="72" t="s">
        <v>17</v>
      </c>
      <c r="V56" s="72" t="s">
        <v>17</v>
      </c>
      <c r="W56" s="72" t="s">
        <v>17</v>
      </c>
      <c r="X56" s="136" t="s">
        <v>27</v>
      </c>
      <c r="Y56" s="137"/>
      <c r="Z56" s="72" t="s">
        <v>17</v>
      </c>
      <c r="AA56" s="72" t="s">
        <v>17</v>
      </c>
      <c r="AB56" s="72" t="s">
        <v>17</v>
      </c>
      <c r="AC56" s="136" t="s">
        <v>27</v>
      </c>
      <c r="AD56" s="137"/>
      <c r="AE56" s="33" t="s">
        <v>17</v>
      </c>
      <c r="AF56" s="33" t="s">
        <v>17</v>
      </c>
      <c r="AG56" s="33" t="s">
        <v>17</v>
      </c>
      <c r="AH56" s="136" t="s">
        <v>27</v>
      </c>
      <c r="AI56" s="137"/>
      <c r="AJ56" s="33" t="s">
        <v>17</v>
      </c>
      <c r="AK56" s="33" t="s">
        <v>17</v>
      </c>
      <c r="AL56" s="33" t="s">
        <v>17</v>
      </c>
      <c r="AM56" s="136" t="s">
        <v>27</v>
      </c>
      <c r="AN56" s="137"/>
      <c r="AO56" s="33" t="s">
        <v>17</v>
      </c>
      <c r="AP56" s="33" t="s">
        <v>17</v>
      </c>
      <c r="AQ56" s="33" t="s">
        <v>17</v>
      </c>
      <c r="AR56" s="136" t="s">
        <v>27</v>
      </c>
      <c r="AS56" s="137"/>
      <c r="AT56" s="33" t="s">
        <v>17</v>
      </c>
      <c r="AU56" s="33" t="s">
        <v>17</v>
      </c>
      <c r="AV56" s="33" t="s">
        <v>17</v>
      </c>
      <c r="AW56" s="136" t="s">
        <v>27</v>
      </c>
      <c r="AX56" s="137"/>
      <c r="AY56" s="33" t="s">
        <v>17</v>
      </c>
      <c r="AZ56" s="33" t="s">
        <v>17</v>
      </c>
      <c r="BA56" s="33" t="s">
        <v>17</v>
      </c>
      <c r="BB56" s="136" t="s">
        <v>27</v>
      </c>
      <c r="BC56" s="137"/>
      <c r="BD56" s="33" t="s">
        <v>17</v>
      </c>
      <c r="BE56" s="33" t="s">
        <v>17</v>
      </c>
      <c r="BF56" s="33" t="s">
        <v>17</v>
      </c>
      <c r="BG56" s="136" t="s">
        <v>27</v>
      </c>
      <c r="BH56" s="137"/>
      <c r="BI56" s="33" t="s">
        <v>17</v>
      </c>
      <c r="BJ56" s="33" t="s">
        <v>17</v>
      </c>
      <c r="BK56" s="33" t="s">
        <v>17</v>
      </c>
      <c r="BL56" s="32">
        <v>47</v>
      </c>
    </row>
    <row r="57" spans="3:66" x14ac:dyDescent="0.3">
      <c r="C57" s="32">
        <v>48</v>
      </c>
      <c r="D57" s="34">
        <v>14571.7929</v>
      </c>
      <c r="E57" s="34">
        <v>13504.6203</v>
      </c>
      <c r="F57" s="33">
        <v>0</v>
      </c>
      <c r="G57" s="33">
        <v>0</v>
      </c>
      <c r="H57" s="33">
        <v>0</v>
      </c>
      <c r="I57" s="149" t="s">
        <v>27</v>
      </c>
      <c r="J57" s="150"/>
      <c r="K57" s="33" t="s">
        <v>17</v>
      </c>
      <c r="L57" s="33" t="s">
        <v>17</v>
      </c>
      <c r="M57" s="33" t="s">
        <v>17</v>
      </c>
      <c r="N57" s="136" t="s">
        <v>27</v>
      </c>
      <c r="O57" s="137"/>
      <c r="P57" s="72" t="s">
        <v>17</v>
      </c>
      <c r="Q57" s="72" t="s">
        <v>17</v>
      </c>
      <c r="R57" s="72" t="s">
        <v>17</v>
      </c>
      <c r="S57" s="136" t="s">
        <v>27</v>
      </c>
      <c r="T57" s="137"/>
      <c r="U57" s="72" t="s">
        <v>17</v>
      </c>
      <c r="V57" s="72" t="s">
        <v>17</v>
      </c>
      <c r="W57" s="72" t="s">
        <v>17</v>
      </c>
      <c r="X57" s="136" t="s">
        <v>27</v>
      </c>
      <c r="Y57" s="137"/>
      <c r="Z57" s="72" t="s">
        <v>17</v>
      </c>
      <c r="AA57" s="72" t="s">
        <v>17</v>
      </c>
      <c r="AB57" s="72" t="s">
        <v>17</v>
      </c>
      <c r="AC57" s="136" t="s">
        <v>27</v>
      </c>
      <c r="AD57" s="137"/>
      <c r="AE57" s="33" t="s">
        <v>17</v>
      </c>
      <c r="AF57" s="33" t="s">
        <v>17</v>
      </c>
      <c r="AG57" s="33" t="s">
        <v>17</v>
      </c>
      <c r="AH57" s="136" t="s">
        <v>27</v>
      </c>
      <c r="AI57" s="137"/>
      <c r="AJ57" s="33" t="s">
        <v>17</v>
      </c>
      <c r="AK57" s="33" t="s">
        <v>17</v>
      </c>
      <c r="AL57" s="33" t="s">
        <v>17</v>
      </c>
      <c r="AM57" s="136" t="s">
        <v>27</v>
      </c>
      <c r="AN57" s="137"/>
      <c r="AO57" s="33" t="s">
        <v>17</v>
      </c>
      <c r="AP57" s="33" t="s">
        <v>17</v>
      </c>
      <c r="AQ57" s="33" t="s">
        <v>17</v>
      </c>
      <c r="AR57" s="136" t="s">
        <v>27</v>
      </c>
      <c r="AS57" s="137"/>
      <c r="AT57" s="33" t="s">
        <v>17</v>
      </c>
      <c r="AU57" s="33" t="s">
        <v>17</v>
      </c>
      <c r="AV57" s="33" t="s">
        <v>17</v>
      </c>
      <c r="AW57" s="136" t="s">
        <v>27</v>
      </c>
      <c r="AX57" s="137"/>
      <c r="AY57" s="33" t="s">
        <v>17</v>
      </c>
      <c r="AZ57" s="33" t="s">
        <v>17</v>
      </c>
      <c r="BA57" s="33" t="s">
        <v>17</v>
      </c>
      <c r="BB57" s="136" t="s">
        <v>27</v>
      </c>
      <c r="BC57" s="137"/>
      <c r="BD57" s="33" t="s">
        <v>17</v>
      </c>
      <c r="BE57" s="33" t="s">
        <v>17</v>
      </c>
      <c r="BF57" s="33" t="s">
        <v>17</v>
      </c>
      <c r="BG57" s="136" t="s">
        <v>27</v>
      </c>
      <c r="BH57" s="137"/>
      <c r="BI57" s="33" t="s">
        <v>17</v>
      </c>
      <c r="BJ57" s="33" t="s">
        <v>17</v>
      </c>
      <c r="BK57" s="33" t="s">
        <v>17</v>
      </c>
      <c r="BL57" s="32">
        <v>48</v>
      </c>
    </row>
    <row r="58" spans="3:66" x14ac:dyDescent="0.3">
      <c r="C58" s="32">
        <v>49</v>
      </c>
      <c r="D58" s="34">
        <v>14554.703600000001</v>
      </c>
      <c r="E58" s="34">
        <v>13505.928599999999</v>
      </c>
      <c r="F58" s="33">
        <v>0</v>
      </c>
      <c r="G58" s="33">
        <v>0</v>
      </c>
      <c r="H58" s="33">
        <v>0</v>
      </c>
      <c r="I58" s="149" t="s">
        <v>27</v>
      </c>
      <c r="J58" s="150"/>
      <c r="K58" s="33" t="s">
        <v>17</v>
      </c>
      <c r="L58" s="33" t="s">
        <v>17</v>
      </c>
      <c r="M58" s="33" t="s">
        <v>17</v>
      </c>
      <c r="N58" s="136" t="s">
        <v>27</v>
      </c>
      <c r="O58" s="137"/>
      <c r="P58" s="72" t="s">
        <v>17</v>
      </c>
      <c r="Q58" s="72" t="s">
        <v>17</v>
      </c>
      <c r="R58" s="72" t="s">
        <v>17</v>
      </c>
      <c r="S58" s="136" t="s">
        <v>27</v>
      </c>
      <c r="T58" s="137"/>
      <c r="U58" s="72" t="s">
        <v>17</v>
      </c>
      <c r="V58" s="72" t="s">
        <v>17</v>
      </c>
      <c r="W58" s="72" t="s">
        <v>17</v>
      </c>
      <c r="X58" s="136" t="s">
        <v>27</v>
      </c>
      <c r="Y58" s="137"/>
      <c r="Z58" s="72" t="s">
        <v>17</v>
      </c>
      <c r="AA58" s="72" t="s">
        <v>17</v>
      </c>
      <c r="AB58" s="72" t="s">
        <v>17</v>
      </c>
      <c r="AC58" s="136" t="s">
        <v>27</v>
      </c>
      <c r="AD58" s="137"/>
      <c r="AE58" s="33" t="s">
        <v>17</v>
      </c>
      <c r="AF58" s="33" t="s">
        <v>17</v>
      </c>
      <c r="AG58" s="33" t="s">
        <v>17</v>
      </c>
      <c r="AH58" s="136" t="s">
        <v>27</v>
      </c>
      <c r="AI58" s="137"/>
      <c r="AJ58" s="33" t="s">
        <v>17</v>
      </c>
      <c r="AK58" s="33" t="s">
        <v>17</v>
      </c>
      <c r="AL58" s="33" t="s">
        <v>17</v>
      </c>
      <c r="AM58" s="136" t="s">
        <v>27</v>
      </c>
      <c r="AN58" s="137"/>
      <c r="AO58" s="33" t="s">
        <v>17</v>
      </c>
      <c r="AP58" s="33" t="s">
        <v>17</v>
      </c>
      <c r="AQ58" s="33" t="s">
        <v>17</v>
      </c>
      <c r="AR58" s="136" t="s">
        <v>27</v>
      </c>
      <c r="AS58" s="137"/>
      <c r="AT58" s="33" t="s">
        <v>17</v>
      </c>
      <c r="AU58" s="33" t="s">
        <v>17</v>
      </c>
      <c r="AV58" s="33" t="s">
        <v>17</v>
      </c>
      <c r="AW58" s="136" t="s">
        <v>27</v>
      </c>
      <c r="AX58" s="137"/>
      <c r="AY58" s="33" t="s">
        <v>17</v>
      </c>
      <c r="AZ58" s="33" t="s">
        <v>17</v>
      </c>
      <c r="BA58" s="33" t="s">
        <v>17</v>
      </c>
      <c r="BB58" s="136" t="s">
        <v>27</v>
      </c>
      <c r="BC58" s="137"/>
      <c r="BD58" s="33" t="s">
        <v>17</v>
      </c>
      <c r="BE58" s="33" t="s">
        <v>17</v>
      </c>
      <c r="BF58" s="33" t="s">
        <v>17</v>
      </c>
      <c r="BG58" s="136" t="s">
        <v>27</v>
      </c>
      <c r="BH58" s="137"/>
      <c r="BI58" s="33" t="s">
        <v>17</v>
      </c>
      <c r="BJ58" s="33" t="s">
        <v>17</v>
      </c>
      <c r="BK58" s="33" t="s">
        <v>17</v>
      </c>
      <c r="BL58" s="32">
        <v>49</v>
      </c>
    </row>
    <row r="59" spans="3:66" x14ac:dyDescent="0.3">
      <c r="C59" s="32">
        <v>50</v>
      </c>
      <c r="D59" s="151" t="s">
        <v>26</v>
      </c>
      <c r="E59" s="152"/>
      <c r="F59" s="33">
        <v>0</v>
      </c>
      <c r="G59" s="33">
        <v>0</v>
      </c>
      <c r="H59" s="33">
        <v>0</v>
      </c>
      <c r="I59" s="149" t="s">
        <v>26</v>
      </c>
      <c r="J59" s="150"/>
      <c r="K59" s="33" t="s">
        <v>17</v>
      </c>
      <c r="L59" s="33" t="s">
        <v>17</v>
      </c>
      <c r="M59" s="33" t="s">
        <v>17</v>
      </c>
      <c r="N59" s="136" t="s">
        <v>26</v>
      </c>
      <c r="O59" s="137"/>
      <c r="P59" s="72" t="s">
        <v>17</v>
      </c>
      <c r="Q59" s="72" t="s">
        <v>17</v>
      </c>
      <c r="R59" s="72" t="s">
        <v>17</v>
      </c>
      <c r="S59" s="136" t="s">
        <v>26</v>
      </c>
      <c r="T59" s="137"/>
      <c r="U59" s="72" t="s">
        <v>17</v>
      </c>
      <c r="V59" s="72" t="s">
        <v>17</v>
      </c>
      <c r="W59" s="72" t="s">
        <v>17</v>
      </c>
      <c r="X59" s="136" t="s">
        <v>26</v>
      </c>
      <c r="Y59" s="137"/>
      <c r="Z59" s="72" t="s">
        <v>17</v>
      </c>
      <c r="AA59" s="72" t="s">
        <v>17</v>
      </c>
      <c r="AB59" s="72" t="s">
        <v>17</v>
      </c>
      <c r="AC59" s="136" t="s">
        <v>26</v>
      </c>
      <c r="AD59" s="137"/>
      <c r="AE59" s="33" t="s">
        <v>17</v>
      </c>
      <c r="AF59" s="33" t="s">
        <v>17</v>
      </c>
      <c r="AG59" s="33" t="s">
        <v>17</v>
      </c>
      <c r="AH59" s="136" t="s">
        <v>26</v>
      </c>
      <c r="AI59" s="137"/>
      <c r="AJ59" s="33" t="s">
        <v>17</v>
      </c>
      <c r="AK59" s="33" t="s">
        <v>17</v>
      </c>
      <c r="AL59" s="33" t="s">
        <v>17</v>
      </c>
      <c r="AM59" s="113">
        <v>14545.0414</v>
      </c>
      <c r="AN59" s="113">
        <v>13502.779</v>
      </c>
      <c r="AO59" s="33">
        <v>0</v>
      </c>
      <c r="AP59" s="33">
        <v>0</v>
      </c>
      <c r="AQ59" s="33" t="s">
        <v>157</v>
      </c>
      <c r="AR59" s="113">
        <v>14545.0468</v>
      </c>
      <c r="AS59" s="113">
        <v>13502.778200000001</v>
      </c>
      <c r="AT59" s="72">
        <f t="shared" si="33"/>
        <v>5.4000000000087311</v>
      </c>
      <c r="AU59" s="72">
        <f t="shared" si="34"/>
        <v>-0.79999999979918357</v>
      </c>
      <c r="AV59" s="72">
        <f t="shared" si="35"/>
        <v>5.4589376255616795</v>
      </c>
      <c r="AW59" s="112">
        <v>14545.0455</v>
      </c>
      <c r="AX59" s="112">
        <v>13502.7781</v>
      </c>
      <c r="AY59" s="72">
        <f t="shared" si="36"/>
        <v>4.1000000001076842</v>
      </c>
      <c r="AZ59" s="72">
        <f t="shared" si="37"/>
        <v>-0.90000000091094989</v>
      </c>
      <c r="BA59" s="72">
        <f t="shared" si="38"/>
        <v>4.1976183726635661</v>
      </c>
      <c r="BB59" s="136" t="s">
        <v>27</v>
      </c>
      <c r="BC59" s="137"/>
      <c r="BD59" s="33" t="s">
        <v>17</v>
      </c>
      <c r="BE59" s="33" t="s">
        <v>17</v>
      </c>
      <c r="BF59" s="33" t="s">
        <v>17</v>
      </c>
      <c r="BG59" s="136" t="s">
        <v>27</v>
      </c>
      <c r="BH59" s="137"/>
      <c r="BI59" s="33" t="s">
        <v>17</v>
      </c>
      <c r="BJ59" s="33" t="s">
        <v>17</v>
      </c>
      <c r="BK59" s="33" t="s">
        <v>17</v>
      </c>
      <c r="BL59" s="32">
        <v>50</v>
      </c>
    </row>
    <row r="60" spans="3:66" x14ac:dyDescent="0.3">
      <c r="C60" s="32">
        <v>51</v>
      </c>
      <c r="D60" s="151" t="s">
        <v>26</v>
      </c>
      <c r="E60" s="152"/>
      <c r="F60" s="33">
        <v>0</v>
      </c>
      <c r="G60" s="33">
        <v>0</v>
      </c>
      <c r="H60" s="33">
        <v>0</v>
      </c>
      <c r="I60" s="149" t="s">
        <v>26</v>
      </c>
      <c r="J60" s="150"/>
      <c r="K60" s="33" t="s">
        <v>17</v>
      </c>
      <c r="L60" s="33" t="s">
        <v>17</v>
      </c>
      <c r="M60" s="33" t="s">
        <v>17</v>
      </c>
      <c r="N60" s="136" t="s">
        <v>26</v>
      </c>
      <c r="O60" s="137"/>
      <c r="P60" s="72" t="s">
        <v>17</v>
      </c>
      <c r="Q60" s="72" t="s">
        <v>17</v>
      </c>
      <c r="R60" s="72" t="s">
        <v>17</v>
      </c>
      <c r="S60" s="136" t="s">
        <v>26</v>
      </c>
      <c r="T60" s="137"/>
      <c r="U60" s="72" t="s">
        <v>17</v>
      </c>
      <c r="V60" s="72" t="s">
        <v>17</v>
      </c>
      <c r="W60" s="72" t="s">
        <v>17</v>
      </c>
      <c r="X60" s="136" t="s">
        <v>26</v>
      </c>
      <c r="Y60" s="137"/>
      <c r="Z60" s="72" t="s">
        <v>17</v>
      </c>
      <c r="AA60" s="72" t="s">
        <v>17</v>
      </c>
      <c r="AB60" s="72" t="s">
        <v>17</v>
      </c>
      <c r="AC60" s="136" t="s">
        <v>26</v>
      </c>
      <c r="AD60" s="137"/>
      <c r="AE60" s="33" t="s">
        <v>17</v>
      </c>
      <c r="AF60" s="33" t="s">
        <v>17</v>
      </c>
      <c r="AG60" s="33" t="s">
        <v>17</v>
      </c>
      <c r="AH60" s="136" t="s">
        <v>26</v>
      </c>
      <c r="AI60" s="137"/>
      <c r="AJ60" s="33" t="s">
        <v>17</v>
      </c>
      <c r="AK60" s="33" t="s">
        <v>17</v>
      </c>
      <c r="AL60" s="33" t="s">
        <v>17</v>
      </c>
      <c r="AM60" s="113">
        <v>14530.421200000001</v>
      </c>
      <c r="AN60" s="113">
        <v>13507.0452</v>
      </c>
      <c r="AO60" s="33">
        <v>0</v>
      </c>
      <c r="AP60" s="33">
        <v>0</v>
      </c>
      <c r="AQ60" s="33" t="s">
        <v>157</v>
      </c>
      <c r="AR60" s="113">
        <v>14530.4288</v>
      </c>
      <c r="AS60" s="113">
        <v>13507.042799999999</v>
      </c>
      <c r="AT60" s="72">
        <f t="shared" si="33"/>
        <v>7.5999999990017386</v>
      </c>
      <c r="AU60" s="72">
        <f t="shared" si="34"/>
        <v>-2.4000000012165401</v>
      </c>
      <c r="AV60" s="72">
        <f t="shared" si="35"/>
        <v>7.9699435374829237</v>
      </c>
      <c r="AW60" s="112">
        <v>14530.4303</v>
      </c>
      <c r="AX60" s="112">
        <v>13507.041999999999</v>
      </c>
      <c r="AY60" s="72">
        <f t="shared" si="36"/>
        <v>9.0999999993073288</v>
      </c>
      <c r="AZ60" s="72">
        <f t="shared" si="37"/>
        <v>-3.2000000010157237</v>
      </c>
      <c r="BA60" s="72">
        <f t="shared" si="38"/>
        <v>9.6462427915688504</v>
      </c>
      <c r="BB60" s="136" t="s">
        <v>27</v>
      </c>
      <c r="BC60" s="137"/>
      <c r="BD60" s="33" t="s">
        <v>17</v>
      </c>
      <c r="BE60" s="33" t="s">
        <v>17</v>
      </c>
      <c r="BF60" s="33" t="s">
        <v>17</v>
      </c>
      <c r="BG60" s="136" t="s">
        <v>27</v>
      </c>
      <c r="BH60" s="137"/>
      <c r="BI60" s="33" t="s">
        <v>17</v>
      </c>
      <c r="BJ60" s="33" t="s">
        <v>17</v>
      </c>
      <c r="BK60" s="33" t="s">
        <v>17</v>
      </c>
      <c r="BL60" s="32">
        <v>51</v>
      </c>
    </row>
    <row r="61" spans="3:66" x14ac:dyDescent="0.3">
      <c r="C61" s="32">
        <v>52</v>
      </c>
      <c r="D61" s="34">
        <v>14517.791999999999</v>
      </c>
      <c r="E61" s="34">
        <v>13505.913</v>
      </c>
      <c r="F61" s="33">
        <v>0</v>
      </c>
      <c r="G61" s="33">
        <v>0</v>
      </c>
      <c r="H61" s="33">
        <v>0</v>
      </c>
      <c r="I61" s="48">
        <v>14517.798999999999</v>
      </c>
      <c r="J61" s="48">
        <v>13505.902</v>
      </c>
      <c r="K61" s="33">
        <f t="shared" si="69"/>
        <v>6.9999999996070983</v>
      </c>
      <c r="L61" s="33">
        <f t="shared" si="70"/>
        <v>-11.000000000422006</v>
      </c>
      <c r="M61" s="33">
        <f t="shared" si="71"/>
        <v>13.038404810550388</v>
      </c>
      <c r="N61" s="71">
        <v>14517.801000000001</v>
      </c>
      <c r="O61" s="71">
        <v>13505.901</v>
      </c>
      <c r="P61" s="72">
        <f t="shared" ref="P61:P64" si="90">K61+(N61-I61)*1000</f>
        <v>9.0000000018335413</v>
      </c>
      <c r="Q61" s="72">
        <f t="shared" ref="Q61:Q64" si="91">L61+(O61-J61)*1000</f>
        <v>-12.000000000625732</v>
      </c>
      <c r="R61" s="72">
        <f t="shared" ref="R61:R64" si="92">SQRT(((P61*P61)+(Q61*Q61)))</f>
        <v>15.000000001600711</v>
      </c>
      <c r="S61" s="71">
        <v>14517.802000000001</v>
      </c>
      <c r="T61" s="71">
        <v>13505.896999999999</v>
      </c>
      <c r="U61" s="72">
        <f t="shared" ref="U61:U64" si="93">P61+(S61-N61)*1000</f>
        <v>10.000000002037268</v>
      </c>
      <c r="V61" s="72">
        <f t="shared" ref="V61:V64" si="94">Q61+(T61-O61)*1000</f>
        <v>-16.00000000144064</v>
      </c>
      <c r="W61" s="72">
        <f t="shared" ref="W61:W64" si="95">SQRT(((U61*U61)+(V61*V61)))</f>
        <v>18.867962266414619</v>
      </c>
      <c r="X61" s="71">
        <v>14517.8123</v>
      </c>
      <c r="Y61" s="71">
        <v>13505.9169</v>
      </c>
      <c r="Z61" s="72">
        <f t="shared" ref="Z61:Z66" si="96">U61+(X61-S61)*1000</f>
        <v>20.300000000133878</v>
      </c>
      <c r="AA61" s="72">
        <f t="shared" ref="AA61:AA66" si="97">V61+(Y61-T61)*1000</f>
        <v>3.8999999997031409</v>
      </c>
      <c r="AB61" s="72">
        <f t="shared" ref="AB61:AB66" si="98">SQRT(((Z61*Z61)+(AA61*AA61)))</f>
        <v>20.671236054070881</v>
      </c>
      <c r="AC61" s="71">
        <v>14517.8171</v>
      </c>
      <c r="AD61" s="71">
        <v>13505.921200000001</v>
      </c>
      <c r="AE61" s="33">
        <f t="shared" ref="AE61:AE66" si="99">Z61+(AC61-X61)*1000</f>
        <v>25.100000000747968</v>
      </c>
      <c r="AF61" s="33">
        <f t="shared" ref="AF61:AF66" si="100">AA61+(AD61-Y61)*1000</f>
        <v>8.2000000002153683</v>
      </c>
      <c r="AG61" s="33">
        <f t="shared" ref="AG61:AG66" si="101">SQRT(((AE61*AE61)+(AF61*AF61)))</f>
        <v>26.405491853799656</v>
      </c>
      <c r="AH61" s="113">
        <v>14517.8182</v>
      </c>
      <c r="AI61" s="113">
        <v>13505.9193</v>
      </c>
      <c r="AJ61" s="33">
        <f t="shared" ref="AJ61" si="102">AE61+(AH61-AC61)*1000</f>
        <v>26.200000000244472</v>
      </c>
      <c r="AK61" s="33">
        <f t="shared" ref="AK61" si="103">AF61+(AI61-AD61)*1000</f>
        <v>6.2999999991006916</v>
      </c>
      <c r="AL61" s="72">
        <f t="shared" ref="AL61" si="104">SQRT(((AJ61*AJ61)+(AK61*AK61)))</f>
        <v>26.94679943892185</v>
      </c>
      <c r="AM61" s="112">
        <v>14517.805899999999</v>
      </c>
      <c r="AN61" s="112">
        <v>13505.9018</v>
      </c>
      <c r="AO61" s="33">
        <f t="shared" ref="AO61:AO66" si="105">AJ61+(AM61-AH61)*1000</f>
        <v>13.89999999992142</v>
      </c>
      <c r="AP61" s="33">
        <f t="shared" ref="AP61:AP66" si="106">AK61+(AN61-AI61)*1000</f>
        <v>-11.200000000826549</v>
      </c>
      <c r="AQ61" s="33">
        <f t="shared" ref="AQ61:AQ66" si="107">SQRT(((AO61*AO61)+(AP61*AP61)))</f>
        <v>17.850770291960238</v>
      </c>
      <c r="AR61" s="113">
        <v>14517.8115</v>
      </c>
      <c r="AS61" s="113">
        <v>13505.899799999999</v>
      </c>
      <c r="AT61" s="72">
        <f t="shared" si="33"/>
        <v>19.500000000334694</v>
      </c>
      <c r="AU61" s="72">
        <f t="shared" si="34"/>
        <v>-13.200000001234002</v>
      </c>
      <c r="AV61" s="72">
        <f t="shared" si="35"/>
        <v>23.547611344797389</v>
      </c>
      <c r="AW61" s="112">
        <v>14517.809600000001</v>
      </c>
      <c r="AX61" s="112">
        <v>13505.8984</v>
      </c>
      <c r="AY61" s="72">
        <f t="shared" si="36"/>
        <v>17.600000001039007</v>
      </c>
      <c r="AZ61" s="72">
        <f t="shared" si="37"/>
        <v>-14.600000000427826</v>
      </c>
      <c r="BA61" s="114">
        <f t="shared" si="38"/>
        <v>22.867444108362125</v>
      </c>
      <c r="BB61" s="112">
        <v>14517.8099</v>
      </c>
      <c r="BC61" s="112">
        <v>13505.8986</v>
      </c>
      <c r="BD61" s="72">
        <f t="shared" si="39"/>
        <v>17.900000000736327</v>
      </c>
      <c r="BE61" s="72">
        <f t="shared" si="40"/>
        <v>-14.400000000023283</v>
      </c>
      <c r="BF61" s="72">
        <f t="shared" si="41"/>
        <v>22.973245308990002</v>
      </c>
      <c r="BG61" s="112">
        <v>14517.8089</v>
      </c>
      <c r="BH61" s="112">
        <v>13505.897199999999</v>
      </c>
      <c r="BI61" s="72">
        <f t="shared" si="42"/>
        <v>16.9000000005326</v>
      </c>
      <c r="BJ61" s="72">
        <f t="shared" si="43"/>
        <v>-15.800000001036096</v>
      </c>
      <c r="BK61" s="72">
        <f t="shared" si="44"/>
        <v>23.13547060361519</v>
      </c>
      <c r="BL61" s="32">
        <v>52</v>
      </c>
      <c r="BM61" s="40"/>
      <c r="BN61" s="40"/>
    </row>
    <row r="62" spans="3:66" x14ac:dyDescent="0.3">
      <c r="C62" s="32">
        <v>53</v>
      </c>
      <c r="D62" s="34">
        <v>14506.409100000001</v>
      </c>
      <c r="E62" s="34">
        <v>13509.2737</v>
      </c>
      <c r="F62" s="33">
        <v>0</v>
      </c>
      <c r="G62" s="33">
        <v>0</v>
      </c>
      <c r="H62" s="33">
        <v>0</v>
      </c>
      <c r="I62" s="48">
        <v>14506.4151</v>
      </c>
      <c r="J62" s="48">
        <v>13509.262699999999</v>
      </c>
      <c r="K62" s="33">
        <f t="shared" si="69"/>
        <v>5.9999999994033715</v>
      </c>
      <c r="L62" s="33">
        <f t="shared" si="70"/>
        <v>-11.000000000422006</v>
      </c>
      <c r="M62" s="33">
        <f t="shared" si="71"/>
        <v>12.529964086226448</v>
      </c>
      <c r="N62" s="71">
        <v>14506.417000000001</v>
      </c>
      <c r="O62" s="71">
        <v>13509.265000000001</v>
      </c>
      <c r="P62" s="72">
        <f t="shared" si="90"/>
        <v>7.9000000005180482</v>
      </c>
      <c r="Q62" s="72">
        <f t="shared" si="91"/>
        <v>-8.6999999984982423</v>
      </c>
      <c r="R62" s="72">
        <f t="shared" si="92"/>
        <v>11.751595635574541</v>
      </c>
      <c r="S62" s="71">
        <v>14506.423000000001</v>
      </c>
      <c r="T62" s="71">
        <v>13509.261</v>
      </c>
      <c r="U62" s="72">
        <f t="shared" si="93"/>
        <v>13.89999999992142</v>
      </c>
      <c r="V62" s="72">
        <f t="shared" si="94"/>
        <v>-12.69999999931315</v>
      </c>
      <c r="W62" s="72">
        <f t="shared" si="95"/>
        <v>18.828170383241424</v>
      </c>
      <c r="X62" s="71">
        <v>14506.4377</v>
      </c>
      <c r="Y62" s="71">
        <v>13509.277899999999</v>
      </c>
      <c r="Z62" s="72">
        <f t="shared" si="96"/>
        <v>28.599999999642023</v>
      </c>
      <c r="AA62" s="72">
        <f t="shared" si="97"/>
        <v>4.1999999994004611</v>
      </c>
      <c r="AB62" s="72">
        <f t="shared" si="98"/>
        <v>28.906746616914322</v>
      </c>
      <c r="AC62" s="71">
        <v>14506.440699999999</v>
      </c>
      <c r="AD62" s="71">
        <v>13509.2821</v>
      </c>
      <c r="AE62" s="33">
        <f t="shared" si="99"/>
        <v>31.599999998434214</v>
      </c>
      <c r="AF62" s="33">
        <f t="shared" si="100"/>
        <v>8.4000000006199116</v>
      </c>
      <c r="AG62" s="33">
        <f t="shared" si="101"/>
        <v>32.697400506943318</v>
      </c>
      <c r="AH62" s="113">
        <v>14506.443499999999</v>
      </c>
      <c r="AI62" s="113">
        <v>13509.2837</v>
      </c>
      <c r="AJ62" s="33">
        <f t="shared" ref="AJ62:AJ66" si="108">AE62+(AH62-AC62)*1000</f>
        <v>34.399999998640851</v>
      </c>
      <c r="AK62" s="33">
        <f t="shared" ref="AK62:AK66" si="109">AF62+(AI62-AD62)*1000</f>
        <v>10.000000000218279</v>
      </c>
      <c r="AL62" s="72">
        <f t="shared" ref="AL62:AL66" si="110">SQRT(((AJ62*AJ62)+(AK62*AK62)))</f>
        <v>35.824014290847643</v>
      </c>
      <c r="AM62" s="112">
        <v>14506.4267</v>
      </c>
      <c r="AN62" s="112">
        <v>13509.2636</v>
      </c>
      <c r="AO62" s="33">
        <f t="shared" si="105"/>
        <v>17.599999999220017</v>
      </c>
      <c r="AP62" s="33">
        <f t="shared" si="106"/>
        <v>-10.099999999511056</v>
      </c>
      <c r="AQ62" s="33">
        <f t="shared" si="107"/>
        <v>20.292116694979555</v>
      </c>
      <c r="AR62" s="113">
        <v>14506.429700000001</v>
      </c>
      <c r="AS62" s="113">
        <v>13509.2616</v>
      </c>
      <c r="AT62" s="72">
        <f t="shared" si="33"/>
        <v>20.599999999831198</v>
      </c>
      <c r="AU62" s="72">
        <f t="shared" si="34"/>
        <v>-12.099999999918509</v>
      </c>
      <c r="AV62" s="72">
        <f t="shared" si="35"/>
        <v>23.890793205565053</v>
      </c>
      <c r="AW62" s="112">
        <v>14506.429099999999</v>
      </c>
      <c r="AX62" s="112">
        <v>13509.2634</v>
      </c>
      <c r="AY62" s="72">
        <f t="shared" si="36"/>
        <v>19.999999998617568</v>
      </c>
      <c r="AZ62" s="72">
        <f t="shared" si="37"/>
        <v>-10.299999999915599</v>
      </c>
      <c r="BA62" s="72">
        <f t="shared" si="38"/>
        <v>22.496444162199591</v>
      </c>
      <c r="BB62" s="112">
        <v>14506.43</v>
      </c>
      <c r="BC62" s="112">
        <v>13509.261399999999</v>
      </c>
      <c r="BD62" s="72">
        <f t="shared" si="39"/>
        <v>20.899999999528518</v>
      </c>
      <c r="BE62" s="72">
        <f t="shared" si="40"/>
        <v>-12.300000000323053</v>
      </c>
      <c r="BF62" s="72">
        <f t="shared" si="41"/>
        <v>24.250773183307768</v>
      </c>
      <c r="BG62" s="112">
        <v>14506.4308</v>
      </c>
      <c r="BH62" s="112">
        <v>13509.261399999999</v>
      </c>
      <c r="BI62" s="72">
        <f t="shared" si="42"/>
        <v>21.699999999327702</v>
      </c>
      <c r="BJ62" s="72">
        <f t="shared" si="43"/>
        <v>-12.300000000323053</v>
      </c>
      <c r="BK62" s="72">
        <f t="shared" si="44"/>
        <v>24.943536236443489</v>
      </c>
      <c r="BL62" s="32">
        <v>53</v>
      </c>
      <c r="BM62" s="40"/>
      <c r="BN62" s="40"/>
    </row>
    <row r="63" spans="3:66" x14ac:dyDescent="0.3">
      <c r="C63" s="32">
        <v>54</v>
      </c>
      <c r="D63" s="34">
        <v>14495.6152</v>
      </c>
      <c r="E63" s="34">
        <v>13512.5124</v>
      </c>
      <c r="F63" s="33">
        <v>0</v>
      </c>
      <c r="G63" s="33">
        <v>0</v>
      </c>
      <c r="H63" s="33">
        <v>0</v>
      </c>
      <c r="I63" s="48">
        <v>14495.617200000001</v>
      </c>
      <c r="J63" s="48">
        <v>13512.5144</v>
      </c>
      <c r="K63" s="33">
        <f t="shared" si="69"/>
        <v>2.0000000004074536</v>
      </c>
      <c r="L63" s="33">
        <f t="shared" si="70"/>
        <v>2.0000000004074536</v>
      </c>
      <c r="M63" s="33">
        <f t="shared" si="71"/>
        <v>2.8284271253224165</v>
      </c>
      <c r="N63" s="71">
        <v>14495.62</v>
      </c>
      <c r="O63" s="71">
        <v>13512.518</v>
      </c>
      <c r="P63" s="72">
        <f t="shared" si="90"/>
        <v>4.8000000006140908</v>
      </c>
      <c r="Q63" s="72">
        <f t="shared" si="91"/>
        <v>5.6000000004132744</v>
      </c>
      <c r="R63" s="72">
        <f t="shared" si="92"/>
        <v>7.3756355665477367</v>
      </c>
      <c r="S63" s="71">
        <v>14495.62</v>
      </c>
      <c r="T63" s="71">
        <v>13512.52</v>
      </c>
      <c r="U63" s="72">
        <f t="shared" si="93"/>
        <v>4.8000000006140908</v>
      </c>
      <c r="V63" s="72">
        <f t="shared" si="94"/>
        <v>7.600000000820728</v>
      </c>
      <c r="W63" s="72">
        <f t="shared" si="95"/>
        <v>8.9888820227195296</v>
      </c>
      <c r="X63" s="71">
        <v>14495.6415</v>
      </c>
      <c r="Y63" s="71">
        <v>13512.5278</v>
      </c>
      <c r="Z63" s="72">
        <f t="shared" si="96"/>
        <v>26.299999999537249</v>
      </c>
      <c r="AA63" s="72">
        <f t="shared" si="97"/>
        <v>15.40000000022701</v>
      </c>
      <c r="AB63" s="72">
        <f t="shared" si="98"/>
        <v>30.477040538455356</v>
      </c>
      <c r="AC63" s="71">
        <v>14495.6469</v>
      </c>
      <c r="AD63" s="71">
        <v>13512.533600000001</v>
      </c>
      <c r="AE63" s="33">
        <f t="shared" si="99"/>
        <v>31.69999999954598</v>
      </c>
      <c r="AF63" s="33">
        <f t="shared" si="100"/>
        <v>21.200000001044828</v>
      </c>
      <c r="AG63" s="33">
        <f t="shared" si="101"/>
        <v>38.135678832499046</v>
      </c>
      <c r="AH63" s="113">
        <v>14495.646699999999</v>
      </c>
      <c r="AI63" s="113">
        <v>13512.532499999999</v>
      </c>
      <c r="AJ63" s="33">
        <f t="shared" si="108"/>
        <v>31.499999999141437</v>
      </c>
      <c r="AK63" s="33">
        <f t="shared" si="109"/>
        <v>20.099999999729334</v>
      </c>
      <c r="AL63" s="72">
        <f t="shared" si="110"/>
        <v>37.366562591908689</v>
      </c>
      <c r="AM63" s="112">
        <v>14495.631100000001</v>
      </c>
      <c r="AN63" s="112">
        <v>13512.516799999999</v>
      </c>
      <c r="AO63" s="33">
        <f t="shared" si="105"/>
        <v>15.900000000328873</v>
      </c>
      <c r="AP63" s="33">
        <f t="shared" si="106"/>
        <v>4.3999999998050043</v>
      </c>
      <c r="AQ63" s="33">
        <f t="shared" si="107"/>
        <v>16.497575579725108</v>
      </c>
      <c r="AR63" s="113">
        <v>14495.636500000001</v>
      </c>
      <c r="AS63" s="113">
        <v>13512.5141</v>
      </c>
      <c r="AT63" s="72">
        <f t="shared" si="33"/>
        <v>21.300000000337604</v>
      </c>
      <c r="AU63" s="72">
        <f t="shared" si="34"/>
        <v>1.7000000007101335</v>
      </c>
      <c r="AV63" s="72">
        <f t="shared" si="35"/>
        <v>21.367732683108809</v>
      </c>
      <c r="AW63" s="112">
        <v>14495.637000000001</v>
      </c>
      <c r="AX63" s="112">
        <v>13512.515299999999</v>
      </c>
      <c r="AY63" s="114">
        <f t="shared" si="36"/>
        <v>21.800000000439468</v>
      </c>
      <c r="AZ63" s="72">
        <f t="shared" si="37"/>
        <v>2.8999999994994141</v>
      </c>
      <c r="BA63" s="72">
        <f t="shared" si="38"/>
        <v>21.992044016331391</v>
      </c>
      <c r="BB63" s="112">
        <v>14495.6376</v>
      </c>
      <c r="BC63" s="112">
        <v>13512.5129</v>
      </c>
      <c r="BD63" s="72">
        <f t="shared" si="39"/>
        <v>22.399999999834108</v>
      </c>
      <c r="BE63" s="72">
        <f t="shared" si="40"/>
        <v>0.50000000010186341</v>
      </c>
      <c r="BF63" s="72">
        <f t="shared" si="41"/>
        <v>22.405579662054492</v>
      </c>
      <c r="BG63" s="112">
        <v>14495.6369</v>
      </c>
      <c r="BH63" s="112">
        <v>13512.513000000001</v>
      </c>
      <c r="BI63" s="72">
        <f t="shared" si="42"/>
        <v>21.699999999327702</v>
      </c>
      <c r="BJ63" s="72">
        <f t="shared" si="43"/>
        <v>0.60000000121362973</v>
      </c>
      <c r="BK63" s="72">
        <f t="shared" si="44"/>
        <v>21.708293345453914</v>
      </c>
      <c r="BL63" s="32">
        <v>54</v>
      </c>
      <c r="BM63" s="40"/>
      <c r="BN63" s="40"/>
    </row>
    <row r="64" spans="3:66" x14ac:dyDescent="0.3">
      <c r="C64" s="32">
        <v>55</v>
      </c>
      <c r="D64" s="34">
        <v>14485.9426</v>
      </c>
      <c r="E64" s="34">
        <v>13515.325000000001</v>
      </c>
      <c r="F64" s="33">
        <v>0</v>
      </c>
      <c r="G64" s="33">
        <v>0</v>
      </c>
      <c r="H64" s="33">
        <v>0</v>
      </c>
      <c r="I64" s="48">
        <v>14485.9406</v>
      </c>
      <c r="J64" s="48">
        <v>13515.316000000001</v>
      </c>
      <c r="K64" s="33">
        <f t="shared" si="69"/>
        <v>-2.0000000004074536</v>
      </c>
      <c r="L64" s="33">
        <f t="shared" si="70"/>
        <v>-9.0000000000145519</v>
      </c>
      <c r="M64" s="33">
        <f t="shared" si="71"/>
        <v>9.2195444573954823</v>
      </c>
      <c r="N64" s="71">
        <v>14485.9416</v>
      </c>
      <c r="O64" s="71">
        <v>13515.317999999999</v>
      </c>
      <c r="P64" s="72">
        <f t="shared" si="90"/>
        <v>-1.0000000002037268</v>
      </c>
      <c r="Q64" s="72">
        <f t="shared" si="91"/>
        <v>-7.0000000014260877</v>
      </c>
      <c r="R64" s="72">
        <f t="shared" si="92"/>
        <v>7.0710678133060414</v>
      </c>
      <c r="S64" s="71">
        <v>14485.945600000001</v>
      </c>
      <c r="T64" s="71">
        <v>13515.319</v>
      </c>
      <c r="U64" s="72">
        <f t="shared" si="93"/>
        <v>3.0000000006111804</v>
      </c>
      <c r="V64" s="72">
        <f t="shared" si="94"/>
        <v>-6.0000000012223609</v>
      </c>
      <c r="W64" s="72">
        <f t="shared" si="95"/>
        <v>6.7082039338660104</v>
      </c>
      <c r="X64" s="71">
        <v>14485.9658</v>
      </c>
      <c r="Y64" s="71">
        <v>13515.335800000001</v>
      </c>
      <c r="Z64" s="72">
        <f t="shared" si="96"/>
        <v>23.199999999633292</v>
      </c>
      <c r="AA64" s="72">
        <f t="shared" si="97"/>
        <v>10.800000000017462</v>
      </c>
      <c r="AB64" s="72">
        <f t="shared" si="98"/>
        <v>25.590623282432219</v>
      </c>
      <c r="AC64" s="71">
        <v>14485.971299999999</v>
      </c>
      <c r="AD64" s="71">
        <v>13515.337799999999</v>
      </c>
      <c r="AE64" s="33">
        <f t="shared" si="99"/>
        <v>28.6999999989348</v>
      </c>
      <c r="AF64" s="33">
        <f t="shared" si="100"/>
        <v>12.799999998605927</v>
      </c>
      <c r="AG64" s="33">
        <f t="shared" si="101"/>
        <v>31.424990054145905</v>
      </c>
      <c r="AH64" s="113">
        <v>14485.967500000001</v>
      </c>
      <c r="AI64" s="113">
        <v>13515.3367</v>
      </c>
      <c r="AJ64" s="33">
        <f t="shared" si="108"/>
        <v>24.900000000343425</v>
      </c>
      <c r="AK64" s="33">
        <f t="shared" si="109"/>
        <v>11.699999999109423</v>
      </c>
      <c r="AL64" s="72">
        <f t="shared" si="110"/>
        <v>27.511815643396986</v>
      </c>
      <c r="AM64" s="112">
        <v>14485.9557</v>
      </c>
      <c r="AN64" s="112">
        <v>13515.325500000001</v>
      </c>
      <c r="AO64" s="33">
        <f t="shared" si="105"/>
        <v>13.100000000122236</v>
      </c>
      <c r="AP64" s="33">
        <f t="shared" si="106"/>
        <v>0.50000000010186341</v>
      </c>
      <c r="AQ64" s="33">
        <f t="shared" si="107"/>
        <v>13.109538512217142</v>
      </c>
      <c r="AR64" s="113">
        <v>14485.9604</v>
      </c>
      <c r="AS64" s="113">
        <v>13515.3226</v>
      </c>
      <c r="AT64" s="72">
        <f t="shared" si="33"/>
        <v>17.799999999624561</v>
      </c>
      <c r="AU64" s="72">
        <f t="shared" si="34"/>
        <v>-2.4000000012165401</v>
      </c>
      <c r="AV64" s="72">
        <f t="shared" si="35"/>
        <v>17.961069010292061</v>
      </c>
      <c r="AW64" s="112">
        <v>14485.962299999999</v>
      </c>
      <c r="AX64" s="112">
        <v>13515.3244</v>
      </c>
      <c r="AY64" s="72">
        <f t="shared" si="36"/>
        <v>19.699999998920248</v>
      </c>
      <c r="AZ64" s="72">
        <f t="shared" si="37"/>
        <v>-0.60000000121362973</v>
      </c>
      <c r="BA64" s="72">
        <f t="shared" si="38"/>
        <v>19.709134936848805</v>
      </c>
      <c r="BB64" s="112">
        <v>14485.9619</v>
      </c>
      <c r="BC64" s="112">
        <v>13515.3212</v>
      </c>
      <c r="BD64" s="72">
        <f t="shared" si="39"/>
        <v>19.299999999930151</v>
      </c>
      <c r="BE64" s="72">
        <f t="shared" si="40"/>
        <v>-3.800000000410364</v>
      </c>
      <c r="BF64" s="72">
        <f t="shared" si="41"/>
        <v>19.670536342469735</v>
      </c>
      <c r="BG64" s="112">
        <v>14485.9642</v>
      </c>
      <c r="BH64" s="112">
        <v>13515.317499999999</v>
      </c>
      <c r="BI64" s="72">
        <f t="shared" si="42"/>
        <v>21.600000000034925</v>
      </c>
      <c r="BJ64" s="72">
        <f t="shared" si="43"/>
        <v>-7.5000000015279511</v>
      </c>
      <c r="BK64" s="72">
        <f t="shared" si="44"/>
        <v>22.865038815283654</v>
      </c>
      <c r="BL64" s="32">
        <v>55</v>
      </c>
      <c r="BM64" s="40"/>
      <c r="BN64" s="40"/>
    </row>
    <row r="65" spans="3:64" x14ac:dyDescent="0.3">
      <c r="C65" s="32">
        <v>56</v>
      </c>
      <c r="D65" s="151" t="s">
        <v>26</v>
      </c>
      <c r="E65" s="152"/>
      <c r="F65" s="33">
        <v>0</v>
      </c>
      <c r="G65" s="33">
        <v>0</v>
      </c>
      <c r="H65" s="33">
        <v>0</v>
      </c>
      <c r="I65" s="149" t="s">
        <v>26</v>
      </c>
      <c r="J65" s="150"/>
      <c r="K65" s="33" t="s">
        <v>17</v>
      </c>
      <c r="L65" s="33" t="s">
        <v>17</v>
      </c>
      <c r="M65" s="33" t="s">
        <v>17</v>
      </c>
      <c r="N65" s="71">
        <v>14468.995999999999</v>
      </c>
      <c r="O65" s="71">
        <v>13520.681</v>
      </c>
      <c r="P65" s="72">
        <v>0</v>
      </c>
      <c r="Q65" s="72">
        <v>0</v>
      </c>
      <c r="R65" s="72">
        <v>0</v>
      </c>
      <c r="S65" s="71">
        <v>14468.989</v>
      </c>
      <c r="T65" s="71">
        <v>13520.686</v>
      </c>
      <c r="U65" s="72">
        <f t="shared" ref="U65:U66" si="111">P65+(S65-N65)*1000</f>
        <v>-6.9999999996070983</v>
      </c>
      <c r="V65" s="72">
        <f t="shared" ref="V65:V66" si="112">Q65+(T65-O65)*1000</f>
        <v>4.9999999991996447</v>
      </c>
      <c r="W65" s="72">
        <f t="shared" ref="W65:W66" si="113">SQRT(((U65*U65)+(V65*V65)))</f>
        <v>8.6023252662577132</v>
      </c>
      <c r="X65" s="71">
        <v>14469.001700000001</v>
      </c>
      <c r="Y65" s="71">
        <v>13520.68</v>
      </c>
      <c r="Z65" s="72">
        <f t="shared" si="96"/>
        <v>5.7000000015250407</v>
      </c>
      <c r="AA65" s="72">
        <f t="shared" si="97"/>
        <v>-1.0000000002037268</v>
      </c>
      <c r="AB65" s="72">
        <f t="shared" si="98"/>
        <v>5.7870545200294181</v>
      </c>
      <c r="AC65" s="71">
        <v>14469.007600000001</v>
      </c>
      <c r="AD65" s="71">
        <v>13520.6839</v>
      </c>
      <c r="AE65" s="33">
        <f t="shared" si="99"/>
        <v>11.600000001635635</v>
      </c>
      <c r="AF65" s="33">
        <f t="shared" si="100"/>
        <v>2.8999999994994141</v>
      </c>
      <c r="AG65" s="33">
        <f t="shared" si="101"/>
        <v>11.957006315756605</v>
      </c>
      <c r="AH65" s="113">
        <v>14469.007299999999</v>
      </c>
      <c r="AI65" s="113">
        <v>13520.6852</v>
      </c>
      <c r="AJ65" s="33">
        <f t="shared" si="108"/>
        <v>11.300000000119326</v>
      </c>
      <c r="AK65" s="33">
        <f t="shared" si="109"/>
        <v>4.1999999994004611</v>
      </c>
      <c r="AL65" s="72">
        <f t="shared" si="110"/>
        <v>12.05528929547776</v>
      </c>
      <c r="AM65" s="112">
        <v>14469.001099999999</v>
      </c>
      <c r="AN65" s="112">
        <v>13520.677799999999</v>
      </c>
      <c r="AO65" s="33">
        <f t="shared" si="105"/>
        <v>5.100000000311411</v>
      </c>
      <c r="AP65" s="33">
        <f t="shared" si="106"/>
        <v>-3.2000000010157237</v>
      </c>
      <c r="AQ65" s="33">
        <f t="shared" si="107"/>
        <v>6.0207972901997806</v>
      </c>
      <c r="AR65" s="113">
        <v>14469.0067</v>
      </c>
      <c r="AS65" s="113">
        <v>13520.676600000001</v>
      </c>
      <c r="AT65" s="72">
        <f t="shared" si="33"/>
        <v>10.700000000724685</v>
      </c>
      <c r="AU65" s="72">
        <f t="shared" si="34"/>
        <v>-4.3999999998050043</v>
      </c>
      <c r="AV65" s="72">
        <f t="shared" si="35"/>
        <v>11.569356076022222</v>
      </c>
      <c r="AW65" s="112">
        <v>14469.004800000001</v>
      </c>
      <c r="AX65" s="112">
        <v>13520.676799999999</v>
      </c>
      <c r="AY65" s="72">
        <f t="shared" si="36"/>
        <v>8.8000000014289981</v>
      </c>
      <c r="AZ65" s="72">
        <f t="shared" si="37"/>
        <v>-4.2000000012194505</v>
      </c>
      <c r="BA65" s="72">
        <f t="shared" si="38"/>
        <v>9.7508973964140218</v>
      </c>
      <c r="BB65" s="112">
        <v>14469.002</v>
      </c>
      <c r="BC65" s="112">
        <v>13520.6762</v>
      </c>
      <c r="BD65" s="72">
        <f t="shared" si="39"/>
        <v>6.0000000012223609</v>
      </c>
      <c r="BE65" s="72">
        <f t="shared" si="40"/>
        <v>-4.8000000006140908</v>
      </c>
      <c r="BF65" s="72">
        <f t="shared" si="41"/>
        <v>7.6837490862575413</v>
      </c>
      <c r="BG65" s="112">
        <v>14469.0069</v>
      </c>
      <c r="BH65" s="112">
        <v>13520.6708</v>
      </c>
      <c r="BI65" s="72">
        <f t="shared" si="42"/>
        <v>10.900000001129229</v>
      </c>
      <c r="BJ65" s="72">
        <f t="shared" si="43"/>
        <v>-10.200000000622822</v>
      </c>
      <c r="BK65" s="72">
        <f t="shared" si="44"/>
        <v>14.928161307988427</v>
      </c>
      <c r="BL65" s="32">
        <v>56</v>
      </c>
    </row>
    <row r="66" spans="3:64" x14ac:dyDescent="0.3">
      <c r="C66" s="32">
        <v>57</v>
      </c>
      <c r="D66" s="151" t="s">
        <v>26</v>
      </c>
      <c r="E66" s="152"/>
      <c r="F66" s="33">
        <v>0</v>
      </c>
      <c r="G66" s="33">
        <v>0</v>
      </c>
      <c r="H66" s="33">
        <v>0</v>
      </c>
      <c r="I66" s="149" t="s">
        <v>26</v>
      </c>
      <c r="J66" s="150"/>
      <c r="K66" s="33" t="s">
        <v>17</v>
      </c>
      <c r="L66" s="33" t="s">
        <v>17</v>
      </c>
      <c r="M66" s="33" t="s">
        <v>17</v>
      </c>
      <c r="N66" s="71">
        <v>14457.375</v>
      </c>
      <c r="O66" s="71">
        <v>13524.133</v>
      </c>
      <c r="P66" s="72">
        <v>0</v>
      </c>
      <c r="Q66" s="72">
        <v>0</v>
      </c>
      <c r="R66" s="72">
        <v>0</v>
      </c>
      <c r="S66" s="71">
        <v>14457.375</v>
      </c>
      <c r="T66" s="71">
        <v>13524.130999999999</v>
      </c>
      <c r="U66" s="72">
        <f t="shared" si="111"/>
        <v>0</v>
      </c>
      <c r="V66" s="72">
        <f t="shared" si="112"/>
        <v>-2.0000000004074536</v>
      </c>
      <c r="W66" s="72">
        <f t="shared" si="113"/>
        <v>2.0000000004074536</v>
      </c>
      <c r="X66" s="71">
        <v>14457.3768</v>
      </c>
      <c r="Y66" s="71">
        <v>13524.138800000001</v>
      </c>
      <c r="Z66" s="72">
        <f t="shared" si="96"/>
        <v>1.8000000000029104</v>
      </c>
      <c r="AA66" s="72">
        <f t="shared" si="97"/>
        <v>5.8000000008178176</v>
      </c>
      <c r="AB66" s="72">
        <f t="shared" si="98"/>
        <v>6.0728905810575213</v>
      </c>
      <c r="AC66" s="71">
        <v>14457.3806</v>
      </c>
      <c r="AD66" s="71">
        <v>13524.142</v>
      </c>
      <c r="AE66" s="33">
        <f t="shared" si="99"/>
        <v>5.6000000004132744</v>
      </c>
      <c r="AF66" s="33">
        <f t="shared" si="100"/>
        <v>9.0000000000145519</v>
      </c>
      <c r="AG66" s="33">
        <f t="shared" si="101"/>
        <v>10.60000000023069</v>
      </c>
      <c r="AH66" s="113">
        <v>14457.382</v>
      </c>
      <c r="AI66" s="113">
        <v>13524.141100000001</v>
      </c>
      <c r="AJ66" s="33">
        <f t="shared" si="108"/>
        <v>6.9999999996070983</v>
      </c>
      <c r="AK66" s="33">
        <f t="shared" si="109"/>
        <v>8.1000000009225914</v>
      </c>
      <c r="AL66" s="72">
        <f t="shared" si="110"/>
        <v>10.705606008509998</v>
      </c>
      <c r="AM66" s="112">
        <v>14457.3801</v>
      </c>
      <c r="AN66" s="112">
        <v>13524.1399</v>
      </c>
      <c r="AO66" s="33">
        <f t="shared" si="105"/>
        <v>5.100000000311411</v>
      </c>
      <c r="AP66" s="33">
        <f t="shared" si="106"/>
        <v>6.9000000003143214</v>
      </c>
      <c r="AQ66" s="33">
        <f t="shared" si="107"/>
        <v>8.5802097880829251</v>
      </c>
      <c r="AR66" s="113">
        <v>14457.3851</v>
      </c>
      <c r="AS66" s="113">
        <v>13524.1379</v>
      </c>
      <c r="AT66" s="72">
        <f t="shared" si="33"/>
        <v>10.099999999511056</v>
      </c>
      <c r="AU66" s="72">
        <f t="shared" si="34"/>
        <v>4.8999999999068677</v>
      </c>
      <c r="AV66" s="72">
        <f t="shared" si="35"/>
        <v>11.22586299529843</v>
      </c>
      <c r="AW66" s="112">
        <v>14457.3832</v>
      </c>
      <c r="AX66" s="112">
        <v>13524.1374</v>
      </c>
      <c r="AY66" s="72">
        <f t="shared" si="36"/>
        <v>8.2000000002153683</v>
      </c>
      <c r="AZ66" s="72">
        <f t="shared" si="37"/>
        <v>4.3999999998050043</v>
      </c>
      <c r="BA66" s="72">
        <f t="shared" si="38"/>
        <v>9.3059120994030504</v>
      </c>
      <c r="BB66" s="112">
        <v>14457.3817</v>
      </c>
      <c r="BC66" s="112">
        <v>13524.1358</v>
      </c>
      <c r="BD66" s="72">
        <f t="shared" si="39"/>
        <v>6.6999999999097781</v>
      </c>
      <c r="BE66" s="72">
        <f t="shared" si="40"/>
        <v>2.8000000002066372</v>
      </c>
      <c r="BF66" s="72">
        <f t="shared" si="41"/>
        <v>7.2615425358492658</v>
      </c>
      <c r="BG66" s="112">
        <v>14457.394399999999</v>
      </c>
      <c r="BH66" s="112">
        <v>13524.1369</v>
      </c>
      <c r="BI66" s="72">
        <f t="shared" si="42"/>
        <v>19.399999999222928</v>
      </c>
      <c r="BJ66" s="72">
        <f t="shared" si="43"/>
        <v>3.8999999997031409</v>
      </c>
      <c r="BK66" s="72">
        <f t="shared" si="44"/>
        <v>19.788127752961728</v>
      </c>
      <c r="BL66" s="32">
        <v>57</v>
      </c>
    </row>
  </sheetData>
  <mergeCells count="368">
    <mergeCell ref="AM52:AN52"/>
    <mergeCell ref="AM53:AN53"/>
    <mergeCell ref="AM54:AN54"/>
    <mergeCell ref="AM55:AN55"/>
    <mergeCell ref="AM56:AN56"/>
    <mergeCell ref="AM57:AN57"/>
    <mergeCell ref="AM58:AN58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14:AN14"/>
    <mergeCell ref="AM15:AN15"/>
    <mergeCell ref="AM16:AN16"/>
    <mergeCell ref="AM37:AN37"/>
    <mergeCell ref="AM38:AN38"/>
    <mergeCell ref="AM39:AN39"/>
    <mergeCell ref="AM40:AN40"/>
    <mergeCell ref="AM41:AN41"/>
    <mergeCell ref="AM42:AN42"/>
    <mergeCell ref="AH39:AI39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X53:Y53"/>
    <mergeCell ref="X54:Y54"/>
    <mergeCell ref="X55:Y55"/>
    <mergeCell ref="X56:Y56"/>
    <mergeCell ref="X57:Y57"/>
    <mergeCell ref="X58:Y58"/>
    <mergeCell ref="X59:Y59"/>
    <mergeCell ref="X60:Y60"/>
    <mergeCell ref="AC53:AD53"/>
    <mergeCell ref="AC54:AD54"/>
    <mergeCell ref="AC55:AD55"/>
    <mergeCell ref="AC56:AD56"/>
    <mergeCell ref="AC57:AD57"/>
    <mergeCell ref="AC58:AD58"/>
    <mergeCell ref="AC59:AD59"/>
    <mergeCell ref="AC14:AD14"/>
    <mergeCell ref="AC15:AD15"/>
    <mergeCell ref="AC16:AD16"/>
    <mergeCell ref="AC17:AD17"/>
    <mergeCell ref="AC18:AD18"/>
    <mergeCell ref="AC19:AD19"/>
    <mergeCell ref="AC20:AD20"/>
    <mergeCell ref="AC39:AD39"/>
    <mergeCell ref="AC60:AD60"/>
    <mergeCell ref="X14:Y14"/>
    <mergeCell ref="X15:Y15"/>
    <mergeCell ref="X16:Y16"/>
    <mergeCell ref="X17:Y17"/>
    <mergeCell ref="X18:Y18"/>
    <mergeCell ref="X19:Y19"/>
    <mergeCell ref="X20:Y20"/>
    <mergeCell ref="X21:Y21"/>
    <mergeCell ref="X39:Y39"/>
    <mergeCell ref="C6:BL6"/>
    <mergeCell ref="C7:BL7"/>
    <mergeCell ref="I8:J8"/>
    <mergeCell ref="K8:M8"/>
    <mergeCell ref="BL8:BL9"/>
    <mergeCell ref="D8:E8"/>
    <mergeCell ref="F8:H8"/>
    <mergeCell ref="C8:C9"/>
    <mergeCell ref="N8:O8"/>
    <mergeCell ref="P8:R8"/>
    <mergeCell ref="U8:W8"/>
    <mergeCell ref="X8:Y8"/>
    <mergeCell ref="Z8:AB8"/>
    <mergeCell ref="AE8:AG8"/>
    <mergeCell ref="S8:T8"/>
    <mergeCell ref="AC8:AD8"/>
    <mergeCell ref="AH8:AI8"/>
    <mergeCell ref="AJ8:AL8"/>
    <mergeCell ref="AM8:AN8"/>
    <mergeCell ref="AO8:AQ8"/>
    <mergeCell ref="AR8:AS8"/>
    <mergeCell ref="AT8:AV8"/>
    <mergeCell ref="BB8:BC8"/>
    <mergeCell ref="BD8:BF8"/>
    <mergeCell ref="D59:E59"/>
    <mergeCell ref="D60:E60"/>
    <mergeCell ref="D65:E65"/>
    <mergeCell ref="D66:E66"/>
    <mergeCell ref="I55:J55"/>
    <mergeCell ref="I56:J56"/>
    <mergeCell ref="I57:J57"/>
    <mergeCell ref="I58:J58"/>
    <mergeCell ref="I59:J59"/>
    <mergeCell ref="I60:J60"/>
    <mergeCell ref="I65:J65"/>
    <mergeCell ref="I66:J66"/>
    <mergeCell ref="D15:E15"/>
    <mergeCell ref="D16:E16"/>
    <mergeCell ref="D17:E17"/>
    <mergeCell ref="D18:E18"/>
    <mergeCell ref="D19:E19"/>
    <mergeCell ref="D10:E10"/>
    <mergeCell ref="D11:E11"/>
    <mergeCell ref="D12:E12"/>
    <mergeCell ref="D13:E13"/>
    <mergeCell ref="D14:E14"/>
    <mergeCell ref="D25:E25"/>
    <mergeCell ref="D26:E26"/>
    <mergeCell ref="D27:E27"/>
    <mergeCell ref="D28:E28"/>
    <mergeCell ref="D29:E29"/>
    <mergeCell ref="D20:E20"/>
    <mergeCell ref="D21:E21"/>
    <mergeCell ref="D22:E22"/>
    <mergeCell ref="D23:E23"/>
    <mergeCell ref="D24:E24"/>
    <mergeCell ref="I39:J39"/>
    <mergeCell ref="I53:J53"/>
    <mergeCell ref="I54:J54"/>
    <mergeCell ref="D35:E35"/>
    <mergeCell ref="D36:E36"/>
    <mergeCell ref="I35:J35"/>
    <mergeCell ref="I36:J36"/>
    <mergeCell ref="D30:E30"/>
    <mergeCell ref="D31:E31"/>
    <mergeCell ref="D32:E32"/>
    <mergeCell ref="D33:E33"/>
    <mergeCell ref="D34:E34"/>
    <mergeCell ref="I30:J30"/>
    <mergeCell ref="I31:J31"/>
    <mergeCell ref="I32:J32"/>
    <mergeCell ref="I33:J33"/>
    <mergeCell ref="I34:J34"/>
    <mergeCell ref="I37:J37"/>
    <mergeCell ref="I38:J38"/>
    <mergeCell ref="I15:J15"/>
    <mergeCell ref="I16:J16"/>
    <mergeCell ref="I17:J17"/>
    <mergeCell ref="I18:J18"/>
    <mergeCell ref="I19:J19"/>
    <mergeCell ref="I10:J10"/>
    <mergeCell ref="I11:J11"/>
    <mergeCell ref="I12:J12"/>
    <mergeCell ref="I13:J13"/>
    <mergeCell ref="I14:J14"/>
    <mergeCell ref="I25:J25"/>
    <mergeCell ref="I26:J26"/>
    <mergeCell ref="I27:J27"/>
    <mergeCell ref="I28:J28"/>
    <mergeCell ref="I29:J29"/>
    <mergeCell ref="I20:J20"/>
    <mergeCell ref="I21:J21"/>
    <mergeCell ref="I22:J22"/>
    <mergeCell ref="I23:J23"/>
    <mergeCell ref="I24:J24"/>
    <mergeCell ref="BM38:BN38"/>
    <mergeCell ref="X22:Y22"/>
    <mergeCell ref="X23:Y23"/>
    <mergeCell ref="X24:Y24"/>
    <mergeCell ref="X37:Y37"/>
    <mergeCell ref="X38:Y38"/>
    <mergeCell ref="AC21:AD21"/>
    <mergeCell ref="AC22:AD22"/>
    <mergeCell ref="AC23:AD23"/>
    <mergeCell ref="AC24:AD24"/>
    <mergeCell ref="AC37:AD37"/>
    <mergeCell ref="AC38:AD38"/>
    <mergeCell ref="AH23:AI23"/>
    <mergeCell ref="AH24:AI24"/>
    <mergeCell ref="AH37:AI37"/>
    <mergeCell ref="AH38:AI38"/>
    <mergeCell ref="BB32:BC32"/>
    <mergeCell ref="BB33:BC33"/>
    <mergeCell ref="BB34:BC34"/>
    <mergeCell ref="BB35:BC35"/>
    <mergeCell ref="BB36:BC36"/>
    <mergeCell ref="BB37:BC37"/>
    <mergeCell ref="BB38:BC38"/>
    <mergeCell ref="N38:O38"/>
    <mergeCell ref="N39:O39"/>
    <mergeCell ref="N53:O53"/>
    <mergeCell ref="N54:O54"/>
    <mergeCell ref="N55:O55"/>
    <mergeCell ref="N20:O20"/>
    <mergeCell ref="N21:O21"/>
    <mergeCell ref="N22:O22"/>
    <mergeCell ref="N14:O14"/>
    <mergeCell ref="N34:O34"/>
    <mergeCell ref="N35:O35"/>
    <mergeCell ref="N36:O36"/>
    <mergeCell ref="N37:O37"/>
    <mergeCell ref="N23:O23"/>
    <mergeCell ref="N24:O24"/>
    <mergeCell ref="N15:O15"/>
    <mergeCell ref="N16:O16"/>
    <mergeCell ref="N17:O17"/>
    <mergeCell ref="N18:O18"/>
    <mergeCell ref="N19:O19"/>
    <mergeCell ref="S14:T14"/>
    <mergeCell ref="S15:T15"/>
    <mergeCell ref="S16:T16"/>
    <mergeCell ref="S17:T17"/>
    <mergeCell ref="S18:T18"/>
    <mergeCell ref="S19:T19"/>
    <mergeCell ref="S20:T20"/>
    <mergeCell ref="S21:T21"/>
    <mergeCell ref="S59:T59"/>
    <mergeCell ref="S22:T22"/>
    <mergeCell ref="S23:T23"/>
    <mergeCell ref="S24:T24"/>
    <mergeCell ref="S37:T37"/>
    <mergeCell ref="S38:T38"/>
    <mergeCell ref="S60:T60"/>
    <mergeCell ref="S39:T39"/>
    <mergeCell ref="S53:T53"/>
    <mergeCell ref="S54:T54"/>
    <mergeCell ref="S55:T55"/>
    <mergeCell ref="S56:T56"/>
    <mergeCell ref="N59:O59"/>
    <mergeCell ref="N60:O60"/>
    <mergeCell ref="S57:T57"/>
    <mergeCell ref="S58:T58"/>
    <mergeCell ref="N56:O56"/>
    <mergeCell ref="N57:O57"/>
    <mergeCell ref="N58:O58"/>
    <mergeCell ref="AR14:AS14"/>
    <mergeCell ref="AR15:AS15"/>
    <mergeCell ref="AR16:AS1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W8:AX8"/>
    <mergeCell ref="AY8:BA8"/>
    <mergeCell ref="AW14:AX14"/>
    <mergeCell ref="AW15:AX15"/>
    <mergeCell ref="AW16:AX16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BB14:BC14"/>
    <mergeCell ref="BB15:BC15"/>
    <mergeCell ref="BB16:BC16"/>
    <mergeCell ref="BB26:BC26"/>
    <mergeCell ref="BB27:BC27"/>
    <mergeCell ref="BB28:BC28"/>
    <mergeCell ref="BB29:BC29"/>
    <mergeCell ref="BB30:BC30"/>
    <mergeCell ref="BB31:BC31"/>
    <mergeCell ref="BB39:BC39"/>
    <mergeCell ref="BB40:BC40"/>
    <mergeCell ref="BB41:BC41"/>
    <mergeCell ref="BB42:BC42"/>
    <mergeCell ref="BB43:BC43"/>
    <mergeCell ref="BB44:BC44"/>
    <mergeCell ref="BB45:BC45"/>
    <mergeCell ref="BB46:BC46"/>
    <mergeCell ref="BB47:BC47"/>
    <mergeCell ref="BB48:BC48"/>
    <mergeCell ref="BB49:BC49"/>
    <mergeCell ref="BB50:BC50"/>
    <mergeCell ref="BB51:BC51"/>
    <mergeCell ref="BB52:BC52"/>
    <mergeCell ref="BB53:BC53"/>
    <mergeCell ref="BB54:BC54"/>
    <mergeCell ref="BB55:BC55"/>
    <mergeCell ref="BB56:BC56"/>
    <mergeCell ref="BB57:BC57"/>
    <mergeCell ref="BB58:BC58"/>
    <mergeCell ref="BB59:BC59"/>
    <mergeCell ref="BB60:BC60"/>
    <mergeCell ref="BG8:BH8"/>
    <mergeCell ref="BI8:BK8"/>
    <mergeCell ref="BG26:BH26"/>
    <mergeCell ref="BG27:BH27"/>
    <mergeCell ref="BG28:BH28"/>
    <mergeCell ref="BG29:BH29"/>
    <mergeCell ref="BG30:BH30"/>
    <mergeCell ref="BG31:BH31"/>
    <mergeCell ref="BG32:BH32"/>
    <mergeCell ref="BG33:BH33"/>
    <mergeCell ref="BG34:BH34"/>
    <mergeCell ref="BG35:BH35"/>
    <mergeCell ref="BG36:BH36"/>
    <mergeCell ref="BG37:BH37"/>
    <mergeCell ref="BG38:BH38"/>
    <mergeCell ref="BG39:BH39"/>
    <mergeCell ref="BG40:BH40"/>
    <mergeCell ref="BG41:BH41"/>
    <mergeCell ref="BG42:BH42"/>
    <mergeCell ref="BG43:BH43"/>
    <mergeCell ref="BG53:BH53"/>
    <mergeCell ref="BG54:BH54"/>
    <mergeCell ref="BG55:BH55"/>
    <mergeCell ref="BG56:BH56"/>
    <mergeCell ref="BG57:BH57"/>
    <mergeCell ref="BG58:BH58"/>
    <mergeCell ref="BG59:BH59"/>
    <mergeCell ref="BG60:BH60"/>
    <mergeCell ref="BG44:BH44"/>
    <mergeCell ref="BG45:BH45"/>
    <mergeCell ref="BG46:BH46"/>
    <mergeCell ref="BG47:BH47"/>
    <mergeCell ref="BG48:BH48"/>
    <mergeCell ref="BG49:BH49"/>
    <mergeCell ref="BG50:BH50"/>
    <mergeCell ref="BG51:BH51"/>
    <mergeCell ref="BG52:BH5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AU125"/>
  <sheetViews>
    <sheetView topLeftCell="A58" zoomScale="85" zoomScaleNormal="85" workbookViewId="0">
      <selection activeCell="AH61" sqref="C61:AH99"/>
    </sheetView>
  </sheetViews>
  <sheetFormatPr defaultColWidth="9.109375" defaultRowHeight="13.8" x14ac:dyDescent="0.25"/>
  <cols>
    <col min="1" max="2" width="9.109375" style="77"/>
    <col min="3" max="3" width="5.77734375" style="77" customWidth="1"/>
    <col min="4" max="6" width="9.77734375" style="77" customWidth="1"/>
    <col min="7" max="7" width="9.77734375" style="74" customWidth="1"/>
    <col min="8" max="8" width="9.77734375" style="77" customWidth="1"/>
    <col min="9" max="10" width="9.77734375" style="74" customWidth="1"/>
    <col min="11" max="11" width="9.77734375" style="77" customWidth="1"/>
    <col min="12" max="13" width="9.77734375" style="74" customWidth="1"/>
    <col min="14" max="14" width="9.77734375" style="77" customWidth="1"/>
    <col min="15" max="15" width="9.77734375" style="74" customWidth="1"/>
    <col min="16" max="16" width="10.6640625" style="74" hidden="1" customWidth="1"/>
    <col min="17" max="17" width="10.6640625" style="77" hidden="1" customWidth="1"/>
    <col min="18" max="24" width="10.6640625" style="74" hidden="1" customWidth="1"/>
    <col min="25" max="25" width="10.6640625" style="75" hidden="1" customWidth="1"/>
    <col min="26" max="27" width="10.6640625" style="74" hidden="1" customWidth="1"/>
    <col min="28" max="28" width="10.6640625" style="75" hidden="1" customWidth="1"/>
    <col min="29" max="30" width="10.6640625" style="74" hidden="1" customWidth="1"/>
    <col min="31" max="31" width="10.6640625" style="75" hidden="1" customWidth="1"/>
    <col min="32" max="33" width="10.6640625" style="74" hidden="1" customWidth="1"/>
    <col min="34" max="34" width="5.77734375" style="74" customWidth="1"/>
    <col min="35" max="35" width="7.6640625" style="74" customWidth="1"/>
    <col min="36" max="36" width="11.33203125" style="77" customWidth="1"/>
    <col min="37" max="37" width="9.109375" style="77"/>
    <col min="38" max="41" width="10.33203125" style="77" bestFit="1" customWidth="1"/>
    <col min="42" max="42" width="12.5546875" style="77" customWidth="1"/>
    <col min="43" max="43" width="10.88671875" style="77" bestFit="1" customWidth="1"/>
    <col min="44" max="44" width="10.109375" style="77" bestFit="1" customWidth="1"/>
    <col min="45" max="46" width="10.33203125" style="77" bestFit="1" customWidth="1"/>
    <col min="47" max="47" width="10.33203125" style="77" customWidth="1"/>
    <col min="48" max="16384" width="9.109375" style="77"/>
  </cols>
  <sheetData>
    <row r="1" spans="3:47" x14ac:dyDescent="0.25">
      <c r="C1" s="74"/>
      <c r="D1" s="74"/>
      <c r="E1" s="74"/>
      <c r="F1" s="74"/>
      <c r="H1" s="74"/>
      <c r="K1" s="74"/>
      <c r="N1" s="74"/>
      <c r="Q1" s="74"/>
      <c r="AH1" s="76" t="s">
        <v>58</v>
      </c>
      <c r="AI1" s="76"/>
    </row>
    <row r="2" spans="3:47" x14ac:dyDescent="0.25">
      <c r="C2" s="168" t="s">
        <v>51</v>
      </c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78"/>
    </row>
    <row r="3" spans="3:47" x14ac:dyDescent="0.25">
      <c r="C3" s="169" t="s">
        <v>61</v>
      </c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69"/>
      <c r="AI3" s="79"/>
      <c r="AJ3" s="80"/>
    </row>
    <row r="4" spans="3:47" ht="30" customHeight="1" x14ac:dyDescent="0.25">
      <c r="C4" s="170" t="s">
        <v>1</v>
      </c>
      <c r="D4" s="132" t="s">
        <v>62</v>
      </c>
      <c r="E4" s="133"/>
      <c r="F4" s="134"/>
      <c r="G4" s="132" t="s">
        <v>158</v>
      </c>
      <c r="H4" s="133"/>
      <c r="I4" s="134"/>
      <c r="J4" s="132" t="s">
        <v>210</v>
      </c>
      <c r="K4" s="133"/>
      <c r="L4" s="134"/>
      <c r="M4" s="132" t="s">
        <v>251</v>
      </c>
      <c r="N4" s="133"/>
      <c r="O4" s="134"/>
      <c r="P4" s="171" t="s">
        <v>52</v>
      </c>
      <c r="Q4" s="171"/>
      <c r="R4" s="171"/>
      <c r="S4" s="171" t="s">
        <v>53</v>
      </c>
      <c r="T4" s="171"/>
      <c r="U4" s="171"/>
      <c r="V4" s="171" t="s">
        <v>54</v>
      </c>
      <c r="W4" s="171"/>
      <c r="X4" s="171"/>
      <c r="Y4" s="171" t="s">
        <v>55</v>
      </c>
      <c r="Z4" s="171"/>
      <c r="AA4" s="171"/>
      <c r="AB4" s="171" t="s">
        <v>56</v>
      </c>
      <c r="AC4" s="171"/>
      <c r="AD4" s="171"/>
      <c r="AE4" s="171" t="s">
        <v>57</v>
      </c>
      <c r="AF4" s="171"/>
      <c r="AG4" s="171"/>
      <c r="AH4" s="170" t="s">
        <v>1</v>
      </c>
      <c r="AI4" s="81"/>
      <c r="AL4" s="77" t="s">
        <v>114</v>
      </c>
    </row>
    <row r="5" spans="3:47" ht="55.2" customHeight="1" x14ac:dyDescent="0.25">
      <c r="C5" s="170"/>
      <c r="D5" s="82" t="s">
        <v>2</v>
      </c>
      <c r="E5" s="11" t="s">
        <v>3</v>
      </c>
      <c r="F5" s="11" t="s">
        <v>4</v>
      </c>
      <c r="G5" s="82" t="s">
        <v>2</v>
      </c>
      <c r="H5" s="11" t="s">
        <v>3</v>
      </c>
      <c r="I5" s="11" t="s">
        <v>4</v>
      </c>
      <c r="J5" s="82" t="s">
        <v>2</v>
      </c>
      <c r="K5" s="11" t="s">
        <v>3</v>
      </c>
      <c r="L5" s="11" t="s">
        <v>4</v>
      </c>
      <c r="M5" s="82" t="s">
        <v>2</v>
      </c>
      <c r="N5" s="11" t="s">
        <v>3</v>
      </c>
      <c r="O5" s="11" t="s">
        <v>4</v>
      </c>
      <c r="P5" s="82" t="s">
        <v>2</v>
      </c>
      <c r="Q5" s="11" t="s">
        <v>3</v>
      </c>
      <c r="R5" s="11" t="s">
        <v>4</v>
      </c>
      <c r="S5" s="82" t="s">
        <v>2</v>
      </c>
      <c r="T5" s="11" t="s">
        <v>3</v>
      </c>
      <c r="U5" s="11" t="s">
        <v>4</v>
      </c>
      <c r="V5" s="82" t="s">
        <v>2</v>
      </c>
      <c r="W5" s="11" t="s">
        <v>3</v>
      </c>
      <c r="X5" s="11" t="s">
        <v>4</v>
      </c>
      <c r="Y5" s="10" t="s">
        <v>2</v>
      </c>
      <c r="Z5" s="11" t="s">
        <v>3</v>
      </c>
      <c r="AA5" s="11" t="s">
        <v>4</v>
      </c>
      <c r="AB5" s="10" t="s">
        <v>2</v>
      </c>
      <c r="AC5" s="11" t="s">
        <v>3</v>
      </c>
      <c r="AD5" s="11" t="s">
        <v>4</v>
      </c>
      <c r="AE5" s="10" t="s">
        <v>2</v>
      </c>
      <c r="AF5" s="11" t="s">
        <v>3</v>
      </c>
      <c r="AG5" s="11" t="s">
        <v>4</v>
      </c>
      <c r="AH5" s="170"/>
      <c r="AI5" s="81"/>
      <c r="AL5" s="83">
        <v>45838</v>
      </c>
      <c r="AM5" s="83">
        <v>45869</v>
      </c>
      <c r="AN5" s="83">
        <v>45897</v>
      </c>
      <c r="AO5" s="83"/>
      <c r="AP5" s="83"/>
      <c r="AQ5" s="83"/>
      <c r="AR5" s="83"/>
      <c r="AS5" s="83"/>
      <c r="AT5" s="83"/>
      <c r="AU5" s="83"/>
    </row>
    <row r="6" spans="3:47" ht="15.6" x14ac:dyDescent="0.25">
      <c r="C6" s="95" t="s">
        <v>64</v>
      </c>
      <c r="D6" s="84">
        <v>142.65530000000001</v>
      </c>
      <c r="E6" s="85">
        <v>0</v>
      </c>
      <c r="F6" s="85">
        <v>0</v>
      </c>
      <c r="G6" s="84">
        <v>142.65299999999999</v>
      </c>
      <c r="H6" s="85">
        <f>(G6-D6)*1000</f>
        <v>-2.3000000000195087</v>
      </c>
      <c r="I6" s="85">
        <f>F6+H6</f>
        <v>-2.3000000000195087</v>
      </c>
      <c r="J6" s="84">
        <v>142.65029999999999</v>
      </c>
      <c r="K6" s="85">
        <f>(J6-G6)*1000</f>
        <v>-2.7000000000043656</v>
      </c>
      <c r="L6" s="85">
        <f>I6+K6</f>
        <v>-5.0000000000238742</v>
      </c>
      <c r="M6" s="84">
        <v>142.64769999999999</v>
      </c>
      <c r="N6" s="85">
        <f>(M6-J6)*1000</f>
        <v>-2.6000000000010459</v>
      </c>
      <c r="O6" s="85">
        <f>L6+N6</f>
        <v>-7.6000000000249202</v>
      </c>
      <c r="P6" s="84">
        <v>91.493499999999997</v>
      </c>
      <c r="Q6" s="85">
        <f>(P6-M6)*1000</f>
        <v>-51154.19999999999</v>
      </c>
      <c r="R6" s="85">
        <f>O6+Q6</f>
        <v>-51161.800000000017</v>
      </c>
      <c r="S6" s="84">
        <v>91.492599999999996</v>
      </c>
      <c r="T6" s="85">
        <f>(S6-P6)*1000</f>
        <v>-0.90000000000145519</v>
      </c>
      <c r="U6" s="85">
        <f>R6+T6</f>
        <v>-51162.700000000019</v>
      </c>
      <c r="V6" s="84">
        <v>91.491699999999994</v>
      </c>
      <c r="W6" s="85">
        <f>(V6-S6)*1000</f>
        <v>-0.90000000000145519</v>
      </c>
      <c r="X6" s="85">
        <f>U6+W6</f>
        <v>-51163.60000000002</v>
      </c>
      <c r="Y6" s="86">
        <v>91.490899999999996</v>
      </c>
      <c r="Z6" s="85">
        <f>(Y6-V6)*1000</f>
        <v>-0.79999999999813554</v>
      </c>
      <c r="AA6" s="85">
        <f>X6+Z6</f>
        <v>-51164.400000000016</v>
      </c>
      <c r="AB6" s="86">
        <v>91.490499999999997</v>
      </c>
      <c r="AC6" s="85">
        <f>(AB6-Y6)*1000</f>
        <v>-0.39999999999906777</v>
      </c>
      <c r="AD6" s="85">
        <f>AA6+AC6</f>
        <v>-51164.800000000017</v>
      </c>
      <c r="AE6" s="86">
        <v>91.49</v>
      </c>
      <c r="AF6" s="85">
        <f>(AE6-AB6)*1000</f>
        <v>-0.50000000000238742</v>
      </c>
      <c r="AG6" s="85">
        <f>AD6+AF6</f>
        <v>-51165.300000000017</v>
      </c>
      <c r="AH6" s="95" t="str">
        <f>C6</f>
        <v>3.1.</v>
      </c>
      <c r="AI6" s="87"/>
      <c r="AK6" s="89" t="s">
        <v>64</v>
      </c>
      <c r="AL6" s="77">
        <v>0</v>
      </c>
      <c r="AM6" s="77">
        <v>-2.3000000000195087</v>
      </c>
      <c r="AN6" s="77">
        <v>-5.0000000000238742</v>
      </c>
    </row>
    <row r="7" spans="3:47" ht="15.6" x14ac:dyDescent="0.25">
      <c r="C7" s="95" t="s">
        <v>65</v>
      </c>
      <c r="D7" s="84">
        <v>142.5915</v>
      </c>
      <c r="E7" s="85">
        <v>0</v>
      </c>
      <c r="F7" s="85">
        <v>0</v>
      </c>
      <c r="G7" s="84">
        <v>142.58940000000001</v>
      </c>
      <c r="H7" s="85">
        <f t="shared" ref="H7:H32" si="0">(G7-D7)*1000</f>
        <v>-2.0999999999844476</v>
      </c>
      <c r="I7" s="85">
        <f t="shared" ref="I7:I32" si="1">F7+H7</f>
        <v>-2.0999999999844476</v>
      </c>
      <c r="J7" s="84">
        <v>142.5864</v>
      </c>
      <c r="K7" s="85">
        <f t="shared" ref="K7:K32" si="2">(J7-G7)*1000</f>
        <v>-3.0000000000143245</v>
      </c>
      <c r="L7" s="85">
        <f t="shared" ref="L7:L32" si="3">I7+K7</f>
        <v>-5.0999999999987722</v>
      </c>
      <c r="M7" s="84">
        <v>142.58410000000001</v>
      </c>
      <c r="N7" s="85">
        <f t="shared" ref="N7:N32" si="4">(M7-J7)*1000</f>
        <v>-2.299999999991087</v>
      </c>
      <c r="O7" s="85">
        <f t="shared" ref="O7:O32" si="5">L7+N7</f>
        <v>-7.3999999999898591</v>
      </c>
      <c r="P7" s="84">
        <v>91.558499999999995</v>
      </c>
      <c r="Q7" s="85">
        <f t="shared" ref="Q7:Q32" si="6">(P7-M7)*1000</f>
        <v>-51025.600000000013</v>
      </c>
      <c r="R7" s="85">
        <f t="shared" ref="R7:R32" si="7">O7+Q7</f>
        <v>-51033</v>
      </c>
      <c r="S7" s="84">
        <v>91.5578</v>
      </c>
      <c r="T7" s="85">
        <f t="shared" ref="T7:T32" si="8">(S7-P7)*1000</f>
        <v>-0.69999999999481588</v>
      </c>
      <c r="U7" s="85">
        <f t="shared" ref="U7:U32" si="9">R7+T7</f>
        <v>-51033.7</v>
      </c>
      <c r="V7" s="84">
        <v>91.557100000000005</v>
      </c>
      <c r="W7" s="85">
        <f t="shared" ref="W7:W32" si="10">(V7-S7)*1000</f>
        <v>-0.69999999999481588</v>
      </c>
      <c r="X7" s="85">
        <f t="shared" ref="X7:X32" si="11">U7+W7</f>
        <v>-51034.399999999994</v>
      </c>
      <c r="Y7" s="86">
        <v>91.5565</v>
      </c>
      <c r="Z7" s="85">
        <f t="shared" ref="Z7:Z32" si="12">(Y7-V7)*1000</f>
        <v>-0.60000000000570708</v>
      </c>
      <c r="AA7" s="85">
        <f t="shared" ref="AA7:AA32" si="13">X7+Z7</f>
        <v>-51035</v>
      </c>
      <c r="AB7" s="86">
        <v>91.555899999999994</v>
      </c>
      <c r="AC7" s="85">
        <f t="shared" ref="AC7:AC32" si="14">(AB7-Y7)*1000</f>
        <v>-0.60000000000570708</v>
      </c>
      <c r="AD7" s="85">
        <f t="shared" ref="AD7:AD32" si="15">AA7+AC7</f>
        <v>-51035.600000000006</v>
      </c>
      <c r="AE7" s="86">
        <v>91.555599999999998</v>
      </c>
      <c r="AF7" s="85">
        <f t="shared" ref="AF7:AF32" si="16">(AE7-AB7)*1000</f>
        <v>-0.29999999999574811</v>
      </c>
      <c r="AG7" s="85">
        <f t="shared" ref="AG7:AG32" si="17">AD7+AF7</f>
        <v>-51035.9</v>
      </c>
      <c r="AH7" s="95" t="str">
        <f t="shared" ref="AH7:AH31" si="18">C7</f>
        <v>3.2.</v>
      </c>
      <c r="AI7" s="87"/>
      <c r="AK7" s="89" t="s">
        <v>65</v>
      </c>
      <c r="AL7" s="77">
        <v>0</v>
      </c>
      <c r="AM7" s="77">
        <v>-2.0999999999844476</v>
      </c>
      <c r="AN7" s="77">
        <v>-5.0999999999987722</v>
      </c>
    </row>
    <row r="8" spans="3:47" ht="15.6" x14ac:dyDescent="0.25">
      <c r="C8" s="95" t="s">
        <v>66</v>
      </c>
      <c r="D8" s="84">
        <v>142.71880000000002</v>
      </c>
      <c r="E8" s="85">
        <v>0</v>
      </c>
      <c r="F8" s="85">
        <v>0</v>
      </c>
      <c r="G8" s="84">
        <v>142.71639999999999</v>
      </c>
      <c r="H8" s="85">
        <f t="shared" si="0"/>
        <v>-2.4000000000228283</v>
      </c>
      <c r="I8" s="85">
        <f t="shared" si="1"/>
        <v>-2.4000000000228283</v>
      </c>
      <c r="J8" s="84">
        <v>142.71360000000001</v>
      </c>
      <c r="K8" s="85">
        <f t="shared" si="2"/>
        <v>-2.7999999999792635</v>
      </c>
      <c r="L8" s="85">
        <f t="shared" si="3"/>
        <v>-5.2000000000020918</v>
      </c>
      <c r="M8" s="84">
        <v>142.71090000000001</v>
      </c>
      <c r="N8" s="85">
        <f t="shared" si="4"/>
        <v>-2.7000000000043656</v>
      </c>
      <c r="O8" s="85">
        <f t="shared" si="5"/>
        <v>-7.9000000000064574</v>
      </c>
      <c r="P8" s="84">
        <v>91.597099999999998</v>
      </c>
      <c r="Q8" s="85">
        <f t="shared" si="6"/>
        <v>-51113.80000000001</v>
      </c>
      <c r="R8" s="85">
        <f t="shared" si="7"/>
        <v>-51121.700000000019</v>
      </c>
      <c r="S8" s="84">
        <v>91.596299999999999</v>
      </c>
      <c r="T8" s="85">
        <f t="shared" si="8"/>
        <v>-0.79999999999813554</v>
      </c>
      <c r="U8" s="85">
        <f t="shared" si="9"/>
        <v>-51122.500000000015</v>
      </c>
      <c r="V8" s="84">
        <v>91.595500000000001</v>
      </c>
      <c r="W8" s="85">
        <f t="shared" si="10"/>
        <v>-0.79999999999813554</v>
      </c>
      <c r="X8" s="85">
        <f t="shared" si="11"/>
        <v>-51123.30000000001</v>
      </c>
      <c r="Y8" s="86">
        <v>91.594800000000006</v>
      </c>
      <c r="Z8" s="85">
        <f t="shared" si="12"/>
        <v>-0.69999999999481588</v>
      </c>
      <c r="AA8" s="85">
        <f t="shared" si="13"/>
        <v>-51124.000000000007</v>
      </c>
      <c r="AB8" s="86">
        <v>91.594099999999997</v>
      </c>
      <c r="AC8" s="85">
        <f t="shared" si="14"/>
        <v>-0.70000000000902673</v>
      </c>
      <c r="AD8" s="85">
        <f t="shared" si="15"/>
        <v>-51124.700000000019</v>
      </c>
      <c r="AE8" s="86">
        <v>91.593699999999998</v>
      </c>
      <c r="AF8" s="85">
        <f t="shared" si="16"/>
        <v>-0.39999999999906777</v>
      </c>
      <c r="AG8" s="85">
        <f t="shared" si="17"/>
        <v>-51125.10000000002</v>
      </c>
      <c r="AH8" s="95" t="str">
        <f t="shared" si="18"/>
        <v>3.3.</v>
      </c>
      <c r="AI8" s="87"/>
      <c r="AK8" s="89" t="s">
        <v>66</v>
      </c>
      <c r="AL8" s="77">
        <v>0</v>
      </c>
      <c r="AM8" s="77">
        <v>-2.4000000000228283</v>
      </c>
      <c r="AN8" s="77">
        <v>-5.2000000000020918</v>
      </c>
    </row>
    <row r="9" spans="3:47" ht="15.6" x14ac:dyDescent="0.25">
      <c r="C9" s="95" t="s">
        <v>67</v>
      </c>
      <c r="D9" s="84">
        <v>142.7688</v>
      </c>
      <c r="E9" s="85">
        <v>0</v>
      </c>
      <c r="F9" s="85">
        <v>0</v>
      </c>
      <c r="G9" s="84">
        <v>142.7663</v>
      </c>
      <c r="H9" s="85">
        <f t="shared" si="0"/>
        <v>-2.4999999999977263</v>
      </c>
      <c r="I9" s="85">
        <f t="shared" si="1"/>
        <v>-2.4999999999977263</v>
      </c>
      <c r="J9" s="84">
        <v>142.76339999999999</v>
      </c>
      <c r="K9" s="85">
        <f t="shared" si="2"/>
        <v>-2.9000000000110049</v>
      </c>
      <c r="L9" s="85">
        <f t="shared" si="3"/>
        <v>-5.4000000000087311</v>
      </c>
      <c r="M9" s="84">
        <v>142.76060000000001</v>
      </c>
      <c r="N9" s="85">
        <f t="shared" si="4"/>
        <v>-2.7999999999792635</v>
      </c>
      <c r="O9" s="85">
        <f t="shared" si="5"/>
        <v>-8.1999999999879947</v>
      </c>
      <c r="P9" s="84">
        <v>91.761200000000002</v>
      </c>
      <c r="Q9" s="85">
        <f t="shared" si="6"/>
        <v>-50999.400000000009</v>
      </c>
      <c r="R9" s="85">
        <f t="shared" si="7"/>
        <v>-51007.6</v>
      </c>
      <c r="S9" s="84">
        <v>91.760300000000001</v>
      </c>
      <c r="T9" s="85">
        <f t="shared" si="8"/>
        <v>-0.90000000000145519</v>
      </c>
      <c r="U9" s="85">
        <f t="shared" si="9"/>
        <v>-51008.5</v>
      </c>
      <c r="V9" s="84">
        <v>91.759500000000003</v>
      </c>
      <c r="W9" s="85">
        <f t="shared" si="10"/>
        <v>-0.79999999999813554</v>
      </c>
      <c r="X9" s="85">
        <f t="shared" si="11"/>
        <v>-51009.299999999996</v>
      </c>
      <c r="Y9" s="86">
        <v>91.759</v>
      </c>
      <c r="Z9" s="85">
        <f t="shared" si="12"/>
        <v>-0.50000000000238742</v>
      </c>
      <c r="AA9" s="85">
        <f t="shared" si="13"/>
        <v>-51009.799999999996</v>
      </c>
      <c r="AB9" s="86">
        <v>91.758700000000005</v>
      </c>
      <c r="AC9" s="85">
        <f t="shared" si="14"/>
        <v>-0.29999999999574811</v>
      </c>
      <c r="AD9" s="85">
        <f t="shared" si="15"/>
        <v>-51010.099999999991</v>
      </c>
      <c r="AE9" s="86">
        <v>91.758099999999999</v>
      </c>
      <c r="AF9" s="85">
        <f t="shared" si="16"/>
        <v>-0.60000000000570708</v>
      </c>
      <c r="AG9" s="85">
        <f t="shared" si="17"/>
        <v>-51010.7</v>
      </c>
      <c r="AH9" s="95" t="str">
        <f t="shared" si="18"/>
        <v>3.4.</v>
      </c>
      <c r="AI9" s="87"/>
      <c r="AK9" s="89" t="s">
        <v>67</v>
      </c>
      <c r="AL9" s="77">
        <v>0</v>
      </c>
      <c r="AM9" s="77">
        <v>-2.4999999999977263</v>
      </c>
      <c r="AN9" s="77">
        <v>-5.4000000000087311</v>
      </c>
    </row>
    <row r="10" spans="3:47" ht="15.6" x14ac:dyDescent="0.25">
      <c r="C10" s="95" t="s">
        <v>68</v>
      </c>
      <c r="D10" s="84">
        <v>142.7628</v>
      </c>
      <c r="E10" s="85">
        <v>0</v>
      </c>
      <c r="F10" s="85">
        <v>0</v>
      </c>
      <c r="G10" s="84">
        <v>142.75989999999999</v>
      </c>
      <c r="H10" s="85">
        <f t="shared" si="0"/>
        <v>-2.9000000000110049</v>
      </c>
      <c r="I10" s="85">
        <f t="shared" si="1"/>
        <v>-2.9000000000110049</v>
      </c>
      <c r="J10" s="84">
        <v>142.75620000000001</v>
      </c>
      <c r="K10" s="85">
        <f t="shared" si="2"/>
        <v>-3.6999999999807187</v>
      </c>
      <c r="L10" s="85">
        <f t="shared" si="3"/>
        <v>-6.5999999999917236</v>
      </c>
      <c r="M10" s="84">
        <v>142.75370000000001</v>
      </c>
      <c r="N10" s="85">
        <f t="shared" si="4"/>
        <v>-2.4999999999977263</v>
      </c>
      <c r="O10" s="85">
        <f t="shared" si="5"/>
        <v>-9.0999999999894499</v>
      </c>
      <c r="P10" s="84">
        <v>91.6404</v>
      </c>
      <c r="Q10" s="85">
        <f t="shared" si="6"/>
        <v>-51113.30000000001</v>
      </c>
      <c r="R10" s="85">
        <f t="shared" si="7"/>
        <v>-51122.400000000001</v>
      </c>
      <c r="S10" s="84">
        <v>91.639399999999995</v>
      </c>
      <c r="T10" s="85">
        <f t="shared" si="8"/>
        <v>-1.0000000000047748</v>
      </c>
      <c r="U10" s="85">
        <f t="shared" si="9"/>
        <v>-51123.400000000009</v>
      </c>
      <c r="V10" s="84">
        <v>91.638900000000007</v>
      </c>
      <c r="W10" s="85">
        <f t="shared" si="10"/>
        <v>-0.49999999998817657</v>
      </c>
      <c r="X10" s="85">
        <f t="shared" si="11"/>
        <v>-51123.899999999994</v>
      </c>
      <c r="Y10" s="86">
        <v>91.638099999999994</v>
      </c>
      <c r="Z10" s="85">
        <f t="shared" si="12"/>
        <v>-0.80000000001234639</v>
      </c>
      <c r="AA10" s="85">
        <f t="shared" si="13"/>
        <v>-51124.700000000004</v>
      </c>
      <c r="AB10" s="86">
        <v>91.638000000000005</v>
      </c>
      <c r="AC10" s="85">
        <f t="shared" si="14"/>
        <v>-9.9999999989108801E-2</v>
      </c>
      <c r="AD10" s="85">
        <f t="shared" si="15"/>
        <v>-51124.799999999996</v>
      </c>
      <c r="AE10" s="86">
        <v>91.637100000000004</v>
      </c>
      <c r="AF10" s="85">
        <f t="shared" si="16"/>
        <v>-0.90000000000145519</v>
      </c>
      <c r="AG10" s="85">
        <f t="shared" si="17"/>
        <v>-51125.7</v>
      </c>
      <c r="AH10" s="95" t="str">
        <f t="shared" si="18"/>
        <v>3.5.</v>
      </c>
      <c r="AI10" s="87"/>
      <c r="AK10" s="89" t="s">
        <v>68</v>
      </c>
      <c r="AL10" s="77">
        <v>0</v>
      </c>
      <c r="AM10" s="77">
        <v>-2.9000000000110049</v>
      </c>
      <c r="AN10" s="77">
        <v>-6.5999999999917236</v>
      </c>
    </row>
    <row r="11" spans="3:47" ht="15.6" x14ac:dyDescent="0.25">
      <c r="C11" s="95" t="s">
        <v>69</v>
      </c>
      <c r="D11" s="84">
        <v>142.6215</v>
      </c>
      <c r="E11" s="85">
        <v>0</v>
      </c>
      <c r="F11" s="85">
        <v>0</v>
      </c>
      <c r="G11" s="84">
        <v>142.61840000000001</v>
      </c>
      <c r="H11" s="85">
        <f t="shared" si="0"/>
        <v>-3.0999999999892225</v>
      </c>
      <c r="I11" s="85">
        <f t="shared" si="1"/>
        <v>-3.0999999999892225</v>
      </c>
      <c r="J11" s="84">
        <v>142.61539999999999</v>
      </c>
      <c r="K11" s="85">
        <f t="shared" si="2"/>
        <v>-3.0000000000143245</v>
      </c>
      <c r="L11" s="85">
        <f t="shared" si="3"/>
        <v>-6.100000000003547</v>
      </c>
      <c r="M11" s="84">
        <v>142.613</v>
      </c>
      <c r="N11" s="85">
        <f t="shared" si="4"/>
        <v>-2.3999999999944066</v>
      </c>
      <c r="O11" s="85">
        <f t="shared" si="5"/>
        <v>-8.4999999999979536</v>
      </c>
      <c r="P11" s="84">
        <v>91.666300000000007</v>
      </c>
      <c r="Q11" s="85">
        <f t="shared" si="6"/>
        <v>-50946.69999999999</v>
      </c>
      <c r="R11" s="85">
        <f t="shared" si="7"/>
        <v>-50955.19999999999</v>
      </c>
      <c r="S11" s="84">
        <v>91.665199999999999</v>
      </c>
      <c r="T11" s="85">
        <f t="shared" si="8"/>
        <v>-1.1000000000080945</v>
      </c>
      <c r="U11" s="85">
        <f t="shared" si="9"/>
        <v>-50956.299999999996</v>
      </c>
      <c r="V11" s="84">
        <v>91.664299999999997</v>
      </c>
      <c r="W11" s="85">
        <f t="shared" si="10"/>
        <v>-0.90000000000145519</v>
      </c>
      <c r="X11" s="85">
        <f t="shared" si="11"/>
        <v>-50957.2</v>
      </c>
      <c r="Y11" s="86">
        <v>91.663600000000002</v>
      </c>
      <c r="Z11" s="85">
        <f t="shared" si="12"/>
        <v>-0.69999999999481588</v>
      </c>
      <c r="AA11" s="85">
        <f t="shared" si="13"/>
        <v>-50957.899999999994</v>
      </c>
      <c r="AB11" s="86">
        <v>91.663200000000003</v>
      </c>
      <c r="AC11" s="85">
        <f t="shared" si="14"/>
        <v>-0.39999999999906777</v>
      </c>
      <c r="AD11" s="85">
        <f t="shared" si="15"/>
        <v>-50958.299999999996</v>
      </c>
      <c r="AE11" s="86">
        <v>91.662400000000005</v>
      </c>
      <c r="AF11" s="85">
        <f t="shared" si="16"/>
        <v>-0.79999999999813554</v>
      </c>
      <c r="AG11" s="85">
        <f t="shared" si="17"/>
        <v>-50959.099999999991</v>
      </c>
      <c r="AH11" s="95" t="str">
        <f t="shared" si="18"/>
        <v>3.6.</v>
      </c>
      <c r="AI11" s="87"/>
      <c r="AK11" s="89" t="s">
        <v>69</v>
      </c>
      <c r="AL11" s="77">
        <v>0</v>
      </c>
      <c r="AM11" s="77">
        <v>-3.0999999999892225</v>
      </c>
      <c r="AN11" s="77">
        <v>-6.100000000003547</v>
      </c>
    </row>
    <row r="12" spans="3:47" ht="15.6" x14ac:dyDescent="0.25">
      <c r="C12" s="95" t="s">
        <v>70</v>
      </c>
      <c r="D12" s="84">
        <v>142.75390000000002</v>
      </c>
      <c r="E12" s="85">
        <v>0</v>
      </c>
      <c r="F12" s="85">
        <v>0</v>
      </c>
      <c r="G12" s="84">
        <v>142.75120000000001</v>
      </c>
      <c r="H12" s="85">
        <f t="shared" si="0"/>
        <v>-2.7000000000043656</v>
      </c>
      <c r="I12" s="85">
        <f t="shared" si="1"/>
        <v>-2.7000000000043656</v>
      </c>
      <c r="J12" s="84">
        <v>142.74780000000001</v>
      </c>
      <c r="K12" s="85">
        <f t="shared" si="2"/>
        <v>-3.3999999999991815</v>
      </c>
      <c r="L12" s="85">
        <f t="shared" si="3"/>
        <v>-6.100000000003547</v>
      </c>
      <c r="M12" s="84">
        <v>142.74510000000001</v>
      </c>
      <c r="N12" s="85">
        <f t="shared" si="4"/>
        <v>-2.7000000000043656</v>
      </c>
      <c r="O12" s="85">
        <f t="shared" si="5"/>
        <v>-8.8000000000079126</v>
      </c>
      <c r="P12" s="84">
        <v>91.619100000000003</v>
      </c>
      <c r="Q12" s="85">
        <f t="shared" si="6"/>
        <v>-51126.000000000007</v>
      </c>
      <c r="R12" s="85">
        <f t="shared" si="7"/>
        <v>-51134.800000000017</v>
      </c>
      <c r="S12" s="84">
        <v>91.618399999999994</v>
      </c>
      <c r="T12" s="85">
        <f t="shared" si="8"/>
        <v>-0.70000000000902673</v>
      </c>
      <c r="U12" s="85">
        <f t="shared" si="9"/>
        <v>-51135.500000000029</v>
      </c>
      <c r="V12" s="84">
        <v>91.617599999999996</v>
      </c>
      <c r="W12" s="85">
        <f t="shared" si="10"/>
        <v>-0.79999999999813554</v>
      </c>
      <c r="X12" s="85">
        <f t="shared" si="11"/>
        <v>-51136.300000000025</v>
      </c>
      <c r="Y12" s="86">
        <v>91.617000000000004</v>
      </c>
      <c r="Z12" s="85">
        <f t="shared" si="12"/>
        <v>-0.59999999999149622</v>
      </c>
      <c r="AA12" s="85">
        <f t="shared" si="13"/>
        <v>-51136.900000000016</v>
      </c>
      <c r="AB12" s="86">
        <v>91.616500000000002</v>
      </c>
      <c r="AC12" s="85">
        <f t="shared" si="14"/>
        <v>-0.50000000000238742</v>
      </c>
      <c r="AD12" s="85">
        <f t="shared" si="15"/>
        <v>-51137.400000000016</v>
      </c>
      <c r="AE12" s="86">
        <v>91.615899999999996</v>
      </c>
      <c r="AF12" s="85">
        <f t="shared" si="16"/>
        <v>-0.60000000000570708</v>
      </c>
      <c r="AG12" s="85">
        <f t="shared" si="17"/>
        <v>-51138.000000000022</v>
      </c>
      <c r="AH12" s="95" t="str">
        <f t="shared" si="18"/>
        <v>3.7.</v>
      </c>
      <c r="AI12" s="87"/>
      <c r="AJ12" s="77" t="s">
        <v>211</v>
      </c>
      <c r="AK12" s="89" t="s">
        <v>70</v>
      </c>
      <c r="AL12" s="77">
        <v>0</v>
      </c>
      <c r="AM12" s="77">
        <v>-2.7000000000043656</v>
      </c>
      <c r="AN12" s="77">
        <v>-6.100000000003547</v>
      </c>
    </row>
    <row r="13" spans="3:47" ht="15.6" x14ac:dyDescent="0.25">
      <c r="C13" s="95" t="s">
        <v>71</v>
      </c>
      <c r="D13" s="84">
        <v>142.69890000000001</v>
      </c>
      <c r="E13" s="85">
        <v>0</v>
      </c>
      <c r="F13" s="85">
        <v>0</v>
      </c>
      <c r="G13" s="84">
        <v>142.69640000000001</v>
      </c>
      <c r="H13" s="85">
        <f t="shared" si="0"/>
        <v>-2.4999999999977263</v>
      </c>
      <c r="I13" s="85">
        <f t="shared" si="1"/>
        <v>-2.4999999999977263</v>
      </c>
      <c r="J13" s="84">
        <v>142.69159999999999</v>
      </c>
      <c r="K13" s="85">
        <f t="shared" si="2"/>
        <v>-4.8000000000172349</v>
      </c>
      <c r="L13" s="115">
        <f t="shared" si="3"/>
        <v>-7.3000000000149612</v>
      </c>
      <c r="M13" s="84">
        <v>142.68870000000001</v>
      </c>
      <c r="N13" s="85">
        <f t="shared" si="4"/>
        <v>-2.8999999999825832</v>
      </c>
      <c r="O13" s="115">
        <f t="shared" si="5"/>
        <v>-10.199999999997544</v>
      </c>
      <c r="P13" s="84">
        <v>91.658199999999994</v>
      </c>
      <c r="Q13" s="85">
        <f t="shared" si="6"/>
        <v>-51030.500000000015</v>
      </c>
      <c r="R13" s="85">
        <f t="shared" si="7"/>
        <v>-51040.700000000012</v>
      </c>
      <c r="S13" s="84">
        <v>91.657300000000006</v>
      </c>
      <c r="T13" s="85">
        <f t="shared" si="8"/>
        <v>-0.89999999998724434</v>
      </c>
      <c r="U13" s="85">
        <f t="shared" si="9"/>
        <v>-51041.599999999999</v>
      </c>
      <c r="V13" s="84">
        <v>91.656700000000001</v>
      </c>
      <c r="W13" s="85">
        <f t="shared" si="10"/>
        <v>-0.60000000000570708</v>
      </c>
      <c r="X13" s="85">
        <f t="shared" si="11"/>
        <v>-51042.200000000004</v>
      </c>
      <c r="Y13" s="86">
        <v>91.655900000000003</v>
      </c>
      <c r="Z13" s="85">
        <f t="shared" si="12"/>
        <v>-0.79999999999813554</v>
      </c>
      <c r="AA13" s="85">
        <f t="shared" si="13"/>
        <v>-51043</v>
      </c>
      <c r="AB13" s="86">
        <v>91.655500000000004</v>
      </c>
      <c r="AC13" s="85">
        <f t="shared" si="14"/>
        <v>-0.39999999999906777</v>
      </c>
      <c r="AD13" s="85">
        <f t="shared" si="15"/>
        <v>-51043.4</v>
      </c>
      <c r="AE13" s="86">
        <v>91.654799999999994</v>
      </c>
      <c r="AF13" s="85">
        <f t="shared" si="16"/>
        <v>-0.70000000000902673</v>
      </c>
      <c r="AG13" s="85">
        <f t="shared" si="17"/>
        <v>-51044.100000000013</v>
      </c>
      <c r="AH13" s="95" t="str">
        <f t="shared" si="18"/>
        <v>3.8.</v>
      </c>
      <c r="AI13" s="87"/>
      <c r="AJ13" s="77">
        <v>12500</v>
      </c>
      <c r="AK13" s="89" t="s">
        <v>71</v>
      </c>
      <c r="AL13" s="77">
        <v>0</v>
      </c>
      <c r="AM13" s="77">
        <v>-2.4999999999977263</v>
      </c>
      <c r="AN13" s="77">
        <v>-7.3000000000149612</v>
      </c>
    </row>
    <row r="14" spans="3:47" ht="15.6" x14ac:dyDescent="0.25">
      <c r="C14" s="95" t="s">
        <v>72</v>
      </c>
      <c r="D14" s="84">
        <v>142.81290000000001</v>
      </c>
      <c r="E14" s="85">
        <v>0</v>
      </c>
      <c r="F14" s="85">
        <v>0</v>
      </c>
      <c r="G14" s="84">
        <v>142.81150000000002</v>
      </c>
      <c r="H14" s="85">
        <f t="shared" si="0"/>
        <v>-1.3999999999896318</v>
      </c>
      <c r="I14" s="85">
        <f t="shared" si="1"/>
        <v>-1.3999999999896318</v>
      </c>
      <c r="J14" s="84">
        <v>142.80590000000001</v>
      </c>
      <c r="K14" s="85">
        <f t="shared" si="2"/>
        <v>-5.6000000000153705</v>
      </c>
      <c r="L14" s="85">
        <f t="shared" si="3"/>
        <v>-7.0000000000050022</v>
      </c>
      <c r="M14" s="84">
        <v>142.80289999999999</v>
      </c>
      <c r="N14" s="85">
        <f t="shared" si="4"/>
        <v>-3.0000000000143245</v>
      </c>
      <c r="O14" s="85">
        <f t="shared" si="5"/>
        <v>-10.000000000019327</v>
      </c>
      <c r="P14" s="84">
        <v>91.7</v>
      </c>
      <c r="Q14" s="85">
        <f t="shared" si="6"/>
        <v>-51102.899999999994</v>
      </c>
      <c r="R14" s="85">
        <f t="shared" si="7"/>
        <v>-51112.900000000016</v>
      </c>
      <c r="S14" s="84">
        <v>91.699100000000001</v>
      </c>
      <c r="T14" s="85">
        <f t="shared" si="8"/>
        <v>-0.90000000000145519</v>
      </c>
      <c r="U14" s="85">
        <f t="shared" si="9"/>
        <v>-51113.800000000017</v>
      </c>
      <c r="V14" s="84">
        <v>91.698300000000003</v>
      </c>
      <c r="W14" s="85">
        <f t="shared" si="10"/>
        <v>-0.79999999999813554</v>
      </c>
      <c r="X14" s="85">
        <f t="shared" si="11"/>
        <v>-51114.600000000013</v>
      </c>
      <c r="Y14" s="86">
        <v>91.697800000000001</v>
      </c>
      <c r="Z14" s="85">
        <f t="shared" si="12"/>
        <v>-0.50000000000238742</v>
      </c>
      <c r="AA14" s="85">
        <f t="shared" si="13"/>
        <v>-51115.100000000013</v>
      </c>
      <c r="AB14" s="86">
        <v>91.697400000000002</v>
      </c>
      <c r="AC14" s="85">
        <f t="shared" si="14"/>
        <v>-0.39999999999906777</v>
      </c>
      <c r="AD14" s="85">
        <f t="shared" si="15"/>
        <v>-51115.500000000015</v>
      </c>
      <c r="AE14" s="86">
        <v>91.696899999999999</v>
      </c>
      <c r="AF14" s="85">
        <f t="shared" si="16"/>
        <v>-0.50000000000238742</v>
      </c>
      <c r="AG14" s="85">
        <f t="shared" si="17"/>
        <v>-51116.000000000015</v>
      </c>
      <c r="AH14" s="95" t="str">
        <f t="shared" si="18"/>
        <v>3.9.</v>
      </c>
      <c r="AI14" s="87"/>
      <c r="AK14" s="89" t="s">
        <v>72</v>
      </c>
      <c r="AL14" s="77">
        <v>0</v>
      </c>
      <c r="AM14" s="77">
        <v>-1.3999999999896318</v>
      </c>
      <c r="AN14" s="77">
        <v>-7.0000000000050022</v>
      </c>
    </row>
    <row r="15" spans="3:47" ht="15.6" x14ac:dyDescent="0.25">
      <c r="C15" s="95" t="s">
        <v>73</v>
      </c>
      <c r="D15" s="84">
        <v>142.8133</v>
      </c>
      <c r="E15" s="85">
        <v>0</v>
      </c>
      <c r="F15" s="85">
        <v>0</v>
      </c>
      <c r="G15" s="84">
        <v>142.81060000000002</v>
      </c>
      <c r="H15" s="85">
        <f t="shared" si="0"/>
        <v>-2.6999999999759439</v>
      </c>
      <c r="I15" s="85">
        <f t="shared" si="1"/>
        <v>-2.6999999999759439</v>
      </c>
      <c r="J15" s="84">
        <v>142.80629999999999</v>
      </c>
      <c r="K15" s="85">
        <f t="shared" si="2"/>
        <v>-4.3000000000290584</v>
      </c>
      <c r="L15" s="85">
        <f t="shared" si="3"/>
        <v>-7.0000000000050022</v>
      </c>
      <c r="M15" s="84">
        <v>142.80350000000001</v>
      </c>
      <c r="N15" s="85">
        <f t="shared" si="4"/>
        <v>-2.7999999999792635</v>
      </c>
      <c r="O15" s="85">
        <f t="shared" si="5"/>
        <v>-9.7999999999842657</v>
      </c>
      <c r="P15" s="84">
        <v>91.746799999999993</v>
      </c>
      <c r="Q15" s="85">
        <f t="shared" si="6"/>
        <v>-51056.700000000019</v>
      </c>
      <c r="R15" s="85">
        <f t="shared" si="7"/>
        <v>-51066.5</v>
      </c>
      <c r="S15" s="84">
        <v>91.745999999999995</v>
      </c>
      <c r="T15" s="85">
        <f t="shared" si="8"/>
        <v>-0.79999999999813554</v>
      </c>
      <c r="U15" s="85">
        <f t="shared" si="9"/>
        <v>-51067.299999999996</v>
      </c>
      <c r="V15" s="84">
        <v>91.745599999999996</v>
      </c>
      <c r="W15" s="85">
        <f t="shared" si="10"/>
        <v>-0.39999999999906777</v>
      </c>
      <c r="X15" s="85">
        <f t="shared" si="11"/>
        <v>-51067.7</v>
      </c>
      <c r="Y15" s="86">
        <v>91.745000000000005</v>
      </c>
      <c r="Z15" s="85">
        <f t="shared" si="12"/>
        <v>-0.59999999999149622</v>
      </c>
      <c r="AA15" s="85">
        <f t="shared" si="13"/>
        <v>-51068.299999999988</v>
      </c>
      <c r="AB15" s="86">
        <v>91.744500000000002</v>
      </c>
      <c r="AC15" s="85">
        <f t="shared" si="14"/>
        <v>-0.50000000000238742</v>
      </c>
      <c r="AD15" s="85">
        <f t="shared" si="15"/>
        <v>-51068.799999999988</v>
      </c>
      <c r="AE15" s="86">
        <v>91.743899999999996</v>
      </c>
      <c r="AF15" s="85">
        <f t="shared" si="16"/>
        <v>-0.60000000000570708</v>
      </c>
      <c r="AG15" s="85">
        <f t="shared" si="17"/>
        <v>-51069.399999999994</v>
      </c>
      <c r="AH15" s="95" t="str">
        <f t="shared" si="18"/>
        <v>3.10.</v>
      </c>
      <c r="AI15" s="87"/>
      <c r="AK15" s="89" t="s">
        <v>73</v>
      </c>
      <c r="AL15" s="77">
        <v>0</v>
      </c>
      <c r="AM15" s="77">
        <v>-2.6999999999759439</v>
      </c>
      <c r="AN15" s="77">
        <v>-7.0000000000050022</v>
      </c>
    </row>
    <row r="16" spans="3:47" ht="15.6" x14ac:dyDescent="0.25">
      <c r="C16" s="95" t="s">
        <v>74</v>
      </c>
      <c r="D16" s="84">
        <v>142.8229</v>
      </c>
      <c r="E16" s="85">
        <v>0</v>
      </c>
      <c r="F16" s="85">
        <v>0</v>
      </c>
      <c r="G16" s="84">
        <v>142.81970000000001</v>
      </c>
      <c r="H16" s="85">
        <f t="shared" si="0"/>
        <v>-3.1999999999925421</v>
      </c>
      <c r="I16" s="85">
        <f t="shared" si="1"/>
        <v>-3.1999999999925421</v>
      </c>
      <c r="J16" s="84">
        <v>142.816</v>
      </c>
      <c r="K16" s="85">
        <f t="shared" si="2"/>
        <v>-3.7000000000091404</v>
      </c>
      <c r="L16" s="85">
        <f t="shared" si="3"/>
        <v>-6.9000000000016826</v>
      </c>
      <c r="M16" s="84">
        <v>142.81290000000001</v>
      </c>
      <c r="N16" s="85">
        <f t="shared" si="4"/>
        <v>-3.0999999999892225</v>
      </c>
      <c r="O16" s="85">
        <f t="shared" si="5"/>
        <v>-9.9999999999909051</v>
      </c>
      <c r="P16" s="84">
        <v>91.731999999999999</v>
      </c>
      <c r="Q16" s="85">
        <f t="shared" si="6"/>
        <v>-51080.900000000016</v>
      </c>
      <c r="R16" s="85">
        <f t="shared" si="7"/>
        <v>-51090.900000000009</v>
      </c>
      <c r="S16" s="84">
        <v>91.730900000000005</v>
      </c>
      <c r="T16" s="85">
        <f t="shared" si="8"/>
        <v>-1.0999999999938836</v>
      </c>
      <c r="U16" s="85">
        <f t="shared" si="9"/>
        <v>-51092</v>
      </c>
      <c r="V16" s="84">
        <v>91.729900000000001</v>
      </c>
      <c r="W16" s="85">
        <f t="shared" si="10"/>
        <v>-1.0000000000047748</v>
      </c>
      <c r="X16" s="85">
        <f t="shared" si="11"/>
        <v>-51093.000000000007</v>
      </c>
      <c r="Y16" s="86">
        <v>91.729200000000006</v>
      </c>
      <c r="Z16" s="85">
        <f t="shared" si="12"/>
        <v>-0.69999999999481588</v>
      </c>
      <c r="AA16" s="85">
        <f t="shared" si="13"/>
        <v>-51093.700000000004</v>
      </c>
      <c r="AB16" s="86">
        <v>91.728800000000007</v>
      </c>
      <c r="AC16" s="85">
        <f t="shared" si="14"/>
        <v>-0.39999999999906777</v>
      </c>
      <c r="AD16" s="85">
        <f t="shared" si="15"/>
        <v>-51094.100000000006</v>
      </c>
      <c r="AE16" s="86">
        <v>91.728099999999998</v>
      </c>
      <c r="AF16" s="85">
        <f t="shared" si="16"/>
        <v>-0.70000000000902673</v>
      </c>
      <c r="AG16" s="85">
        <f t="shared" si="17"/>
        <v>-51094.800000000017</v>
      </c>
      <c r="AH16" s="95" t="str">
        <f t="shared" si="18"/>
        <v>3.11.</v>
      </c>
      <c r="AI16" s="87"/>
      <c r="AK16" s="89" t="s">
        <v>74</v>
      </c>
      <c r="AL16" s="77">
        <v>0</v>
      </c>
      <c r="AM16" s="77">
        <v>-3.1999999999925421</v>
      </c>
      <c r="AN16" s="77">
        <v>-6.9000000000016826</v>
      </c>
    </row>
    <row r="17" spans="3:40" ht="15.6" x14ac:dyDescent="0.25">
      <c r="C17" s="95" t="s">
        <v>75</v>
      </c>
      <c r="D17" s="84">
        <v>142.8674</v>
      </c>
      <c r="E17" s="85">
        <v>0</v>
      </c>
      <c r="F17" s="85">
        <v>0</v>
      </c>
      <c r="G17" s="84">
        <v>142.86439999999999</v>
      </c>
      <c r="H17" s="85">
        <f t="shared" si="0"/>
        <v>-3.0000000000143245</v>
      </c>
      <c r="I17" s="85">
        <f t="shared" si="1"/>
        <v>-3.0000000000143245</v>
      </c>
      <c r="J17" s="84">
        <v>142.86080000000001</v>
      </c>
      <c r="K17" s="85">
        <f t="shared" si="2"/>
        <v>-3.5999999999773991</v>
      </c>
      <c r="L17" s="85">
        <f t="shared" si="3"/>
        <v>-6.5999999999917236</v>
      </c>
      <c r="M17" s="84">
        <v>142.85849999999999</v>
      </c>
      <c r="N17" s="85">
        <f t="shared" si="4"/>
        <v>-2.3000000000195087</v>
      </c>
      <c r="O17" s="85">
        <f t="shared" si="5"/>
        <v>-8.9000000000112323</v>
      </c>
      <c r="P17" s="84">
        <v>91.621200000000002</v>
      </c>
      <c r="Q17" s="85">
        <f t="shared" si="6"/>
        <v>-51237.299999999988</v>
      </c>
      <c r="R17" s="85">
        <f t="shared" si="7"/>
        <v>-51246.2</v>
      </c>
      <c r="S17" s="84">
        <v>91.62</v>
      </c>
      <c r="T17" s="85">
        <f t="shared" si="8"/>
        <v>-1.1999999999972033</v>
      </c>
      <c r="U17" s="85">
        <f t="shared" si="9"/>
        <v>-51247.399999999994</v>
      </c>
      <c r="V17" s="84">
        <v>91.619100000000003</v>
      </c>
      <c r="W17" s="85">
        <f t="shared" si="10"/>
        <v>-0.90000000000145519</v>
      </c>
      <c r="X17" s="85">
        <f t="shared" si="11"/>
        <v>-51248.299999999996</v>
      </c>
      <c r="Y17" s="86">
        <v>91.618300000000005</v>
      </c>
      <c r="Z17" s="85">
        <f t="shared" si="12"/>
        <v>-0.79999999999813554</v>
      </c>
      <c r="AA17" s="85">
        <f t="shared" si="13"/>
        <v>-51249.099999999991</v>
      </c>
      <c r="AB17" s="86">
        <v>91.617800000000003</v>
      </c>
      <c r="AC17" s="85">
        <f t="shared" si="14"/>
        <v>-0.50000000000238742</v>
      </c>
      <c r="AD17" s="85">
        <f t="shared" si="15"/>
        <v>-51249.599999999991</v>
      </c>
      <c r="AE17" s="86">
        <v>91.617199999999997</v>
      </c>
      <c r="AF17" s="85">
        <f t="shared" si="16"/>
        <v>-0.60000000000570708</v>
      </c>
      <c r="AG17" s="85">
        <f t="shared" si="17"/>
        <v>-51250.2</v>
      </c>
      <c r="AH17" s="95" t="str">
        <f t="shared" si="18"/>
        <v>3.12.</v>
      </c>
      <c r="AI17" s="87"/>
      <c r="AK17" s="89" t="s">
        <v>75</v>
      </c>
      <c r="AL17" s="77">
        <v>0</v>
      </c>
      <c r="AM17" s="77">
        <v>-3.0000000000143245</v>
      </c>
      <c r="AN17" s="77">
        <v>-6.5999999999917236</v>
      </c>
    </row>
    <row r="18" spans="3:40" ht="15.6" x14ac:dyDescent="0.25">
      <c r="C18" s="95" t="s">
        <v>76</v>
      </c>
      <c r="D18" s="84">
        <v>142.88230000000001</v>
      </c>
      <c r="E18" s="85">
        <v>0</v>
      </c>
      <c r="F18" s="85">
        <v>0</v>
      </c>
      <c r="G18" s="84">
        <v>142.88200000000001</v>
      </c>
      <c r="H18" s="85">
        <f t="shared" si="0"/>
        <v>-0.30000000000995897</v>
      </c>
      <c r="I18" s="85">
        <f t="shared" si="1"/>
        <v>-0.30000000000995897</v>
      </c>
      <c r="J18" s="84">
        <v>142.87870000000001</v>
      </c>
      <c r="K18" s="85">
        <f t="shared" si="2"/>
        <v>-3.2999999999958618</v>
      </c>
      <c r="L18" s="85">
        <f t="shared" si="3"/>
        <v>-3.6000000000058208</v>
      </c>
      <c r="M18" s="84">
        <v>142.874</v>
      </c>
      <c r="N18" s="85">
        <f t="shared" si="4"/>
        <v>-4.7000000000139153</v>
      </c>
      <c r="O18" s="85">
        <f t="shared" si="5"/>
        <v>-8.300000000019736</v>
      </c>
      <c r="P18" s="84">
        <v>91.581299999999999</v>
      </c>
      <c r="Q18" s="85">
        <f t="shared" si="6"/>
        <v>-51292.7</v>
      </c>
      <c r="R18" s="85">
        <f t="shared" si="7"/>
        <v>-51301.000000000015</v>
      </c>
      <c r="S18" s="84">
        <v>91.580200000000005</v>
      </c>
      <c r="T18" s="85">
        <f t="shared" si="8"/>
        <v>-1.0999999999938836</v>
      </c>
      <c r="U18" s="85">
        <f t="shared" si="9"/>
        <v>-51302.100000000006</v>
      </c>
      <c r="V18" s="84">
        <v>91.579499999999996</v>
      </c>
      <c r="W18" s="85">
        <f t="shared" si="10"/>
        <v>-0.70000000000902673</v>
      </c>
      <c r="X18" s="85">
        <f t="shared" si="11"/>
        <v>-51302.800000000017</v>
      </c>
      <c r="Y18" s="86">
        <v>91.578900000000004</v>
      </c>
      <c r="Z18" s="85">
        <f t="shared" si="12"/>
        <v>-0.59999999999149622</v>
      </c>
      <c r="AA18" s="85">
        <f t="shared" si="13"/>
        <v>-51303.400000000009</v>
      </c>
      <c r="AB18" s="86">
        <v>91.578500000000005</v>
      </c>
      <c r="AC18" s="85">
        <f t="shared" si="14"/>
        <v>-0.39999999999906777</v>
      </c>
      <c r="AD18" s="85">
        <f t="shared" si="15"/>
        <v>-51303.80000000001</v>
      </c>
      <c r="AE18" s="86">
        <v>91.578000000000003</v>
      </c>
      <c r="AF18" s="85">
        <f t="shared" si="16"/>
        <v>-0.50000000000238742</v>
      </c>
      <c r="AG18" s="85">
        <f t="shared" si="17"/>
        <v>-51304.30000000001</v>
      </c>
      <c r="AH18" s="95" t="str">
        <f t="shared" si="18"/>
        <v>3.13.</v>
      </c>
      <c r="AI18" s="87"/>
      <c r="AK18" s="89" t="s">
        <v>76</v>
      </c>
      <c r="AL18" s="77">
        <v>0</v>
      </c>
      <c r="AM18" s="77">
        <v>-0.30000000000995897</v>
      </c>
      <c r="AN18" s="77">
        <v>-3.6000000000058208</v>
      </c>
    </row>
    <row r="19" spans="3:40" ht="15.6" x14ac:dyDescent="0.25">
      <c r="C19" s="95" t="s">
        <v>77</v>
      </c>
      <c r="D19" s="84">
        <v>142.9194</v>
      </c>
      <c r="E19" s="85">
        <v>0</v>
      </c>
      <c r="F19" s="85">
        <v>0</v>
      </c>
      <c r="G19" s="84">
        <v>142.91680000000002</v>
      </c>
      <c r="H19" s="85">
        <f t="shared" si="0"/>
        <v>-2.5999999999726242</v>
      </c>
      <c r="I19" s="85">
        <f t="shared" si="1"/>
        <v>-2.5999999999726242</v>
      </c>
      <c r="J19" s="84">
        <v>142.9134</v>
      </c>
      <c r="K19" s="85">
        <f t="shared" si="2"/>
        <v>-3.4000000000276032</v>
      </c>
      <c r="L19" s="85">
        <f t="shared" si="3"/>
        <v>-6.0000000000002274</v>
      </c>
      <c r="M19" s="84">
        <v>142.91130000000001</v>
      </c>
      <c r="N19" s="85">
        <f t="shared" si="4"/>
        <v>-2.0999999999844476</v>
      </c>
      <c r="O19" s="85">
        <f t="shared" si="5"/>
        <v>-8.099999999984675</v>
      </c>
      <c r="P19" s="84">
        <v>91.644499999999994</v>
      </c>
      <c r="Q19" s="85">
        <f t="shared" si="6"/>
        <v>-51266.800000000017</v>
      </c>
      <c r="R19" s="85">
        <f t="shared" si="7"/>
        <v>-51274.9</v>
      </c>
      <c r="S19" s="84">
        <v>91.643600000000006</v>
      </c>
      <c r="T19" s="85">
        <f t="shared" si="8"/>
        <v>-0.89999999998724434</v>
      </c>
      <c r="U19" s="85">
        <f t="shared" si="9"/>
        <v>-51275.799999999988</v>
      </c>
      <c r="V19" s="84">
        <v>91.6434</v>
      </c>
      <c r="W19" s="85">
        <f t="shared" si="10"/>
        <v>-0.20000000000663931</v>
      </c>
      <c r="X19" s="85">
        <f t="shared" si="11"/>
        <v>-51275.999999999993</v>
      </c>
      <c r="Y19" s="86">
        <v>91.642600000000002</v>
      </c>
      <c r="Z19" s="85">
        <f t="shared" si="12"/>
        <v>-0.79999999999813554</v>
      </c>
      <c r="AA19" s="85">
        <f t="shared" si="13"/>
        <v>-51276.799999999988</v>
      </c>
      <c r="AB19" s="86">
        <v>91.641999999999996</v>
      </c>
      <c r="AC19" s="85">
        <f t="shared" si="14"/>
        <v>-0.60000000000570708</v>
      </c>
      <c r="AD19" s="85">
        <f t="shared" si="15"/>
        <v>-51277.399999999994</v>
      </c>
      <c r="AE19" s="86">
        <v>91.641300000000001</v>
      </c>
      <c r="AF19" s="85">
        <f t="shared" si="16"/>
        <v>-0.69999999999481588</v>
      </c>
      <c r="AG19" s="85">
        <f t="shared" si="17"/>
        <v>-51278.099999999991</v>
      </c>
      <c r="AH19" s="95" t="str">
        <f t="shared" si="18"/>
        <v>3.14.</v>
      </c>
      <c r="AI19" s="87"/>
      <c r="AK19" s="89" t="s">
        <v>77</v>
      </c>
      <c r="AL19" s="77">
        <v>0</v>
      </c>
      <c r="AM19" s="77">
        <v>-2.5999999999726242</v>
      </c>
      <c r="AN19" s="77">
        <v>-6.0000000000002274</v>
      </c>
    </row>
    <row r="20" spans="3:40" ht="15.6" x14ac:dyDescent="0.25">
      <c r="C20" s="95" t="s">
        <v>78</v>
      </c>
      <c r="D20" s="84">
        <v>142.90360000000001</v>
      </c>
      <c r="E20" s="85">
        <v>0</v>
      </c>
      <c r="F20" s="85">
        <v>0</v>
      </c>
      <c r="G20" s="84">
        <v>142.90140000000002</v>
      </c>
      <c r="H20" s="85">
        <f t="shared" si="0"/>
        <v>-2.1999999999877673</v>
      </c>
      <c r="I20" s="85">
        <f t="shared" si="1"/>
        <v>-2.1999999999877673</v>
      </c>
      <c r="J20" s="84">
        <v>142.89689999999999</v>
      </c>
      <c r="K20" s="85">
        <f t="shared" si="2"/>
        <v>-4.5000000000356977</v>
      </c>
      <c r="L20" s="85">
        <f t="shared" si="3"/>
        <v>-6.700000000023465</v>
      </c>
      <c r="M20" s="84">
        <v>142.89510000000001</v>
      </c>
      <c r="N20" s="85">
        <f t="shared" si="4"/>
        <v>-1.7999999999744887</v>
      </c>
      <c r="O20" s="85">
        <f t="shared" si="5"/>
        <v>-8.4999999999979536</v>
      </c>
      <c r="P20" s="84">
        <v>91.707599999999999</v>
      </c>
      <c r="Q20" s="85">
        <f t="shared" si="6"/>
        <v>-51187.500000000015</v>
      </c>
      <c r="R20" s="85">
        <f t="shared" si="7"/>
        <v>-51196.000000000015</v>
      </c>
      <c r="S20" s="84">
        <v>91.706999999999994</v>
      </c>
      <c r="T20" s="85">
        <f t="shared" si="8"/>
        <v>-0.60000000000570708</v>
      </c>
      <c r="U20" s="85">
        <f t="shared" si="9"/>
        <v>-51196.60000000002</v>
      </c>
      <c r="V20" s="84">
        <v>91.706400000000002</v>
      </c>
      <c r="W20" s="85">
        <f t="shared" si="10"/>
        <v>-0.59999999999149622</v>
      </c>
      <c r="X20" s="85">
        <f t="shared" si="11"/>
        <v>-51197.200000000012</v>
      </c>
      <c r="Y20" s="86">
        <v>91.705799999999996</v>
      </c>
      <c r="Z20" s="85">
        <f t="shared" si="12"/>
        <v>-0.60000000000570708</v>
      </c>
      <c r="AA20" s="85">
        <f t="shared" si="13"/>
        <v>-51197.800000000017</v>
      </c>
      <c r="AB20" s="86">
        <v>91.705299999999994</v>
      </c>
      <c r="AC20" s="85">
        <f t="shared" si="14"/>
        <v>-0.50000000000238742</v>
      </c>
      <c r="AD20" s="85">
        <f t="shared" si="15"/>
        <v>-51198.300000000017</v>
      </c>
      <c r="AE20" s="86">
        <v>91.704499999999996</v>
      </c>
      <c r="AF20" s="85">
        <f t="shared" si="16"/>
        <v>-0.79999999999813554</v>
      </c>
      <c r="AG20" s="85">
        <f t="shared" si="17"/>
        <v>-51199.100000000013</v>
      </c>
      <c r="AH20" s="95" t="str">
        <f t="shared" si="18"/>
        <v>3.15.</v>
      </c>
      <c r="AI20" s="87"/>
      <c r="AK20" s="89" t="s">
        <v>78</v>
      </c>
      <c r="AL20" s="77">
        <v>0</v>
      </c>
      <c r="AM20" s="77">
        <v>-2.1999999999877673</v>
      </c>
      <c r="AN20" s="77">
        <v>-6.700000000023465</v>
      </c>
    </row>
    <row r="21" spans="3:40" ht="15.6" x14ac:dyDescent="0.25">
      <c r="C21" s="95" t="s">
        <v>79</v>
      </c>
      <c r="D21" s="84">
        <v>142.91890000000001</v>
      </c>
      <c r="E21" s="85">
        <v>0</v>
      </c>
      <c r="F21" s="85">
        <v>0</v>
      </c>
      <c r="G21" s="84">
        <v>142.91630000000001</v>
      </c>
      <c r="H21" s="85">
        <f t="shared" si="0"/>
        <v>-2.6000000000010459</v>
      </c>
      <c r="I21" s="85">
        <f t="shared" si="1"/>
        <v>-2.6000000000010459</v>
      </c>
      <c r="J21" s="84">
        <v>142.9118</v>
      </c>
      <c r="K21" s="85">
        <f t="shared" si="2"/>
        <v>-4.500000000007276</v>
      </c>
      <c r="L21" s="85">
        <f t="shared" si="3"/>
        <v>-7.1000000000083219</v>
      </c>
      <c r="M21" s="84">
        <v>142.90989999999999</v>
      </c>
      <c r="N21" s="85">
        <f t="shared" si="4"/>
        <v>-1.90000000000623</v>
      </c>
      <c r="O21" s="85">
        <f t="shared" si="5"/>
        <v>-9.0000000000145519</v>
      </c>
      <c r="P21" s="84">
        <v>91.763999999999996</v>
      </c>
      <c r="Q21" s="85">
        <f t="shared" si="6"/>
        <v>-51145.899999999994</v>
      </c>
      <c r="R21" s="85">
        <f t="shared" si="7"/>
        <v>-51154.900000000009</v>
      </c>
      <c r="S21" s="84">
        <v>91.763099999999994</v>
      </c>
      <c r="T21" s="85">
        <f t="shared" si="8"/>
        <v>-0.90000000000145519</v>
      </c>
      <c r="U21" s="85">
        <f t="shared" si="9"/>
        <v>-51155.80000000001</v>
      </c>
      <c r="V21" s="84">
        <v>91.762699999999995</v>
      </c>
      <c r="W21" s="85">
        <f t="shared" si="10"/>
        <v>-0.39999999999906777</v>
      </c>
      <c r="X21" s="85">
        <f t="shared" si="11"/>
        <v>-51156.200000000012</v>
      </c>
      <c r="Y21" s="86">
        <v>91.762</v>
      </c>
      <c r="Z21" s="85">
        <f t="shared" si="12"/>
        <v>-0.69999999999481588</v>
      </c>
      <c r="AA21" s="85">
        <f t="shared" si="13"/>
        <v>-51156.900000000009</v>
      </c>
      <c r="AB21" s="86">
        <v>91.761499999999998</v>
      </c>
      <c r="AC21" s="85">
        <f t="shared" si="14"/>
        <v>-0.50000000000238742</v>
      </c>
      <c r="AD21" s="85">
        <f t="shared" si="15"/>
        <v>-51157.400000000009</v>
      </c>
      <c r="AE21" s="86">
        <v>91.760900000000007</v>
      </c>
      <c r="AF21" s="85">
        <f t="shared" si="16"/>
        <v>-0.59999999999149622</v>
      </c>
      <c r="AG21" s="85">
        <f t="shared" si="17"/>
        <v>-51158</v>
      </c>
      <c r="AH21" s="95" t="str">
        <f t="shared" si="18"/>
        <v>3.16.</v>
      </c>
      <c r="AI21" s="87"/>
      <c r="AJ21" s="77" t="s">
        <v>212</v>
      </c>
      <c r="AK21" s="89" t="s">
        <v>79</v>
      </c>
      <c r="AL21" s="77">
        <v>0</v>
      </c>
      <c r="AM21" s="77">
        <v>-2.6000000000010459</v>
      </c>
      <c r="AN21" s="77">
        <v>-7.1000000000083219</v>
      </c>
    </row>
    <row r="22" spans="3:40" ht="15.6" x14ac:dyDescent="0.25">
      <c r="C22" s="95" t="s">
        <v>80</v>
      </c>
      <c r="D22" s="84">
        <v>142.94280000000001</v>
      </c>
      <c r="E22" s="85">
        <v>0</v>
      </c>
      <c r="F22" s="85">
        <v>0</v>
      </c>
      <c r="G22" s="84">
        <v>142.94080000000002</v>
      </c>
      <c r="H22" s="85">
        <f t="shared" si="0"/>
        <v>-1.999999999981128</v>
      </c>
      <c r="I22" s="85">
        <f t="shared" si="1"/>
        <v>-1.999999999981128</v>
      </c>
      <c r="J22" s="84">
        <v>142.9359</v>
      </c>
      <c r="K22" s="85">
        <f t="shared" si="2"/>
        <v>-4.9000000000205546</v>
      </c>
      <c r="L22" s="85">
        <f t="shared" si="3"/>
        <v>-6.9000000000016826</v>
      </c>
      <c r="M22" s="84">
        <v>142.934</v>
      </c>
      <c r="N22" s="85">
        <f t="shared" si="4"/>
        <v>-1.90000000000623</v>
      </c>
      <c r="O22" s="85">
        <f t="shared" si="5"/>
        <v>-8.8000000000079126</v>
      </c>
      <c r="P22" s="84">
        <v>91.768600000000006</v>
      </c>
      <c r="Q22" s="85">
        <f t="shared" si="6"/>
        <v>-51165.399999999994</v>
      </c>
      <c r="R22" s="85">
        <f t="shared" si="7"/>
        <v>-51174.200000000004</v>
      </c>
      <c r="S22" s="84">
        <v>91.767799999999994</v>
      </c>
      <c r="T22" s="85">
        <f t="shared" si="8"/>
        <v>-0.80000000001234639</v>
      </c>
      <c r="U22" s="85">
        <f t="shared" si="9"/>
        <v>-51175.000000000015</v>
      </c>
      <c r="V22" s="84">
        <v>91.767200000000003</v>
      </c>
      <c r="W22" s="85">
        <f t="shared" si="10"/>
        <v>-0.59999999999149622</v>
      </c>
      <c r="X22" s="85">
        <f t="shared" si="11"/>
        <v>-51175.600000000006</v>
      </c>
      <c r="Y22" s="86">
        <v>91.766599999999997</v>
      </c>
      <c r="Z22" s="85">
        <f t="shared" si="12"/>
        <v>-0.60000000000570708</v>
      </c>
      <c r="AA22" s="85">
        <f t="shared" si="13"/>
        <v>-51176.200000000012</v>
      </c>
      <c r="AB22" s="86">
        <v>91.766000000000005</v>
      </c>
      <c r="AC22" s="85">
        <f t="shared" si="14"/>
        <v>-0.59999999999149622</v>
      </c>
      <c r="AD22" s="85">
        <f t="shared" si="15"/>
        <v>-51176.800000000003</v>
      </c>
      <c r="AE22" s="86">
        <v>91.765500000000003</v>
      </c>
      <c r="AF22" s="85">
        <f t="shared" si="16"/>
        <v>-0.50000000000238742</v>
      </c>
      <c r="AG22" s="85">
        <f t="shared" si="17"/>
        <v>-51177.3</v>
      </c>
      <c r="AH22" s="95" t="str">
        <f t="shared" si="18"/>
        <v>3.17.</v>
      </c>
      <c r="AI22" s="87"/>
      <c r="AJ22" s="77">
        <v>7000</v>
      </c>
      <c r="AK22" s="89" t="s">
        <v>80</v>
      </c>
      <c r="AL22" s="77">
        <v>0</v>
      </c>
      <c r="AM22" s="77">
        <v>-1.999999999981128</v>
      </c>
      <c r="AN22" s="77">
        <v>-6.9000000000016826</v>
      </c>
    </row>
    <row r="23" spans="3:40" ht="15.6" x14ac:dyDescent="0.25">
      <c r="C23" s="95" t="s">
        <v>81</v>
      </c>
      <c r="D23" s="84">
        <v>142.95410000000001</v>
      </c>
      <c r="E23" s="85">
        <v>0</v>
      </c>
      <c r="F23" s="85">
        <v>0</v>
      </c>
      <c r="G23" s="84">
        <v>142.9522</v>
      </c>
      <c r="H23" s="85">
        <f t="shared" si="0"/>
        <v>-1.90000000000623</v>
      </c>
      <c r="I23" s="85">
        <f t="shared" si="1"/>
        <v>-1.90000000000623</v>
      </c>
      <c r="J23" s="84">
        <v>142.94980000000001</v>
      </c>
      <c r="K23" s="85">
        <f t="shared" si="2"/>
        <v>-2.3999999999944066</v>
      </c>
      <c r="L23" s="85">
        <f t="shared" si="3"/>
        <v>-4.3000000000006366</v>
      </c>
      <c r="M23" s="84">
        <v>142.947</v>
      </c>
      <c r="N23" s="85">
        <f t="shared" si="4"/>
        <v>-2.8000000000076852</v>
      </c>
      <c r="O23" s="85">
        <f t="shared" si="5"/>
        <v>-7.1000000000083219</v>
      </c>
      <c r="P23" s="84">
        <v>91.643699999999995</v>
      </c>
      <c r="Q23" s="85">
        <f t="shared" si="6"/>
        <v>-51303.30000000001</v>
      </c>
      <c r="R23" s="85">
        <f t="shared" si="7"/>
        <v>-51310.400000000016</v>
      </c>
      <c r="S23" s="84">
        <v>91.643000000000001</v>
      </c>
      <c r="T23" s="85">
        <f t="shared" si="8"/>
        <v>-0.69999999999481588</v>
      </c>
      <c r="U23" s="85">
        <f t="shared" si="9"/>
        <v>-51311.100000000013</v>
      </c>
      <c r="V23" s="84">
        <v>91.642399999999995</v>
      </c>
      <c r="W23" s="85">
        <f t="shared" si="10"/>
        <v>-0.60000000000570708</v>
      </c>
      <c r="X23" s="85">
        <f t="shared" si="11"/>
        <v>-51311.700000000019</v>
      </c>
      <c r="Y23" s="86">
        <v>91.641999999999996</v>
      </c>
      <c r="Z23" s="85">
        <f t="shared" si="12"/>
        <v>-0.39999999999906777</v>
      </c>
      <c r="AA23" s="85">
        <f t="shared" si="13"/>
        <v>-51312.10000000002</v>
      </c>
      <c r="AB23" s="86">
        <v>91.641599999999997</v>
      </c>
      <c r="AC23" s="85">
        <f t="shared" si="14"/>
        <v>-0.39999999999906777</v>
      </c>
      <c r="AD23" s="85">
        <f t="shared" si="15"/>
        <v>-51312.500000000022</v>
      </c>
      <c r="AE23" s="86">
        <v>91.641000000000005</v>
      </c>
      <c r="AF23" s="85">
        <f t="shared" si="16"/>
        <v>-0.59999999999149622</v>
      </c>
      <c r="AG23" s="85">
        <f t="shared" si="17"/>
        <v>-51313.100000000013</v>
      </c>
      <c r="AH23" s="95" t="str">
        <f t="shared" si="18"/>
        <v>3.18.</v>
      </c>
      <c r="AI23" s="87"/>
      <c r="AK23" s="89" t="s">
        <v>81</v>
      </c>
      <c r="AL23" s="77">
        <v>0</v>
      </c>
      <c r="AM23" s="77">
        <v>-1.90000000000623</v>
      </c>
      <c r="AN23" s="77">
        <v>-4.3000000000006366</v>
      </c>
    </row>
    <row r="24" spans="3:40" ht="15.6" x14ac:dyDescent="0.25">
      <c r="C24" s="95" t="s">
        <v>82</v>
      </c>
      <c r="D24" s="84">
        <v>143.00890000000001</v>
      </c>
      <c r="E24" s="85">
        <v>0</v>
      </c>
      <c r="F24" s="85">
        <v>0</v>
      </c>
      <c r="G24" s="84">
        <v>143.00400000000002</v>
      </c>
      <c r="H24" s="85">
        <f t="shared" si="0"/>
        <v>-4.8999999999921329</v>
      </c>
      <c r="I24" s="115">
        <f t="shared" si="1"/>
        <v>-4.8999999999921329</v>
      </c>
      <c r="J24" s="84">
        <v>143.00219999999999</v>
      </c>
      <c r="K24" s="85">
        <f t="shared" si="2"/>
        <v>-1.8000000000313321</v>
      </c>
      <c r="L24" s="85">
        <f t="shared" si="3"/>
        <v>-6.700000000023465</v>
      </c>
      <c r="M24" s="84">
        <v>143.00020000000001</v>
      </c>
      <c r="N24" s="85">
        <f t="shared" si="4"/>
        <v>-1.999999999981128</v>
      </c>
      <c r="O24" s="85">
        <f t="shared" si="5"/>
        <v>-8.7000000000045929</v>
      </c>
      <c r="P24" s="84">
        <v>91.617400000000004</v>
      </c>
      <c r="Q24" s="85">
        <f t="shared" si="6"/>
        <v>-51382.8</v>
      </c>
      <c r="R24" s="85">
        <f t="shared" si="7"/>
        <v>-51391.500000000007</v>
      </c>
      <c r="S24" s="84">
        <v>91.616600000000005</v>
      </c>
      <c r="T24" s="85">
        <f t="shared" si="8"/>
        <v>-0.79999999999813554</v>
      </c>
      <c r="U24" s="85">
        <f t="shared" si="9"/>
        <v>-51392.3</v>
      </c>
      <c r="V24" s="84">
        <v>91.616100000000003</v>
      </c>
      <c r="W24" s="85">
        <f t="shared" si="10"/>
        <v>-0.50000000000238742</v>
      </c>
      <c r="X24" s="85">
        <f t="shared" si="11"/>
        <v>-51392.800000000003</v>
      </c>
      <c r="Y24" s="86">
        <v>91.615499999999997</v>
      </c>
      <c r="Z24" s="85">
        <f t="shared" si="12"/>
        <v>-0.60000000000570708</v>
      </c>
      <c r="AA24" s="85">
        <f t="shared" si="13"/>
        <v>-51393.400000000009</v>
      </c>
      <c r="AB24" s="86">
        <v>91.614900000000006</v>
      </c>
      <c r="AC24" s="85">
        <f t="shared" si="14"/>
        <v>-0.59999999999149622</v>
      </c>
      <c r="AD24" s="85">
        <f t="shared" si="15"/>
        <v>-51394</v>
      </c>
      <c r="AE24" s="86">
        <v>91.614400000000003</v>
      </c>
      <c r="AF24" s="85">
        <f t="shared" si="16"/>
        <v>-0.50000000000238742</v>
      </c>
      <c r="AG24" s="85">
        <f t="shared" si="17"/>
        <v>-51394.5</v>
      </c>
      <c r="AH24" s="95" t="str">
        <f t="shared" si="18"/>
        <v>3.19.</v>
      </c>
      <c r="AI24" s="88"/>
      <c r="AK24" s="89" t="s">
        <v>82</v>
      </c>
      <c r="AL24" s="77">
        <v>0</v>
      </c>
      <c r="AM24" s="77">
        <v>-4.8999999999921329</v>
      </c>
      <c r="AN24" s="77">
        <v>-6.700000000023465</v>
      </c>
    </row>
    <row r="25" spans="3:40" ht="15.6" x14ac:dyDescent="0.25">
      <c r="C25" s="95" t="s">
        <v>83</v>
      </c>
      <c r="D25" s="84">
        <v>143.0616</v>
      </c>
      <c r="E25" s="85">
        <v>0</v>
      </c>
      <c r="F25" s="85">
        <v>0</v>
      </c>
      <c r="G25" s="84">
        <v>143.05900000000003</v>
      </c>
      <c r="H25" s="85">
        <f t="shared" si="0"/>
        <v>-2.5999999999726242</v>
      </c>
      <c r="I25" s="85">
        <f t="shared" si="1"/>
        <v>-2.5999999999726242</v>
      </c>
      <c r="J25" s="84">
        <v>143.05449999999999</v>
      </c>
      <c r="K25" s="85">
        <f t="shared" si="2"/>
        <v>-4.5000000000356977</v>
      </c>
      <c r="L25" s="85">
        <f t="shared" si="3"/>
        <v>-7.1000000000083219</v>
      </c>
      <c r="M25" s="84">
        <v>143.0523</v>
      </c>
      <c r="N25" s="85">
        <f t="shared" si="4"/>
        <v>-2.1999999999877673</v>
      </c>
      <c r="O25" s="85">
        <f t="shared" si="5"/>
        <v>-9.2999999999960892</v>
      </c>
      <c r="P25" s="84">
        <v>91.733500000000006</v>
      </c>
      <c r="Q25" s="85">
        <f t="shared" si="6"/>
        <v>-51318.799999999996</v>
      </c>
      <c r="R25" s="85">
        <f t="shared" si="7"/>
        <v>-51328.099999999991</v>
      </c>
      <c r="S25" s="84">
        <v>91.732600000000005</v>
      </c>
      <c r="T25" s="85">
        <f t="shared" si="8"/>
        <v>-0.90000000000145519</v>
      </c>
      <c r="U25" s="85">
        <f t="shared" si="9"/>
        <v>-51328.999999999993</v>
      </c>
      <c r="V25" s="84">
        <v>91.731800000000007</v>
      </c>
      <c r="W25" s="85">
        <f t="shared" si="10"/>
        <v>-0.79999999999813554</v>
      </c>
      <c r="X25" s="85">
        <f t="shared" si="11"/>
        <v>-51329.799999999988</v>
      </c>
      <c r="Y25" s="86">
        <v>91.731300000000005</v>
      </c>
      <c r="Z25" s="85">
        <f t="shared" si="12"/>
        <v>-0.50000000000238742</v>
      </c>
      <c r="AA25" s="85">
        <f t="shared" si="13"/>
        <v>-51330.299999999988</v>
      </c>
      <c r="AB25" s="86">
        <v>91.7316</v>
      </c>
      <c r="AC25" s="85">
        <f t="shared" si="14"/>
        <v>0.29999999999574811</v>
      </c>
      <c r="AD25" s="85">
        <f t="shared" si="15"/>
        <v>-51329.999999999993</v>
      </c>
      <c r="AE25" s="86">
        <v>91.730999999999995</v>
      </c>
      <c r="AF25" s="85">
        <f t="shared" si="16"/>
        <v>-0.60000000000570708</v>
      </c>
      <c r="AG25" s="85">
        <f t="shared" si="17"/>
        <v>-51330.6</v>
      </c>
      <c r="AH25" s="95" t="str">
        <f t="shared" si="18"/>
        <v>3.20.</v>
      </c>
      <c r="AI25" s="87"/>
      <c r="AJ25" s="90">
        <f>(O13-O9)/AJ13</f>
        <v>-1.6000000000076397E-4</v>
      </c>
      <c r="AK25" s="89" t="s">
        <v>83</v>
      </c>
      <c r="AL25" s="77">
        <v>0</v>
      </c>
      <c r="AM25" s="77">
        <v>-2.5999999999726242</v>
      </c>
      <c r="AN25" s="77">
        <v>-7.1000000000083219</v>
      </c>
    </row>
    <row r="26" spans="3:40" ht="15.6" x14ac:dyDescent="0.25">
      <c r="C26" s="95" t="s">
        <v>84</v>
      </c>
      <c r="D26" s="84">
        <v>142.983</v>
      </c>
      <c r="E26" s="85">
        <v>0</v>
      </c>
      <c r="F26" s="85">
        <v>0</v>
      </c>
      <c r="G26" s="84">
        <v>142.98100000000002</v>
      </c>
      <c r="H26" s="85">
        <f t="shared" si="0"/>
        <v>-1.999999999981128</v>
      </c>
      <c r="I26" s="85">
        <f t="shared" si="1"/>
        <v>-1.999999999981128</v>
      </c>
      <c r="J26" s="84">
        <v>142.9768</v>
      </c>
      <c r="K26" s="85">
        <f t="shared" si="2"/>
        <v>-4.2000000000257387</v>
      </c>
      <c r="L26" s="85">
        <f t="shared" si="3"/>
        <v>-6.2000000000068667</v>
      </c>
      <c r="M26" s="84">
        <v>142.97499999999999</v>
      </c>
      <c r="N26" s="85">
        <f t="shared" si="4"/>
        <v>-1.8000000000029104</v>
      </c>
      <c r="O26" s="85">
        <f t="shared" si="5"/>
        <v>-8.0000000000097771</v>
      </c>
      <c r="P26" s="84">
        <v>91.738699999999994</v>
      </c>
      <c r="Q26" s="85">
        <f t="shared" si="6"/>
        <v>-51236.3</v>
      </c>
      <c r="R26" s="85">
        <f t="shared" si="7"/>
        <v>-51244.30000000001</v>
      </c>
      <c r="S26" s="84">
        <v>91.737799999999993</v>
      </c>
      <c r="T26" s="85">
        <f t="shared" si="8"/>
        <v>-0.90000000000145519</v>
      </c>
      <c r="U26" s="85">
        <f t="shared" si="9"/>
        <v>-51245.200000000012</v>
      </c>
      <c r="V26" s="84">
        <v>91.736900000000006</v>
      </c>
      <c r="W26" s="85">
        <f t="shared" si="10"/>
        <v>-0.89999999998724434</v>
      </c>
      <c r="X26" s="85">
        <f t="shared" si="11"/>
        <v>-51246.1</v>
      </c>
      <c r="Y26" s="86">
        <v>91.736099999999993</v>
      </c>
      <c r="Z26" s="85">
        <f t="shared" si="12"/>
        <v>-0.80000000001234639</v>
      </c>
      <c r="AA26" s="85">
        <f t="shared" si="13"/>
        <v>-51246.900000000009</v>
      </c>
      <c r="AB26" s="86">
        <v>91.736000000000004</v>
      </c>
      <c r="AC26" s="85">
        <f t="shared" si="14"/>
        <v>-9.9999999989108801E-2</v>
      </c>
      <c r="AD26" s="85">
        <f t="shared" si="15"/>
        <v>-51247</v>
      </c>
      <c r="AE26" s="86">
        <v>91.735299999999995</v>
      </c>
      <c r="AF26" s="85">
        <f t="shared" si="16"/>
        <v>-0.70000000000902673</v>
      </c>
      <c r="AG26" s="85">
        <f t="shared" si="17"/>
        <v>-51247.700000000012</v>
      </c>
      <c r="AH26" s="95" t="str">
        <f t="shared" si="18"/>
        <v>3.21.</v>
      </c>
      <c r="AI26" s="87"/>
      <c r="AJ26" s="90"/>
      <c r="AK26" s="89" t="s">
        <v>84</v>
      </c>
      <c r="AL26" s="77">
        <v>0</v>
      </c>
      <c r="AM26" s="77">
        <v>-1.999999999981128</v>
      </c>
      <c r="AN26" s="77">
        <v>-6.2000000000068667</v>
      </c>
    </row>
    <row r="27" spans="3:40" ht="15.6" x14ac:dyDescent="0.25">
      <c r="C27" s="95" t="s">
        <v>85</v>
      </c>
      <c r="D27" s="84">
        <v>142.97880000000001</v>
      </c>
      <c r="E27" s="85">
        <v>0</v>
      </c>
      <c r="F27" s="85">
        <v>0</v>
      </c>
      <c r="G27" s="84">
        <v>142.9761</v>
      </c>
      <c r="H27" s="85">
        <f t="shared" si="0"/>
        <v>-2.7000000000043656</v>
      </c>
      <c r="I27" s="85">
        <f t="shared" si="1"/>
        <v>-2.7000000000043656</v>
      </c>
      <c r="J27" s="84">
        <v>142.9725</v>
      </c>
      <c r="K27" s="85">
        <f t="shared" si="2"/>
        <v>-3.6000000000058208</v>
      </c>
      <c r="L27" s="85">
        <f t="shared" si="3"/>
        <v>-6.3000000000101863</v>
      </c>
      <c r="M27" s="84">
        <v>142.971</v>
      </c>
      <c r="N27" s="85">
        <f t="shared" si="4"/>
        <v>-1.4999999999929514</v>
      </c>
      <c r="O27" s="85">
        <f t="shared" si="5"/>
        <v>-7.8000000000031378</v>
      </c>
      <c r="P27" s="84">
        <v>91.728300000000004</v>
      </c>
      <c r="Q27" s="85">
        <f t="shared" si="6"/>
        <v>-51242.7</v>
      </c>
      <c r="R27" s="85">
        <f t="shared" si="7"/>
        <v>-51250.5</v>
      </c>
      <c r="S27" s="84">
        <v>91.727000000000004</v>
      </c>
      <c r="T27" s="85">
        <f t="shared" si="8"/>
        <v>-1.300000000000523</v>
      </c>
      <c r="U27" s="85">
        <f t="shared" si="9"/>
        <v>-51251.8</v>
      </c>
      <c r="V27" s="84">
        <v>91.725999999999999</v>
      </c>
      <c r="W27" s="85">
        <f t="shared" si="10"/>
        <v>-1.0000000000047748</v>
      </c>
      <c r="X27" s="85">
        <f t="shared" si="11"/>
        <v>-51252.80000000001</v>
      </c>
      <c r="Y27" s="86">
        <v>91.725399999999993</v>
      </c>
      <c r="Z27" s="85">
        <f t="shared" si="12"/>
        <v>-0.60000000000570708</v>
      </c>
      <c r="AA27" s="85">
        <f t="shared" si="13"/>
        <v>-51253.400000000016</v>
      </c>
      <c r="AB27" s="86">
        <v>91.725700000000003</v>
      </c>
      <c r="AC27" s="85">
        <f t="shared" si="14"/>
        <v>0.30000000000995897</v>
      </c>
      <c r="AD27" s="85">
        <f t="shared" si="15"/>
        <v>-51253.100000000006</v>
      </c>
      <c r="AE27" s="86">
        <v>91.725300000000004</v>
      </c>
      <c r="AF27" s="85">
        <f t="shared" si="16"/>
        <v>-0.39999999999906777</v>
      </c>
      <c r="AG27" s="85">
        <f t="shared" si="17"/>
        <v>-51253.500000000007</v>
      </c>
      <c r="AH27" s="95" t="str">
        <f t="shared" si="18"/>
        <v>3.22.</v>
      </c>
      <c r="AI27" s="87"/>
      <c r="AK27" s="89" t="s">
        <v>85</v>
      </c>
      <c r="AL27" s="77">
        <v>0</v>
      </c>
      <c r="AM27" s="77">
        <v>-2.7000000000043656</v>
      </c>
      <c r="AN27" s="77">
        <v>-6.3000000000101863</v>
      </c>
    </row>
    <row r="28" spans="3:40" ht="15.6" x14ac:dyDescent="0.25">
      <c r="C28" s="125" t="s">
        <v>86</v>
      </c>
      <c r="D28" s="84">
        <v>143.0436</v>
      </c>
      <c r="E28" s="85">
        <v>0</v>
      </c>
      <c r="F28" s="85">
        <v>0</v>
      </c>
      <c r="G28" s="84">
        <v>143.0395</v>
      </c>
      <c r="H28" s="85">
        <f t="shared" si="0"/>
        <v>-4.0999999999939973</v>
      </c>
      <c r="I28" s="85">
        <f t="shared" si="1"/>
        <v>-4.0999999999939973</v>
      </c>
      <c r="J28" s="84">
        <v>143.03800000000001</v>
      </c>
      <c r="K28" s="85">
        <f t="shared" si="2"/>
        <v>-1.4999999999929514</v>
      </c>
      <c r="L28" s="85">
        <f t="shared" si="3"/>
        <v>-5.5999999999869488</v>
      </c>
      <c r="M28" s="84">
        <v>143.0359</v>
      </c>
      <c r="N28" s="85">
        <f t="shared" si="4"/>
        <v>-2.1000000000128694</v>
      </c>
      <c r="O28" s="85">
        <f t="shared" si="5"/>
        <v>-7.6999999999998181</v>
      </c>
      <c r="P28" s="84">
        <v>91.781400000000005</v>
      </c>
      <c r="Q28" s="85">
        <f t="shared" si="6"/>
        <v>-51254.499999999993</v>
      </c>
      <c r="R28" s="85">
        <f t="shared" si="7"/>
        <v>-51262.19999999999</v>
      </c>
      <c r="S28" s="84">
        <v>91.780199999999994</v>
      </c>
      <c r="T28" s="85">
        <f t="shared" si="8"/>
        <v>-1.2000000000114142</v>
      </c>
      <c r="U28" s="85">
        <f t="shared" si="9"/>
        <v>-51263.4</v>
      </c>
      <c r="V28" s="84">
        <v>91.779499999999999</v>
      </c>
      <c r="W28" s="85">
        <f t="shared" si="10"/>
        <v>-0.69999999999481588</v>
      </c>
      <c r="X28" s="85">
        <f t="shared" si="11"/>
        <v>-51264.1</v>
      </c>
      <c r="Y28" s="86">
        <v>91.778800000000004</v>
      </c>
      <c r="Z28" s="85">
        <f t="shared" si="12"/>
        <v>-0.69999999999481588</v>
      </c>
      <c r="AA28" s="85">
        <f t="shared" si="13"/>
        <v>-51264.799999999996</v>
      </c>
      <c r="AB28" s="86">
        <v>91.778300000000002</v>
      </c>
      <c r="AC28" s="85">
        <f t="shared" si="14"/>
        <v>-0.50000000000238742</v>
      </c>
      <c r="AD28" s="85">
        <f t="shared" si="15"/>
        <v>-51265.299999999996</v>
      </c>
      <c r="AE28" s="86">
        <v>91.777799999999999</v>
      </c>
      <c r="AF28" s="85">
        <f t="shared" si="16"/>
        <v>-0.50000000000238742</v>
      </c>
      <c r="AG28" s="85">
        <f t="shared" si="17"/>
        <v>-51265.799999999996</v>
      </c>
      <c r="AH28" s="95" t="str">
        <f t="shared" si="18"/>
        <v>3.23.</v>
      </c>
      <c r="AI28" s="87"/>
      <c r="AK28" s="89" t="s">
        <v>86</v>
      </c>
      <c r="AL28" s="77">
        <v>0</v>
      </c>
      <c r="AM28" s="77">
        <v>-4.0999999999939973</v>
      </c>
      <c r="AN28" s="77">
        <v>-5.5999999999869488</v>
      </c>
    </row>
    <row r="29" spans="3:40" ht="15.6" x14ac:dyDescent="0.25">
      <c r="C29" s="125" t="s">
        <v>87</v>
      </c>
      <c r="D29" s="84">
        <v>143.02360000000002</v>
      </c>
      <c r="E29" s="85">
        <v>0</v>
      </c>
      <c r="F29" s="85">
        <v>0</v>
      </c>
      <c r="G29" s="84">
        <v>143.0198</v>
      </c>
      <c r="H29" s="85">
        <f t="shared" si="0"/>
        <v>-3.8000000000124601</v>
      </c>
      <c r="I29" s="85">
        <f t="shared" si="1"/>
        <v>-3.8000000000124601</v>
      </c>
      <c r="J29" s="84">
        <v>143.017</v>
      </c>
      <c r="K29" s="85">
        <f t="shared" si="2"/>
        <v>-2.8000000000076852</v>
      </c>
      <c r="L29" s="85">
        <f t="shared" si="3"/>
        <v>-6.6000000000201453</v>
      </c>
      <c r="M29" s="84">
        <v>143.0154</v>
      </c>
      <c r="N29" s="85">
        <f t="shared" si="4"/>
        <v>-1.5999999999962711</v>
      </c>
      <c r="O29" s="85">
        <f t="shared" si="5"/>
        <v>-8.2000000000164164</v>
      </c>
      <c r="P29" s="84">
        <v>91.6614</v>
      </c>
      <c r="Q29" s="85">
        <f t="shared" si="6"/>
        <v>-51354</v>
      </c>
      <c r="R29" s="85">
        <f t="shared" si="7"/>
        <v>-51362.200000000019</v>
      </c>
      <c r="S29" s="84">
        <v>91.660499999999999</v>
      </c>
      <c r="T29" s="85">
        <f t="shared" si="8"/>
        <v>-0.90000000000145519</v>
      </c>
      <c r="U29" s="85">
        <f t="shared" si="9"/>
        <v>-51363.10000000002</v>
      </c>
      <c r="V29" s="84">
        <v>91.6601</v>
      </c>
      <c r="W29" s="85">
        <f t="shared" si="10"/>
        <v>-0.39999999999906777</v>
      </c>
      <c r="X29" s="85">
        <f t="shared" si="11"/>
        <v>-51363.500000000022</v>
      </c>
      <c r="Y29" s="86">
        <v>91.659499999999994</v>
      </c>
      <c r="Z29" s="85">
        <f t="shared" si="12"/>
        <v>-0.60000000000570708</v>
      </c>
      <c r="AA29" s="85">
        <f t="shared" si="13"/>
        <v>-51364.100000000028</v>
      </c>
      <c r="AB29" s="86">
        <v>91.659099999999995</v>
      </c>
      <c r="AC29" s="85">
        <f t="shared" si="14"/>
        <v>-0.39999999999906777</v>
      </c>
      <c r="AD29" s="85">
        <f t="shared" si="15"/>
        <v>-51364.500000000029</v>
      </c>
      <c r="AE29" s="86">
        <v>91.658500000000004</v>
      </c>
      <c r="AF29" s="85">
        <f t="shared" si="16"/>
        <v>-0.59999999999149622</v>
      </c>
      <c r="AG29" s="85">
        <f t="shared" si="17"/>
        <v>-51365.10000000002</v>
      </c>
      <c r="AH29" s="95" t="str">
        <f t="shared" si="18"/>
        <v>3.24.</v>
      </c>
      <c r="AI29" s="87"/>
      <c r="AK29" s="89" t="s">
        <v>87</v>
      </c>
      <c r="AL29" s="77">
        <v>0</v>
      </c>
      <c r="AM29" s="77">
        <v>-3.8000000000124601</v>
      </c>
      <c r="AN29" s="77">
        <v>-6.6000000000201453</v>
      </c>
    </row>
    <row r="30" spans="3:40" ht="15.6" x14ac:dyDescent="0.25">
      <c r="C30" s="125" t="s">
        <v>88</v>
      </c>
      <c r="D30" s="84">
        <v>143.04670000000002</v>
      </c>
      <c r="E30" s="85">
        <v>0</v>
      </c>
      <c r="F30" s="85">
        <v>0</v>
      </c>
      <c r="G30" s="84">
        <v>143.04240000000001</v>
      </c>
      <c r="H30" s="85">
        <f t="shared" si="0"/>
        <v>-4.3000000000006366</v>
      </c>
      <c r="I30" s="85">
        <f t="shared" si="1"/>
        <v>-4.3000000000006366</v>
      </c>
      <c r="J30" s="84">
        <v>143.04079999999999</v>
      </c>
      <c r="K30" s="85">
        <f t="shared" si="2"/>
        <v>-1.6000000000246928</v>
      </c>
      <c r="L30" s="85">
        <f t="shared" si="3"/>
        <v>-5.9000000000253294</v>
      </c>
      <c r="M30" s="84">
        <v>143.03899999999999</v>
      </c>
      <c r="N30" s="85">
        <f t="shared" si="4"/>
        <v>-1.8000000000029104</v>
      </c>
      <c r="O30" s="85">
        <f t="shared" si="5"/>
        <v>-7.7000000000282398</v>
      </c>
      <c r="P30" s="84">
        <v>91.664299999999997</v>
      </c>
      <c r="Q30" s="85">
        <f t="shared" si="6"/>
        <v>-51374.69999999999</v>
      </c>
      <c r="R30" s="85">
        <f t="shared" si="7"/>
        <v>-51382.400000000016</v>
      </c>
      <c r="S30" s="84">
        <v>91.663200000000003</v>
      </c>
      <c r="T30" s="85">
        <f t="shared" si="8"/>
        <v>-1.0999999999938836</v>
      </c>
      <c r="U30" s="85">
        <f t="shared" si="9"/>
        <v>-51383.500000000007</v>
      </c>
      <c r="V30" s="84">
        <v>91.662700000000001</v>
      </c>
      <c r="W30" s="85">
        <f t="shared" si="10"/>
        <v>-0.50000000000238742</v>
      </c>
      <c r="X30" s="85">
        <f t="shared" si="11"/>
        <v>-51384.000000000007</v>
      </c>
      <c r="Y30" s="86">
        <v>91.662000000000006</v>
      </c>
      <c r="Z30" s="85">
        <f t="shared" si="12"/>
        <v>-0.69999999999481588</v>
      </c>
      <c r="AA30" s="85">
        <f t="shared" si="13"/>
        <v>-51384.700000000004</v>
      </c>
      <c r="AB30" s="86">
        <v>91.661500000000004</v>
      </c>
      <c r="AC30" s="85">
        <f t="shared" si="14"/>
        <v>-0.50000000000238742</v>
      </c>
      <c r="AD30" s="85">
        <f t="shared" si="15"/>
        <v>-51385.200000000004</v>
      </c>
      <c r="AE30" s="86">
        <v>91.661100000000005</v>
      </c>
      <c r="AF30" s="85">
        <f t="shared" si="16"/>
        <v>-0.39999999999906777</v>
      </c>
      <c r="AG30" s="85">
        <f t="shared" si="17"/>
        <v>-51385.600000000006</v>
      </c>
      <c r="AH30" s="95" t="str">
        <f t="shared" si="18"/>
        <v>3.25.</v>
      </c>
      <c r="AI30" s="87"/>
      <c r="AK30" s="89" t="s">
        <v>88</v>
      </c>
      <c r="AL30" s="77">
        <v>0</v>
      </c>
      <c r="AM30" s="77">
        <v>-4.3000000000006366</v>
      </c>
      <c r="AN30" s="77">
        <v>-5.9000000000253294</v>
      </c>
    </row>
    <row r="31" spans="3:40" ht="15.6" x14ac:dyDescent="0.25">
      <c r="C31" s="125" t="s">
        <v>89</v>
      </c>
      <c r="D31" s="84">
        <v>142.96289999999999</v>
      </c>
      <c r="E31" s="85">
        <v>0</v>
      </c>
      <c r="F31" s="85">
        <v>0</v>
      </c>
      <c r="G31" s="84">
        <v>142.9599</v>
      </c>
      <c r="H31" s="85">
        <f t="shared" si="0"/>
        <v>-2.9999999999859028</v>
      </c>
      <c r="I31" s="85">
        <f t="shared" si="1"/>
        <v>-2.9999999999859028</v>
      </c>
      <c r="J31" s="84">
        <v>142.95670000000001</v>
      </c>
      <c r="K31" s="85">
        <f t="shared" si="2"/>
        <v>-3.1999999999925421</v>
      </c>
      <c r="L31" s="85">
        <f t="shared" si="3"/>
        <v>-6.199999999978445</v>
      </c>
      <c r="M31" s="84">
        <v>142.95509999999999</v>
      </c>
      <c r="N31" s="85">
        <f t="shared" si="4"/>
        <v>-1.6000000000246928</v>
      </c>
      <c r="O31" s="85">
        <f t="shared" si="5"/>
        <v>-7.8000000000031378</v>
      </c>
      <c r="P31" s="84">
        <v>91.683999999999997</v>
      </c>
      <c r="Q31" s="85">
        <f t="shared" si="6"/>
        <v>-51271.099999999991</v>
      </c>
      <c r="R31" s="85">
        <f t="shared" si="7"/>
        <v>-51278.899999999994</v>
      </c>
      <c r="S31" s="84">
        <v>91.683099999999996</v>
      </c>
      <c r="T31" s="85">
        <f t="shared" si="8"/>
        <v>-0.90000000000145519</v>
      </c>
      <c r="U31" s="85">
        <f t="shared" si="9"/>
        <v>-51279.799999999996</v>
      </c>
      <c r="V31" s="84">
        <v>91.682500000000005</v>
      </c>
      <c r="W31" s="85">
        <f t="shared" si="10"/>
        <v>-0.59999999999149622</v>
      </c>
      <c r="X31" s="85">
        <f t="shared" si="11"/>
        <v>-51280.399999999987</v>
      </c>
      <c r="Y31" s="86">
        <v>91.681899999999999</v>
      </c>
      <c r="Z31" s="85">
        <f t="shared" si="12"/>
        <v>-0.60000000000570708</v>
      </c>
      <c r="AA31" s="85">
        <f t="shared" si="13"/>
        <v>-51280.999999999993</v>
      </c>
      <c r="AB31" s="86">
        <v>91.6815</v>
      </c>
      <c r="AC31" s="85">
        <f t="shared" si="14"/>
        <v>-0.39999999999906777</v>
      </c>
      <c r="AD31" s="85">
        <f t="shared" si="15"/>
        <v>-51281.399999999994</v>
      </c>
      <c r="AE31" s="86">
        <v>91.680999999999997</v>
      </c>
      <c r="AF31" s="85">
        <f t="shared" si="16"/>
        <v>-0.50000000000238742</v>
      </c>
      <c r="AG31" s="85">
        <f t="shared" si="17"/>
        <v>-51281.899999999994</v>
      </c>
      <c r="AH31" s="95" t="str">
        <f t="shared" si="18"/>
        <v>3.26.</v>
      </c>
      <c r="AI31" s="87"/>
      <c r="AK31" s="89" t="s">
        <v>89</v>
      </c>
      <c r="AL31" s="77">
        <v>0</v>
      </c>
      <c r="AM31" s="77">
        <v>-2.9999999999859028</v>
      </c>
      <c r="AN31" s="77">
        <v>-6.199999999978445</v>
      </c>
    </row>
    <row r="32" spans="3:40" ht="15.6" x14ac:dyDescent="0.25">
      <c r="C32" s="96" t="s">
        <v>90</v>
      </c>
      <c r="D32" s="84">
        <v>143.047</v>
      </c>
      <c r="E32" s="85">
        <v>0</v>
      </c>
      <c r="F32" s="85">
        <v>0</v>
      </c>
      <c r="G32" s="84">
        <v>143.04420000000002</v>
      </c>
      <c r="H32" s="85">
        <f t="shared" si="0"/>
        <v>-2.7999999999792635</v>
      </c>
      <c r="I32" s="85">
        <f t="shared" si="1"/>
        <v>-2.7999999999792635</v>
      </c>
      <c r="J32" s="84">
        <v>143.04130000000001</v>
      </c>
      <c r="K32" s="85">
        <f t="shared" si="2"/>
        <v>-2.9000000000110049</v>
      </c>
      <c r="L32" s="85">
        <f t="shared" si="3"/>
        <v>-5.6999999999902684</v>
      </c>
      <c r="M32" s="84">
        <v>143.0394</v>
      </c>
      <c r="N32" s="85">
        <f t="shared" si="4"/>
        <v>-1.90000000000623</v>
      </c>
      <c r="O32" s="85">
        <f t="shared" si="5"/>
        <v>-7.5999999999964984</v>
      </c>
      <c r="P32" s="84">
        <v>91.74</v>
      </c>
      <c r="Q32" s="85">
        <f t="shared" si="6"/>
        <v>-51299.400000000009</v>
      </c>
      <c r="R32" s="85">
        <f t="shared" si="7"/>
        <v>-51307.000000000007</v>
      </c>
      <c r="S32" s="84">
        <v>91.739000000000004</v>
      </c>
      <c r="T32" s="85">
        <f t="shared" si="8"/>
        <v>-0.99999999999056399</v>
      </c>
      <c r="U32" s="85">
        <f t="shared" si="9"/>
        <v>-51308</v>
      </c>
      <c r="V32" s="84">
        <v>91.738200000000006</v>
      </c>
      <c r="W32" s="85">
        <f t="shared" si="10"/>
        <v>-0.79999999999813554</v>
      </c>
      <c r="X32" s="85">
        <f t="shared" si="11"/>
        <v>-51308.799999999996</v>
      </c>
      <c r="Y32" s="86">
        <v>91.737499999999997</v>
      </c>
      <c r="Z32" s="85">
        <f t="shared" si="12"/>
        <v>-0.70000000000902673</v>
      </c>
      <c r="AA32" s="85">
        <f t="shared" si="13"/>
        <v>-51309.500000000007</v>
      </c>
      <c r="AB32" s="86">
        <v>91.736999999999995</v>
      </c>
      <c r="AC32" s="85">
        <f t="shared" si="14"/>
        <v>-0.50000000000238742</v>
      </c>
      <c r="AD32" s="85">
        <f t="shared" si="15"/>
        <v>-51310.000000000007</v>
      </c>
      <c r="AE32" s="86">
        <v>91.7363</v>
      </c>
      <c r="AF32" s="85">
        <f t="shared" si="16"/>
        <v>-0.69999999999481588</v>
      </c>
      <c r="AG32" s="85">
        <f t="shared" si="17"/>
        <v>-51310.700000000004</v>
      </c>
      <c r="AH32" s="95" t="str">
        <f>C32</f>
        <v>3.27.</v>
      </c>
      <c r="AI32" s="87"/>
      <c r="AK32" s="89" t="s">
        <v>90</v>
      </c>
      <c r="AL32" s="77">
        <v>0</v>
      </c>
      <c r="AM32" s="77">
        <v>-2.7999999999792635</v>
      </c>
      <c r="AN32" s="77">
        <v>-5.6999999999902684</v>
      </c>
    </row>
    <row r="33" spans="3:47" ht="15.6" x14ac:dyDescent="0.25">
      <c r="C33" s="87"/>
      <c r="D33" s="91"/>
      <c r="E33" s="92"/>
      <c r="F33" s="92"/>
      <c r="G33" s="93"/>
      <c r="H33" s="92"/>
      <c r="I33" s="92"/>
      <c r="J33" s="93"/>
      <c r="K33" s="92"/>
      <c r="L33" s="92"/>
      <c r="M33" s="93"/>
      <c r="N33" s="92"/>
      <c r="O33" s="92"/>
      <c r="P33" s="93"/>
      <c r="Q33" s="92"/>
      <c r="R33" s="92"/>
      <c r="S33" s="92"/>
      <c r="T33" s="92"/>
      <c r="U33" s="92"/>
      <c r="V33" s="92"/>
      <c r="W33" s="92"/>
      <c r="X33" s="92"/>
      <c r="Y33" s="94"/>
      <c r="Z33" s="92"/>
      <c r="AA33" s="92"/>
      <c r="AB33" s="94"/>
      <c r="AC33" s="92"/>
      <c r="AD33" s="92"/>
      <c r="AE33" s="94"/>
      <c r="AF33" s="92"/>
      <c r="AG33" s="92"/>
      <c r="AH33" s="87"/>
      <c r="AI33" s="87"/>
    </row>
    <row r="34" spans="3:47" x14ac:dyDescent="0.25">
      <c r="C34" s="74"/>
      <c r="D34" s="74"/>
      <c r="E34" s="74"/>
      <c r="F34" s="74"/>
      <c r="H34" s="74"/>
      <c r="K34" s="74"/>
      <c r="N34" s="74"/>
      <c r="Q34" s="74"/>
      <c r="AH34" s="76" t="s">
        <v>59</v>
      </c>
      <c r="AI34" s="76"/>
    </row>
    <row r="35" spans="3:47" x14ac:dyDescent="0.25">
      <c r="C35" s="168" t="s">
        <v>51</v>
      </c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78"/>
    </row>
    <row r="36" spans="3:47" x14ac:dyDescent="0.25">
      <c r="C36" s="169" t="s">
        <v>91</v>
      </c>
      <c r="D36" s="169"/>
      <c r="E36" s="169"/>
      <c r="F36" s="169"/>
      <c r="G36" s="169"/>
      <c r="H36" s="169"/>
      <c r="I36" s="169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79"/>
    </row>
    <row r="37" spans="3:47" ht="30" customHeight="1" x14ac:dyDescent="0.25">
      <c r="C37" s="170" t="s">
        <v>1</v>
      </c>
      <c r="D37" s="132" t="s">
        <v>62</v>
      </c>
      <c r="E37" s="133"/>
      <c r="F37" s="134"/>
      <c r="G37" s="132" t="s">
        <v>158</v>
      </c>
      <c r="H37" s="133"/>
      <c r="I37" s="134"/>
      <c r="J37" s="132" t="s">
        <v>210</v>
      </c>
      <c r="K37" s="133"/>
      <c r="L37" s="134"/>
      <c r="M37" s="132" t="s">
        <v>251</v>
      </c>
      <c r="N37" s="133"/>
      <c r="O37" s="134"/>
      <c r="P37" s="171" t="s">
        <v>52</v>
      </c>
      <c r="Q37" s="171"/>
      <c r="R37" s="171"/>
      <c r="S37" s="171" t="s">
        <v>53</v>
      </c>
      <c r="T37" s="171"/>
      <c r="U37" s="171"/>
      <c r="V37" s="171" t="s">
        <v>54</v>
      </c>
      <c r="W37" s="171"/>
      <c r="X37" s="171"/>
      <c r="Y37" s="171" t="s">
        <v>55</v>
      </c>
      <c r="Z37" s="171"/>
      <c r="AA37" s="171"/>
      <c r="AB37" s="171" t="s">
        <v>56</v>
      </c>
      <c r="AC37" s="171"/>
      <c r="AD37" s="171"/>
      <c r="AE37" s="171" t="s">
        <v>57</v>
      </c>
      <c r="AF37" s="171"/>
      <c r="AG37" s="171"/>
      <c r="AH37" s="170" t="s">
        <v>1</v>
      </c>
      <c r="AI37" s="81"/>
      <c r="AJ37" s="80"/>
      <c r="AL37" s="77" t="s">
        <v>115</v>
      </c>
    </row>
    <row r="38" spans="3:47" ht="55.2" customHeight="1" x14ac:dyDescent="0.25">
      <c r="C38" s="170"/>
      <c r="D38" s="82" t="s">
        <v>2</v>
      </c>
      <c r="E38" s="11" t="s">
        <v>3</v>
      </c>
      <c r="F38" s="11" t="s">
        <v>4</v>
      </c>
      <c r="G38" s="82" t="s">
        <v>2</v>
      </c>
      <c r="H38" s="11" t="s">
        <v>3</v>
      </c>
      <c r="I38" s="11" t="s">
        <v>4</v>
      </c>
      <c r="J38" s="82" t="s">
        <v>2</v>
      </c>
      <c r="K38" s="11" t="s">
        <v>3</v>
      </c>
      <c r="L38" s="11" t="s">
        <v>4</v>
      </c>
      <c r="M38" s="82" t="s">
        <v>2</v>
      </c>
      <c r="N38" s="11" t="s">
        <v>3</v>
      </c>
      <c r="O38" s="11" t="s">
        <v>4</v>
      </c>
      <c r="P38" s="82" t="s">
        <v>2</v>
      </c>
      <c r="Q38" s="11" t="s">
        <v>3</v>
      </c>
      <c r="R38" s="11" t="s">
        <v>4</v>
      </c>
      <c r="S38" s="82" t="s">
        <v>2</v>
      </c>
      <c r="T38" s="11" t="s">
        <v>3</v>
      </c>
      <c r="U38" s="11" t="s">
        <v>4</v>
      </c>
      <c r="V38" s="82" t="s">
        <v>2</v>
      </c>
      <c r="W38" s="11" t="s">
        <v>3</v>
      </c>
      <c r="X38" s="11" t="s">
        <v>4</v>
      </c>
      <c r="Y38" s="10" t="s">
        <v>2</v>
      </c>
      <c r="Z38" s="11" t="s">
        <v>3</v>
      </c>
      <c r="AA38" s="11" t="s">
        <v>4</v>
      </c>
      <c r="AB38" s="10" t="s">
        <v>2</v>
      </c>
      <c r="AC38" s="11" t="s">
        <v>3</v>
      </c>
      <c r="AD38" s="11" t="s">
        <v>4</v>
      </c>
      <c r="AE38" s="10" t="s">
        <v>2</v>
      </c>
      <c r="AF38" s="11" t="s">
        <v>3</v>
      </c>
      <c r="AG38" s="11" t="s">
        <v>4</v>
      </c>
      <c r="AH38" s="170"/>
      <c r="AI38" s="81"/>
      <c r="AL38" s="83">
        <v>45838</v>
      </c>
      <c r="AM38" s="83">
        <v>45869</v>
      </c>
      <c r="AN38" s="83">
        <v>45897</v>
      </c>
      <c r="AO38" s="83"/>
      <c r="AP38" s="83"/>
      <c r="AQ38" s="83"/>
      <c r="AR38" s="83"/>
      <c r="AS38" s="83"/>
      <c r="AT38" s="83"/>
      <c r="AU38" s="83"/>
    </row>
    <row r="39" spans="3:47" ht="15.6" x14ac:dyDescent="0.25">
      <c r="C39" s="125" t="s">
        <v>92</v>
      </c>
      <c r="D39" s="84">
        <v>142.7996</v>
      </c>
      <c r="E39" s="85">
        <v>0</v>
      </c>
      <c r="F39" s="85">
        <v>0</v>
      </c>
      <c r="G39" s="84">
        <v>142.79649999999998</v>
      </c>
      <c r="H39" s="85">
        <f t="shared" ref="H39:H59" si="19">(G39-D39)*1000</f>
        <v>-3.1000000000176442</v>
      </c>
      <c r="I39" s="85">
        <f t="shared" ref="I39:I59" si="20">F39+H39</f>
        <v>-3.1000000000176442</v>
      </c>
      <c r="J39" s="84">
        <v>142.7936</v>
      </c>
      <c r="K39" s="85">
        <f t="shared" ref="K39:K59" si="21">(J39-G39)*1000</f>
        <v>-2.8999999999825832</v>
      </c>
      <c r="L39" s="85">
        <f t="shared" ref="L39:L59" si="22">I39+K39</f>
        <v>-6.0000000000002274</v>
      </c>
      <c r="M39" s="84">
        <v>142.7927</v>
      </c>
      <c r="N39" s="85">
        <f t="shared" ref="N39:N59" si="23">(M39-J39)*1000</f>
        <v>-0.90000000000145519</v>
      </c>
      <c r="O39" s="85">
        <f t="shared" ref="O39:O59" si="24">L39+N39</f>
        <v>-6.9000000000016826</v>
      </c>
      <c r="P39" s="84">
        <v>91.855500000000006</v>
      </c>
      <c r="Q39" s="85">
        <f t="shared" ref="Q39:Q59" si="25">(P39-M39)*1000</f>
        <v>-50937.19999999999</v>
      </c>
      <c r="R39" s="85">
        <f t="shared" ref="R39:R59" si="26">O39+Q39</f>
        <v>-50944.099999999991</v>
      </c>
      <c r="S39" s="84">
        <v>91.854600000000005</v>
      </c>
      <c r="T39" s="85">
        <f t="shared" ref="T39:T59" si="27">(S39-P39)*1000</f>
        <v>-0.90000000000145519</v>
      </c>
      <c r="U39" s="85">
        <f t="shared" ref="U39:U59" si="28">R39+T39</f>
        <v>-50944.999999999993</v>
      </c>
      <c r="V39" s="84">
        <v>91.853700000000003</v>
      </c>
      <c r="W39" s="85">
        <f t="shared" ref="W39:W59" si="29">(V39-S39)*1000</f>
        <v>-0.90000000000145519</v>
      </c>
      <c r="X39" s="85">
        <f t="shared" ref="X39:X59" si="30">U39+W39</f>
        <v>-50945.899999999994</v>
      </c>
      <c r="Y39" s="86">
        <v>91.852999999999994</v>
      </c>
      <c r="Z39" s="85">
        <f t="shared" ref="Z39:Z59" si="31">(Y39-V39)*1000</f>
        <v>-0.70000000000902673</v>
      </c>
      <c r="AA39" s="85">
        <f t="shared" ref="AA39:AA59" si="32">X39+Z39</f>
        <v>-50946.600000000006</v>
      </c>
      <c r="AB39" s="86">
        <v>91.852599999999995</v>
      </c>
      <c r="AC39" s="85">
        <f>(AB39-Y39)*1000</f>
        <v>-0.39999999999906777</v>
      </c>
      <c r="AD39" s="85">
        <f>AA39+AC39</f>
        <v>-50947.000000000007</v>
      </c>
      <c r="AE39" s="86">
        <v>91.852099999999993</v>
      </c>
      <c r="AF39" s="85">
        <f>(AE39-AB39)*1000</f>
        <v>-0.50000000000238742</v>
      </c>
      <c r="AG39" s="85">
        <f>AD39+AF39</f>
        <v>-50947.500000000007</v>
      </c>
      <c r="AH39" s="125" t="str">
        <f>C39</f>
        <v>4.1.</v>
      </c>
      <c r="AI39" s="87"/>
      <c r="AK39" s="77" t="s">
        <v>92</v>
      </c>
      <c r="AL39" s="77">
        <v>0</v>
      </c>
      <c r="AM39" s="77">
        <v>-3.1000000000176442</v>
      </c>
      <c r="AN39" s="77">
        <v>-6.0000000000002274</v>
      </c>
    </row>
    <row r="40" spans="3:47" ht="15.6" x14ac:dyDescent="0.25">
      <c r="C40" s="125" t="s">
        <v>93</v>
      </c>
      <c r="D40" s="84">
        <v>142.7603</v>
      </c>
      <c r="E40" s="85">
        <v>0</v>
      </c>
      <c r="F40" s="85">
        <v>0</v>
      </c>
      <c r="G40" s="84">
        <v>142.75729999999999</v>
      </c>
      <c r="H40" s="85">
        <f t="shared" si="19"/>
        <v>-3.0000000000143245</v>
      </c>
      <c r="I40" s="85">
        <f t="shared" si="20"/>
        <v>-3.0000000000143245</v>
      </c>
      <c r="J40" s="84">
        <v>142.7542</v>
      </c>
      <c r="K40" s="85">
        <f t="shared" si="21"/>
        <v>-3.0999999999892225</v>
      </c>
      <c r="L40" s="85">
        <f t="shared" si="22"/>
        <v>-6.100000000003547</v>
      </c>
      <c r="M40" s="84">
        <v>142.75299999999999</v>
      </c>
      <c r="N40" s="85">
        <f t="shared" si="23"/>
        <v>-1.2000000000114142</v>
      </c>
      <c r="O40" s="85">
        <f t="shared" si="24"/>
        <v>-7.3000000000149612</v>
      </c>
      <c r="P40" s="84">
        <v>91.810500000000005</v>
      </c>
      <c r="Q40" s="85">
        <f t="shared" si="25"/>
        <v>-50942.499999999978</v>
      </c>
      <c r="R40" s="85">
        <f t="shared" si="26"/>
        <v>-50949.799999999996</v>
      </c>
      <c r="S40" s="84">
        <v>91.809399999999997</v>
      </c>
      <c r="T40" s="85">
        <f t="shared" si="27"/>
        <v>-1.1000000000080945</v>
      </c>
      <c r="U40" s="85">
        <f t="shared" si="28"/>
        <v>-50950.9</v>
      </c>
      <c r="V40" s="84">
        <v>91.808700000000002</v>
      </c>
      <c r="W40" s="85">
        <f t="shared" si="29"/>
        <v>-0.69999999999481588</v>
      </c>
      <c r="X40" s="85">
        <f t="shared" si="30"/>
        <v>-50951.6</v>
      </c>
      <c r="Y40" s="86">
        <v>91.808099999999996</v>
      </c>
      <c r="Z40" s="85">
        <f t="shared" si="31"/>
        <v>-0.60000000000570708</v>
      </c>
      <c r="AA40" s="85">
        <f t="shared" si="32"/>
        <v>-50952.200000000004</v>
      </c>
      <c r="AB40" s="86">
        <v>91.807400000000001</v>
      </c>
      <c r="AC40" s="85">
        <f t="shared" ref="AC40:AC59" si="33">(AB40-Y40)*1000</f>
        <v>-0.69999999999481588</v>
      </c>
      <c r="AD40" s="85">
        <f t="shared" ref="AD40:AD59" si="34">AA40+AC40</f>
        <v>-50952.9</v>
      </c>
      <c r="AE40" s="86">
        <v>91.807000000000002</v>
      </c>
      <c r="AF40" s="85">
        <f t="shared" ref="AF40:AF59" si="35">(AE40-AB40)*1000</f>
        <v>-0.39999999999906777</v>
      </c>
      <c r="AG40" s="85">
        <f t="shared" ref="AG40:AG59" si="36">AD40+AF40</f>
        <v>-50953.3</v>
      </c>
      <c r="AH40" s="125" t="str">
        <f t="shared" ref="AH40:AH59" si="37">C40</f>
        <v>4.2.</v>
      </c>
      <c r="AI40" s="87"/>
      <c r="AK40" s="77" t="s">
        <v>93</v>
      </c>
      <c r="AL40" s="77">
        <v>0</v>
      </c>
      <c r="AM40" s="77">
        <v>-3.0000000000143245</v>
      </c>
      <c r="AN40" s="77">
        <v>-6.100000000003547</v>
      </c>
    </row>
    <row r="41" spans="3:47" ht="15.6" x14ac:dyDescent="0.25">
      <c r="C41" s="125" t="s">
        <v>94</v>
      </c>
      <c r="D41" s="84">
        <v>142.9597</v>
      </c>
      <c r="E41" s="85">
        <v>0</v>
      </c>
      <c r="F41" s="85">
        <v>0</v>
      </c>
      <c r="G41" s="84">
        <v>142.9529</v>
      </c>
      <c r="H41" s="85">
        <f t="shared" si="19"/>
        <v>-6.7999999999983629</v>
      </c>
      <c r="I41" s="85">
        <f t="shared" si="20"/>
        <v>-6.7999999999983629</v>
      </c>
      <c r="J41" s="84">
        <v>142.94969999999998</v>
      </c>
      <c r="K41" s="85">
        <f t="shared" si="21"/>
        <v>-3.2000000000209639</v>
      </c>
      <c r="L41" s="85">
        <f t="shared" si="22"/>
        <v>-10.000000000019327</v>
      </c>
      <c r="M41" s="84">
        <v>142.9469</v>
      </c>
      <c r="N41" s="85">
        <f t="shared" si="23"/>
        <v>-2.7999999999792635</v>
      </c>
      <c r="O41" s="85">
        <f t="shared" si="24"/>
        <v>-12.79999999999859</v>
      </c>
      <c r="P41" s="84">
        <v>91.788700000000006</v>
      </c>
      <c r="Q41" s="85">
        <f t="shared" si="25"/>
        <v>-51158.2</v>
      </c>
      <c r="R41" s="85">
        <f t="shared" si="26"/>
        <v>-51170.999999999993</v>
      </c>
      <c r="S41" s="84">
        <v>91.787999999999997</v>
      </c>
      <c r="T41" s="85">
        <f t="shared" si="27"/>
        <v>-0.70000000000902673</v>
      </c>
      <c r="U41" s="85">
        <f t="shared" si="28"/>
        <v>-51171.700000000004</v>
      </c>
      <c r="V41" s="84">
        <v>91.787199999999999</v>
      </c>
      <c r="W41" s="85">
        <f t="shared" si="29"/>
        <v>-0.79999999999813554</v>
      </c>
      <c r="X41" s="85">
        <f t="shared" si="30"/>
        <v>-51172.5</v>
      </c>
      <c r="Y41" s="86">
        <v>91.7864</v>
      </c>
      <c r="Z41" s="85">
        <f t="shared" si="31"/>
        <v>-0.79999999999813554</v>
      </c>
      <c r="AA41" s="85">
        <f t="shared" si="32"/>
        <v>-51173.299999999996</v>
      </c>
      <c r="AB41" s="86">
        <v>91.785799999999995</v>
      </c>
      <c r="AC41" s="85">
        <f t="shared" si="33"/>
        <v>-0.60000000000570708</v>
      </c>
      <c r="AD41" s="85">
        <f t="shared" si="34"/>
        <v>-51173.9</v>
      </c>
      <c r="AE41" s="86">
        <v>91.7851</v>
      </c>
      <c r="AF41" s="85">
        <f t="shared" si="35"/>
        <v>-0.69999999999481588</v>
      </c>
      <c r="AG41" s="85">
        <f t="shared" si="36"/>
        <v>-51174.6</v>
      </c>
      <c r="AH41" s="125" t="str">
        <f t="shared" si="37"/>
        <v>4.3.</v>
      </c>
      <c r="AI41" s="87"/>
      <c r="AK41" s="77" t="s">
        <v>94</v>
      </c>
      <c r="AL41" s="77">
        <v>0</v>
      </c>
      <c r="AM41" s="77">
        <v>-6.7999999999983629</v>
      </c>
      <c r="AN41" s="77">
        <v>-10.000000000019327</v>
      </c>
    </row>
    <row r="42" spans="3:47" ht="15.6" x14ac:dyDescent="0.25">
      <c r="C42" s="125" t="s">
        <v>95</v>
      </c>
      <c r="D42" s="84">
        <v>142.9306</v>
      </c>
      <c r="E42" s="85">
        <v>0</v>
      </c>
      <c r="F42" s="85">
        <v>0</v>
      </c>
      <c r="G42" s="84">
        <v>142.92739999999998</v>
      </c>
      <c r="H42" s="85">
        <f t="shared" si="19"/>
        <v>-3.2000000000209639</v>
      </c>
      <c r="I42" s="85">
        <f t="shared" si="20"/>
        <v>-3.2000000000209639</v>
      </c>
      <c r="J42" s="84">
        <v>142.9238</v>
      </c>
      <c r="K42" s="85">
        <f t="shared" si="21"/>
        <v>-3.5999999999773991</v>
      </c>
      <c r="L42" s="85">
        <f t="shared" si="22"/>
        <v>-6.7999999999983629</v>
      </c>
      <c r="M42" s="84">
        <v>142.92230000000001</v>
      </c>
      <c r="N42" s="85">
        <f t="shared" si="23"/>
        <v>-1.4999999999929514</v>
      </c>
      <c r="O42" s="85">
        <f t="shared" si="24"/>
        <v>-8.2999999999913143</v>
      </c>
      <c r="P42" s="84">
        <v>91.7684</v>
      </c>
      <c r="Q42" s="85">
        <f t="shared" si="25"/>
        <v>-51153.900000000009</v>
      </c>
      <c r="R42" s="85">
        <f t="shared" si="26"/>
        <v>-51162.2</v>
      </c>
      <c r="S42" s="84">
        <v>91.767499999999998</v>
      </c>
      <c r="T42" s="85">
        <f t="shared" si="27"/>
        <v>-0.90000000000145519</v>
      </c>
      <c r="U42" s="85">
        <f t="shared" si="28"/>
        <v>-51163.1</v>
      </c>
      <c r="V42" s="84">
        <v>91.766800000000003</v>
      </c>
      <c r="W42" s="85">
        <f t="shared" si="29"/>
        <v>-0.69999999999481588</v>
      </c>
      <c r="X42" s="85">
        <f t="shared" si="30"/>
        <v>-51163.799999999996</v>
      </c>
      <c r="Y42" s="86">
        <v>91.766000000000005</v>
      </c>
      <c r="Z42" s="85">
        <f t="shared" si="31"/>
        <v>-0.79999999999813554</v>
      </c>
      <c r="AA42" s="85">
        <f t="shared" si="32"/>
        <v>-51164.599999999991</v>
      </c>
      <c r="AB42" s="86">
        <v>91.765500000000003</v>
      </c>
      <c r="AC42" s="85">
        <f t="shared" si="33"/>
        <v>-0.50000000000238742</v>
      </c>
      <c r="AD42" s="85">
        <f t="shared" si="34"/>
        <v>-51165.099999999991</v>
      </c>
      <c r="AE42" s="86">
        <v>91.764899999999997</v>
      </c>
      <c r="AF42" s="85">
        <f t="shared" si="35"/>
        <v>-0.60000000000570708</v>
      </c>
      <c r="AG42" s="85">
        <f t="shared" si="36"/>
        <v>-51165.7</v>
      </c>
      <c r="AH42" s="125" t="str">
        <f t="shared" si="37"/>
        <v>4.4.</v>
      </c>
      <c r="AI42" s="87"/>
      <c r="AJ42" s="77">
        <v>12000</v>
      </c>
      <c r="AK42" s="77" t="s">
        <v>95</v>
      </c>
      <c r="AL42" s="77">
        <v>0</v>
      </c>
      <c r="AM42" s="77">
        <v>-3.2000000000209639</v>
      </c>
      <c r="AN42" s="77">
        <v>-6.7999999999983629</v>
      </c>
    </row>
    <row r="43" spans="3:47" ht="15.6" x14ac:dyDescent="0.25">
      <c r="C43" s="125" t="s">
        <v>96</v>
      </c>
      <c r="D43" s="84">
        <v>142.73080000000002</v>
      </c>
      <c r="E43" s="85">
        <v>0</v>
      </c>
      <c r="F43" s="85">
        <v>0</v>
      </c>
      <c r="G43" s="84">
        <v>142.72819999999999</v>
      </c>
      <c r="H43" s="85">
        <f t="shared" si="19"/>
        <v>-2.6000000000294676</v>
      </c>
      <c r="I43" s="85">
        <f t="shared" si="20"/>
        <v>-2.6000000000294676</v>
      </c>
      <c r="J43" s="84">
        <v>142.72379999999998</v>
      </c>
      <c r="K43" s="85">
        <f t="shared" si="21"/>
        <v>-4.4000000000039563</v>
      </c>
      <c r="L43" s="85">
        <f t="shared" si="22"/>
        <v>-7.0000000000334239</v>
      </c>
      <c r="M43" s="84">
        <v>142.7218</v>
      </c>
      <c r="N43" s="85">
        <f t="shared" si="23"/>
        <v>-1.999999999981128</v>
      </c>
      <c r="O43" s="85">
        <f t="shared" si="24"/>
        <v>-9.0000000000145519</v>
      </c>
      <c r="P43" s="84">
        <v>91.783199999999994</v>
      </c>
      <c r="Q43" s="85">
        <f t="shared" si="25"/>
        <v>-50938.600000000006</v>
      </c>
      <c r="R43" s="85">
        <f t="shared" si="26"/>
        <v>-50947.60000000002</v>
      </c>
      <c r="S43" s="84">
        <v>91.782399999999996</v>
      </c>
      <c r="T43" s="85">
        <f t="shared" si="27"/>
        <v>-0.79999999999813554</v>
      </c>
      <c r="U43" s="85">
        <f t="shared" si="28"/>
        <v>-50948.400000000016</v>
      </c>
      <c r="V43" s="84">
        <v>91.781599999999997</v>
      </c>
      <c r="W43" s="85">
        <f t="shared" si="29"/>
        <v>-0.79999999999813554</v>
      </c>
      <c r="X43" s="85">
        <f t="shared" si="30"/>
        <v>-50949.200000000012</v>
      </c>
      <c r="Y43" s="86">
        <v>91.780600000000007</v>
      </c>
      <c r="Z43" s="85">
        <f t="shared" si="31"/>
        <v>-0.99999999999056399</v>
      </c>
      <c r="AA43" s="85">
        <f t="shared" si="32"/>
        <v>-50950.200000000004</v>
      </c>
      <c r="AB43" s="86">
        <v>91.78</v>
      </c>
      <c r="AC43" s="85">
        <f t="shared" si="33"/>
        <v>-0.60000000000570708</v>
      </c>
      <c r="AD43" s="85">
        <f t="shared" si="34"/>
        <v>-50950.80000000001</v>
      </c>
      <c r="AE43" s="86">
        <v>91.779200000000003</v>
      </c>
      <c r="AF43" s="85">
        <f t="shared" si="35"/>
        <v>-0.79999999999813554</v>
      </c>
      <c r="AG43" s="85">
        <f t="shared" si="36"/>
        <v>-50951.600000000006</v>
      </c>
      <c r="AH43" s="125" t="str">
        <f t="shared" si="37"/>
        <v>4.5.</v>
      </c>
      <c r="AI43" s="87"/>
      <c r="AJ43" s="77" t="s">
        <v>213</v>
      </c>
      <c r="AK43" s="77" t="s">
        <v>96</v>
      </c>
      <c r="AL43" s="77">
        <v>0</v>
      </c>
      <c r="AM43" s="77">
        <v>-2.6000000000294676</v>
      </c>
      <c r="AN43" s="77">
        <v>-7.0000000000334239</v>
      </c>
    </row>
    <row r="44" spans="3:47" ht="15.6" x14ac:dyDescent="0.25">
      <c r="C44" s="125" t="s">
        <v>97</v>
      </c>
      <c r="D44" s="84">
        <v>142.792</v>
      </c>
      <c r="E44" s="85">
        <v>0</v>
      </c>
      <c r="F44" s="85">
        <v>0</v>
      </c>
      <c r="G44" s="84">
        <v>142.7886</v>
      </c>
      <c r="H44" s="85">
        <f t="shared" si="19"/>
        <v>-3.3999999999991815</v>
      </c>
      <c r="I44" s="85">
        <f t="shared" si="20"/>
        <v>-3.3999999999991815</v>
      </c>
      <c r="J44" s="84">
        <v>142.78619999999998</v>
      </c>
      <c r="K44" s="85">
        <f t="shared" si="21"/>
        <v>-2.4000000000228283</v>
      </c>
      <c r="L44" s="85">
        <f t="shared" si="22"/>
        <v>-5.8000000000220098</v>
      </c>
      <c r="M44" s="84">
        <v>142.78450000000001</v>
      </c>
      <c r="N44" s="85">
        <f t="shared" si="23"/>
        <v>-1.699999999971169</v>
      </c>
      <c r="O44" s="85">
        <f t="shared" si="24"/>
        <v>-7.4999999999931788</v>
      </c>
      <c r="P44" s="84">
        <v>91.8095</v>
      </c>
      <c r="Q44" s="85">
        <f t="shared" si="25"/>
        <v>-50975.000000000007</v>
      </c>
      <c r="R44" s="85">
        <f t="shared" si="26"/>
        <v>-50982.5</v>
      </c>
      <c r="S44" s="84">
        <v>91.808599999999998</v>
      </c>
      <c r="T44" s="85">
        <f t="shared" si="27"/>
        <v>-0.90000000000145519</v>
      </c>
      <c r="U44" s="85">
        <f t="shared" si="28"/>
        <v>-50983.4</v>
      </c>
      <c r="V44" s="84">
        <v>91.807900000000004</v>
      </c>
      <c r="W44" s="85">
        <f t="shared" si="29"/>
        <v>-0.69999999999481588</v>
      </c>
      <c r="X44" s="85">
        <f t="shared" si="30"/>
        <v>-50984.1</v>
      </c>
      <c r="Y44" s="86">
        <v>91.807000000000002</v>
      </c>
      <c r="Z44" s="85">
        <f t="shared" si="31"/>
        <v>-0.90000000000145519</v>
      </c>
      <c r="AA44" s="85">
        <f t="shared" si="32"/>
        <v>-50985</v>
      </c>
      <c r="AB44" s="86">
        <v>91.805999999999997</v>
      </c>
      <c r="AC44" s="85">
        <f t="shared" si="33"/>
        <v>-1.0000000000047748</v>
      </c>
      <c r="AD44" s="85">
        <f t="shared" si="34"/>
        <v>-50986.000000000007</v>
      </c>
      <c r="AE44" s="86">
        <v>91.805400000000006</v>
      </c>
      <c r="AF44" s="85">
        <f t="shared" si="35"/>
        <v>-0.59999999999149622</v>
      </c>
      <c r="AG44" s="85">
        <f t="shared" si="36"/>
        <v>-50986.6</v>
      </c>
      <c r="AH44" s="125" t="str">
        <f t="shared" si="37"/>
        <v>4.6.</v>
      </c>
      <c r="AI44" s="87"/>
      <c r="AJ44" s="90"/>
      <c r="AK44" s="77" t="s">
        <v>97</v>
      </c>
      <c r="AL44" s="77">
        <v>0</v>
      </c>
      <c r="AM44" s="77">
        <v>-3.3999999999991815</v>
      </c>
      <c r="AN44" s="77">
        <v>-5.8000000000220098</v>
      </c>
    </row>
    <row r="45" spans="3:47" ht="15.6" x14ac:dyDescent="0.25">
      <c r="C45" s="125" t="s">
        <v>98</v>
      </c>
      <c r="D45" s="84">
        <v>142.79640000000001</v>
      </c>
      <c r="E45" s="85">
        <v>0</v>
      </c>
      <c r="F45" s="85">
        <v>0</v>
      </c>
      <c r="G45" s="84">
        <v>142.79339999999999</v>
      </c>
      <c r="H45" s="85">
        <f t="shared" si="19"/>
        <v>-3.0000000000143245</v>
      </c>
      <c r="I45" s="85">
        <f t="shared" si="20"/>
        <v>-3.0000000000143245</v>
      </c>
      <c r="J45" s="84">
        <v>142.79059999999998</v>
      </c>
      <c r="K45" s="85">
        <f t="shared" si="21"/>
        <v>-2.8000000000076852</v>
      </c>
      <c r="L45" s="85">
        <f t="shared" si="22"/>
        <v>-5.8000000000220098</v>
      </c>
      <c r="M45" s="84">
        <v>142.7876</v>
      </c>
      <c r="N45" s="85">
        <f t="shared" si="23"/>
        <v>-2.9999999999859028</v>
      </c>
      <c r="O45" s="85">
        <f t="shared" si="24"/>
        <v>-8.8000000000079126</v>
      </c>
      <c r="P45" s="84">
        <v>91.826999999999998</v>
      </c>
      <c r="Q45" s="85">
        <f t="shared" si="25"/>
        <v>-50960.6</v>
      </c>
      <c r="R45" s="85">
        <f t="shared" si="26"/>
        <v>-50969.400000000009</v>
      </c>
      <c r="S45" s="84">
        <v>91.825999999999993</v>
      </c>
      <c r="T45" s="85">
        <f t="shared" si="27"/>
        <v>-1.0000000000047748</v>
      </c>
      <c r="U45" s="85">
        <f t="shared" si="28"/>
        <v>-50970.400000000016</v>
      </c>
      <c r="V45" s="84">
        <v>91.825100000000006</v>
      </c>
      <c r="W45" s="85">
        <f t="shared" si="29"/>
        <v>-0.89999999998724434</v>
      </c>
      <c r="X45" s="85">
        <f t="shared" si="30"/>
        <v>-50971.3</v>
      </c>
      <c r="Y45" s="86">
        <v>91.823999999999998</v>
      </c>
      <c r="Z45" s="85">
        <f t="shared" si="31"/>
        <v>-1.1000000000080945</v>
      </c>
      <c r="AA45" s="85">
        <f t="shared" si="32"/>
        <v>-50972.400000000009</v>
      </c>
      <c r="AB45" s="86">
        <v>91.823300000000003</v>
      </c>
      <c r="AC45" s="85">
        <f t="shared" si="33"/>
        <v>-0.69999999999481588</v>
      </c>
      <c r="AD45" s="85">
        <f t="shared" si="34"/>
        <v>-50973.100000000006</v>
      </c>
      <c r="AE45" s="86">
        <v>91.822800000000001</v>
      </c>
      <c r="AF45" s="85">
        <f t="shared" si="35"/>
        <v>-0.50000000000238742</v>
      </c>
      <c r="AG45" s="85">
        <f t="shared" si="36"/>
        <v>-50973.600000000006</v>
      </c>
      <c r="AH45" s="125" t="str">
        <f t="shared" si="37"/>
        <v>4.7.</v>
      </c>
      <c r="AI45" s="87"/>
      <c r="AK45" s="77" t="s">
        <v>98</v>
      </c>
      <c r="AL45" s="77">
        <v>0</v>
      </c>
      <c r="AM45" s="77">
        <v>-3.0000000000143245</v>
      </c>
      <c r="AN45" s="77">
        <v>-5.8000000000220098</v>
      </c>
    </row>
    <row r="46" spans="3:47" ht="15.6" x14ac:dyDescent="0.25">
      <c r="C46" s="125" t="s">
        <v>99</v>
      </c>
      <c r="D46" s="84">
        <v>142.9263</v>
      </c>
      <c r="E46" s="85">
        <v>0</v>
      </c>
      <c r="F46" s="85">
        <v>0</v>
      </c>
      <c r="G46" s="84">
        <v>142.92319999999998</v>
      </c>
      <c r="H46" s="85">
        <f t="shared" si="19"/>
        <v>-3.1000000000176442</v>
      </c>
      <c r="I46" s="85">
        <f t="shared" si="20"/>
        <v>-3.1000000000176442</v>
      </c>
      <c r="J46" s="84">
        <v>142.91929999999999</v>
      </c>
      <c r="K46" s="85">
        <f t="shared" si="21"/>
        <v>-3.899999999987358</v>
      </c>
      <c r="L46" s="85">
        <f t="shared" si="22"/>
        <v>-7.0000000000050022</v>
      </c>
      <c r="M46" s="84">
        <v>142.91669999999999</v>
      </c>
      <c r="N46" s="85">
        <f t="shared" si="23"/>
        <v>-2.6000000000010459</v>
      </c>
      <c r="O46" s="85">
        <f t="shared" si="24"/>
        <v>-9.6000000000060481</v>
      </c>
      <c r="P46" s="84">
        <v>91.929500000000004</v>
      </c>
      <c r="Q46" s="85">
        <f t="shared" si="25"/>
        <v>-50987.19999999999</v>
      </c>
      <c r="R46" s="85">
        <f t="shared" si="26"/>
        <v>-50996.799999999996</v>
      </c>
      <c r="S46" s="84">
        <v>91.928399999999996</v>
      </c>
      <c r="T46" s="85">
        <f t="shared" si="27"/>
        <v>-1.1000000000080945</v>
      </c>
      <c r="U46" s="85">
        <f t="shared" si="28"/>
        <v>-50997.9</v>
      </c>
      <c r="V46" s="84">
        <v>91.927400000000006</v>
      </c>
      <c r="W46" s="85">
        <f t="shared" si="29"/>
        <v>-0.99999999999056399</v>
      </c>
      <c r="X46" s="85">
        <f t="shared" si="30"/>
        <v>-50998.899999999994</v>
      </c>
      <c r="Y46" s="86">
        <v>91.926500000000004</v>
      </c>
      <c r="Z46" s="85">
        <f t="shared" si="31"/>
        <v>-0.90000000000145519</v>
      </c>
      <c r="AA46" s="85">
        <f t="shared" si="32"/>
        <v>-50999.799999999996</v>
      </c>
      <c r="AB46" s="86">
        <v>91.926000000000002</v>
      </c>
      <c r="AC46" s="85">
        <f t="shared" si="33"/>
        <v>-0.50000000000238742</v>
      </c>
      <c r="AD46" s="85">
        <f t="shared" si="34"/>
        <v>-51000.299999999996</v>
      </c>
      <c r="AE46" s="86">
        <v>91.925299999999993</v>
      </c>
      <c r="AF46" s="85">
        <f t="shared" si="35"/>
        <v>-0.70000000000902673</v>
      </c>
      <c r="AG46" s="85">
        <f t="shared" si="36"/>
        <v>-51001.000000000007</v>
      </c>
      <c r="AH46" s="125" t="str">
        <f t="shared" si="37"/>
        <v>4.8.</v>
      </c>
      <c r="AI46" s="87"/>
      <c r="AK46" s="77" t="s">
        <v>99</v>
      </c>
      <c r="AL46" s="77">
        <v>0</v>
      </c>
      <c r="AM46" s="77">
        <v>-3.1000000000176442</v>
      </c>
      <c r="AN46" s="77">
        <v>-7.0000000000050022</v>
      </c>
    </row>
    <row r="47" spans="3:47" ht="15.6" x14ac:dyDescent="0.25">
      <c r="C47" s="125" t="s">
        <v>100</v>
      </c>
      <c r="D47" s="84">
        <v>143.06560000000002</v>
      </c>
      <c r="E47" s="85">
        <v>0</v>
      </c>
      <c r="F47" s="85">
        <v>0</v>
      </c>
      <c r="G47" s="84">
        <v>143.05770000000001</v>
      </c>
      <c r="H47" s="85">
        <f t="shared" si="19"/>
        <v>-7.9000000000064574</v>
      </c>
      <c r="I47" s="85">
        <f t="shared" si="20"/>
        <v>-7.9000000000064574</v>
      </c>
      <c r="J47" s="84">
        <v>143.0521</v>
      </c>
      <c r="K47" s="85">
        <f t="shared" si="21"/>
        <v>-5.6000000000153705</v>
      </c>
      <c r="L47" s="115">
        <f t="shared" si="22"/>
        <v>-13.500000000021828</v>
      </c>
      <c r="M47" s="84">
        <v>143.05019999999999</v>
      </c>
      <c r="N47" s="85">
        <f t="shared" si="23"/>
        <v>-1.90000000000623</v>
      </c>
      <c r="O47" s="115">
        <f t="shared" si="24"/>
        <v>-15.400000000028058</v>
      </c>
      <c r="P47" s="84">
        <v>91.849299999999999</v>
      </c>
      <c r="Q47" s="85">
        <f t="shared" si="25"/>
        <v>-51200.899999999987</v>
      </c>
      <c r="R47" s="85">
        <f t="shared" si="26"/>
        <v>-51216.300000000017</v>
      </c>
      <c r="S47" s="84">
        <v>91.848399999999998</v>
      </c>
      <c r="T47" s="85">
        <f t="shared" si="27"/>
        <v>-0.90000000000145519</v>
      </c>
      <c r="U47" s="85">
        <f t="shared" si="28"/>
        <v>-51217.200000000019</v>
      </c>
      <c r="V47" s="84">
        <v>91.847499999999997</v>
      </c>
      <c r="W47" s="85">
        <f t="shared" si="29"/>
        <v>-0.90000000000145519</v>
      </c>
      <c r="X47" s="85">
        <f t="shared" si="30"/>
        <v>-51218.10000000002</v>
      </c>
      <c r="Y47" s="86">
        <v>91.846400000000003</v>
      </c>
      <c r="Z47" s="85">
        <f t="shared" si="31"/>
        <v>-1.0999999999938836</v>
      </c>
      <c r="AA47" s="85">
        <f t="shared" si="32"/>
        <v>-51219.200000000012</v>
      </c>
      <c r="AB47" s="86">
        <v>91.845799999999997</v>
      </c>
      <c r="AC47" s="85">
        <f t="shared" si="33"/>
        <v>-0.60000000000570708</v>
      </c>
      <c r="AD47" s="85">
        <f t="shared" si="34"/>
        <v>-51219.800000000017</v>
      </c>
      <c r="AE47" s="86">
        <v>91.845200000000006</v>
      </c>
      <c r="AF47" s="85">
        <f t="shared" si="35"/>
        <v>-0.59999999999149622</v>
      </c>
      <c r="AG47" s="85">
        <f t="shared" si="36"/>
        <v>-51220.400000000009</v>
      </c>
      <c r="AH47" s="125" t="str">
        <f t="shared" si="37"/>
        <v>4.9.</v>
      </c>
      <c r="AI47" s="87"/>
      <c r="AK47" s="77" t="s">
        <v>100</v>
      </c>
      <c r="AL47" s="77">
        <v>0</v>
      </c>
      <c r="AM47" s="77">
        <v>-7.9000000000064574</v>
      </c>
      <c r="AN47" s="77">
        <v>-13.500000000021828</v>
      </c>
    </row>
    <row r="48" spans="3:47" ht="15.6" x14ac:dyDescent="0.25">
      <c r="C48" s="125" t="s">
        <v>101</v>
      </c>
      <c r="D48" s="84">
        <v>143.08950000000002</v>
      </c>
      <c r="E48" s="85">
        <v>0</v>
      </c>
      <c r="F48" s="85">
        <v>0</v>
      </c>
      <c r="G48" s="84">
        <v>143.08589999999998</v>
      </c>
      <c r="H48" s="85">
        <f t="shared" si="19"/>
        <v>-3.6000000000342425</v>
      </c>
      <c r="I48" s="85">
        <f t="shared" si="20"/>
        <v>-3.6000000000342425</v>
      </c>
      <c r="J48" s="84">
        <v>143.08269999999999</v>
      </c>
      <c r="K48" s="85">
        <f t="shared" si="21"/>
        <v>-3.1999999999925421</v>
      </c>
      <c r="L48" s="85">
        <f t="shared" si="22"/>
        <v>-6.8000000000267846</v>
      </c>
      <c r="M48" s="84">
        <v>143.08090000000001</v>
      </c>
      <c r="N48" s="85">
        <f t="shared" si="23"/>
        <v>-1.7999999999744887</v>
      </c>
      <c r="O48" s="85">
        <f t="shared" si="24"/>
        <v>-8.6000000000012733</v>
      </c>
      <c r="P48" s="84">
        <v>92.001000000000005</v>
      </c>
      <c r="Q48" s="85">
        <f t="shared" si="25"/>
        <v>-51079.900000000009</v>
      </c>
      <c r="R48" s="85">
        <f t="shared" si="26"/>
        <v>-51088.500000000007</v>
      </c>
      <c r="S48" s="84">
        <v>92</v>
      </c>
      <c r="T48" s="85">
        <f t="shared" si="27"/>
        <v>-1.0000000000047748</v>
      </c>
      <c r="U48" s="85">
        <f t="shared" si="28"/>
        <v>-51089.500000000015</v>
      </c>
      <c r="V48" s="84">
        <v>91.999499999999998</v>
      </c>
      <c r="W48" s="85">
        <f t="shared" si="29"/>
        <v>-0.50000000000238742</v>
      </c>
      <c r="X48" s="85">
        <f t="shared" si="30"/>
        <v>-51090.000000000015</v>
      </c>
      <c r="Y48" s="86">
        <v>91.998699999999999</v>
      </c>
      <c r="Z48" s="85">
        <f t="shared" si="31"/>
        <v>-0.79999999999813554</v>
      </c>
      <c r="AA48" s="85">
        <f t="shared" si="32"/>
        <v>-51090.80000000001</v>
      </c>
      <c r="AB48" s="86">
        <v>91.998000000000005</v>
      </c>
      <c r="AC48" s="85">
        <f t="shared" si="33"/>
        <v>-0.69999999999481588</v>
      </c>
      <c r="AD48" s="85">
        <f t="shared" si="34"/>
        <v>-51091.500000000007</v>
      </c>
      <c r="AE48" s="86">
        <v>91.997200000000007</v>
      </c>
      <c r="AF48" s="85">
        <f t="shared" si="35"/>
        <v>-0.79999999999813554</v>
      </c>
      <c r="AG48" s="85">
        <f t="shared" si="36"/>
        <v>-51092.3</v>
      </c>
      <c r="AH48" s="125" t="str">
        <f t="shared" si="37"/>
        <v>4.10.</v>
      </c>
      <c r="AI48" s="87"/>
      <c r="AK48" s="77" t="s">
        <v>101</v>
      </c>
      <c r="AL48" s="77">
        <v>0</v>
      </c>
      <c r="AM48" s="77">
        <v>-3.6000000000342425</v>
      </c>
      <c r="AN48" s="77">
        <v>-6.8000000000267846</v>
      </c>
    </row>
    <row r="49" spans="3:40" ht="15.6" x14ac:dyDescent="0.25">
      <c r="C49" s="125" t="s">
        <v>102</v>
      </c>
      <c r="D49" s="84">
        <v>142.94730000000001</v>
      </c>
      <c r="E49" s="85">
        <v>0</v>
      </c>
      <c r="F49" s="85">
        <v>0</v>
      </c>
      <c r="G49" s="84">
        <v>142.94409999999999</v>
      </c>
      <c r="H49" s="85">
        <f t="shared" si="19"/>
        <v>-3.2000000000209639</v>
      </c>
      <c r="I49" s="85">
        <f t="shared" si="20"/>
        <v>-3.2000000000209639</v>
      </c>
      <c r="J49" s="84">
        <v>142.93989999999999</v>
      </c>
      <c r="K49" s="85">
        <f t="shared" si="21"/>
        <v>-4.199999999997317</v>
      </c>
      <c r="L49" s="85">
        <f t="shared" si="22"/>
        <v>-7.4000000000182808</v>
      </c>
      <c r="M49" s="84">
        <v>142.93870000000001</v>
      </c>
      <c r="N49" s="85">
        <f t="shared" si="23"/>
        <v>-1.1999999999829924</v>
      </c>
      <c r="O49" s="85">
        <f t="shared" si="24"/>
        <v>-8.6000000000012733</v>
      </c>
      <c r="P49" s="84">
        <v>91.844300000000004</v>
      </c>
      <c r="Q49" s="85">
        <f t="shared" si="25"/>
        <v>-51094.400000000009</v>
      </c>
      <c r="R49" s="85">
        <f t="shared" si="26"/>
        <v>-51103.000000000007</v>
      </c>
      <c r="S49" s="84">
        <v>91.843100000000007</v>
      </c>
      <c r="T49" s="85">
        <f t="shared" si="27"/>
        <v>-1.1999999999972033</v>
      </c>
      <c r="U49" s="85">
        <f t="shared" si="28"/>
        <v>-51104.200000000004</v>
      </c>
      <c r="V49" s="84">
        <v>91.842699999999994</v>
      </c>
      <c r="W49" s="85">
        <f t="shared" si="29"/>
        <v>-0.40000000001327862</v>
      </c>
      <c r="X49" s="85">
        <f t="shared" si="30"/>
        <v>-51104.60000000002</v>
      </c>
      <c r="Y49" s="86">
        <v>91.841999999999999</v>
      </c>
      <c r="Z49" s="85">
        <f t="shared" si="31"/>
        <v>-0.69999999999481588</v>
      </c>
      <c r="AA49" s="85">
        <f t="shared" si="32"/>
        <v>-51105.300000000017</v>
      </c>
      <c r="AB49" s="86">
        <v>91.841399999999993</v>
      </c>
      <c r="AC49" s="85">
        <f t="shared" si="33"/>
        <v>-0.60000000000570708</v>
      </c>
      <c r="AD49" s="85">
        <f t="shared" si="34"/>
        <v>-51105.900000000023</v>
      </c>
      <c r="AE49" s="86">
        <v>91.840699999999998</v>
      </c>
      <c r="AF49" s="85">
        <f t="shared" si="35"/>
        <v>-0.69999999999481588</v>
      </c>
      <c r="AG49" s="85">
        <f t="shared" si="36"/>
        <v>-51106.60000000002</v>
      </c>
      <c r="AH49" s="125" t="str">
        <f t="shared" si="37"/>
        <v>4.11.</v>
      </c>
      <c r="AI49" s="87"/>
      <c r="AK49" s="77" t="s">
        <v>102</v>
      </c>
      <c r="AL49" s="77">
        <v>0</v>
      </c>
      <c r="AM49" s="77">
        <v>-3.2000000000209639</v>
      </c>
      <c r="AN49" s="77">
        <v>-7.4000000000182808</v>
      </c>
    </row>
    <row r="50" spans="3:40" ht="15.6" x14ac:dyDescent="0.25">
      <c r="C50" s="125" t="s">
        <v>103</v>
      </c>
      <c r="D50" s="84">
        <v>142.958</v>
      </c>
      <c r="E50" s="85">
        <v>0</v>
      </c>
      <c r="F50" s="85">
        <v>0</v>
      </c>
      <c r="G50" s="84">
        <v>142.95569999999998</v>
      </c>
      <c r="H50" s="85">
        <f t="shared" si="19"/>
        <v>-2.3000000000195087</v>
      </c>
      <c r="I50" s="85">
        <f t="shared" si="20"/>
        <v>-2.3000000000195087</v>
      </c>
      <c r="J50" s="84">
        <v>142.94999999999999</v>
      </c>
      <c r="K50" s="85">
        <f t="shared" si="21"/>
        <v>-5.6999999999902684</v>
      </c>
      <c r="L50" s="85">
        <f t="shared" si="22"/>
        <v>-8.0000000000097771</v>
      </c>
      <c r="M50" s="84">
        <v>142.94839999999999</v>
      </c>
      <c r="N50" s="85">
        <f t="shared" si="23"/>
        <v>-1.5999999999962711</v>
      </c>
      <c r="O50" s="85">
        <f t="shared" si="24"/>
        <v>-9.6000000000060481</v>
      </c>
      <c r="P50" s="84">
        <v>91.89</v>
      </c>
      <c r="Q50" s="85">
        <f t="shared" si="25"/>
        <v>-51058.399999999994</v>
      </c>
      <c r="R50" s="85">
        <f t="shared" si="26"/>
        <v>-51068</v>
      </c>
      <c r="S50" s="84">
        <v>91.888999999999996</v>
      </c>
      <c r="T50" s="85">
        <f t="shared" si="27"/>
        <v>-1.0000000000047748</v>
      </c>
      <c r="U50" s="85">
        <f t="shared" si="28"/>
        <v>-51069.000000000007</v>
      </c>
      <c r="V50" s="84">
        <v>91.888099999999994</v>
      </c>
      <c r="W50" s="85">
        <f t="shared" si="29"/>
        <v>-0.90000000000145519</v>
      </c>
      <c r="X50" s="85">
        <f t="shared" si="30"/>
        <v>-51069.900000000009</v>
      </c>
      <c r="Y50" s="86">
        <v>91.887299999999996</v>
      </c>
      <c r="Z50" s="85">
        <f t="shared" si="31"/>
        <v>-0.79999999999813554</v>
      </c>
      <c r="AA50" s="85">
        <f t="shared" si="32"/>
        <v>-51070.700000000004</v>
      </c>
      <c r="AB50" s="86">
        <v>91.886499999999998</v>
      </c>
      <c r="AC50" s="85">
        <f t="shared" si="33"/>
        <v>-0.79999999999813554</v>
      </c>
      <c r="AD50" s="85">
        <f t="shared" si="34"/>
        <v>-51071.5</v>
      </c>
      <c r="AE50" s="86">
        <v>91.885999999999996</v>
      </c>
      <c r="AF50" s="85">
        <f t="shared" si="35"/>
        <v>-0.50000000000238742</v>
      </c>
      <c r="AG50" s="85">
        <f t="shared" si="36"/>
        <v>-51072</v>
      </c>
      <c r="AH50" s="125" t="str">
        <f t="shared" si="37"/>
        <v>4.12.</v>
      </c>
      <c r="AI50" s="87"/>
      <c r="AK50" s="77" t="s">
        <v>103</v>
      </c>
      <c r="AL50" s="77">
        <v>0</v>
      </c>
      <c r="AM50" s="77">
        <v>-2.3000000000195087</v>
      </c>
      <c r="AN50" s="77">
        <v>-8.0000000000097771</v>
      </c>
    </row>
    <row r="51" spans="3:40" ht="15.6" x14ac:dyDescent="0.25">
      <c r="C51" s="125" t="s">
        <v>104</v>
      </c>
      <c r="D51" s="84">
        <v>142.97489999999999</v>
      </c>
      <c r="E51" s="85">
        <v>0</v>
      </c>
      <c r="F51" s="85">
        <v>0</v>
      </c>
      <c r="G51" s="84">
        <v>142.9717</v>
      </c>
      <c r="H51" s="85">
        <f t="shared" si="19"/>
        <v>-3.1999999999925421</v>
      </c>
      <c r="I51" s="85">
        <f t="shared" si="20"/>
        <v>-3.1999999999925421</v>
      </c>
      <c r="J51" s="84">
        <v>142.96789999999999</v>
      </c>
      <c r="K51" s="85">
        <f t="shared" si="21"/>
        <v>-3.8000000000124601</v>
      </c>
      <c r="L51" s="85">
        <f t="shared" si="22"/>
        <v>-7.0000000000050022</v>
      </c>
      <c r="M51" s="84">
        <v>142.96639999999999</v>
      </c>
      <c r="N51" s="85">
        <f t="shared" si="23"/>
        <v>-1.4999999999929514</v>
      </c>
      <c r="O51" s="85">
        <f t="shared" si="24"/>
        <v>-8.4999999999979536</v>
      </c>
      <c r="P51" s="84">
        <v>91.819000000000003</v>
      </c>
      <c r="Q51" s="85">
        <f t="shared" si="25"/>
        <v>-51147.399999999987</v>
      </c>
      <c r="R51" s="85">
        <f t="shared" si="26"/>
        <v>-51155.899999999987</v>
      </c>
      <c r="S51" s="84">
        <v>91.817999999999998</v>
      </c>
      <c r="T51" s="85">
        <f t="shared" si="27"/>
        <v>-1.0000000000047748</v>
      </c>
      <c r="U51" s="85">
        <f t="shared" si="28"/>
        <v>-51156.899999999994</v>
      </c>
      <c r="V51" s="84">
        <v>91.816900000000004</v>
      </c>
      <c r="W51" s="85">
        <f t="shared" si="29"/>
        <v>-1.0999999999938836</v>
      </c>
      <c r="X51" s="85">
        <f t="shared" si="30"/>
        <v>-51157.999999999985</v>
      </c>
      <c r="Y51" s="86">
        <v>91.816000000000003</v>
      </c>
      <c r="Z51" s="85">
        <f t="shared" si="31"/>
        <v>-0.90000000000145519</v>
      </c>
      <c r="AA51" s="85">
        <f t="shared" si="32"/>
        <v>-51158.899999999987</v>
      </c>
      <c r="AB51" s="86">
        <v>91.814999999999998</v>
      </c>
      <c r="AC51" s="85">
        <f t="shared" si="33"/>
        <v>-1.0000000000047748</v>
      </c>
      <c r="AD51" s="85">
        <f t="shared" si="34"/>
        <v>-51159.899999999994</v>
      </c>
      <c r="AE51" s="86">
        <v>91.814300000000003</v>
      </c>
      <c r="AF51" s="85">
        <f t="shared" si="35"/>
        <v>-0.69999999999481588</v>
      </c>
      <c r="AG51" s="85">
        <f t="shared" si="36"/>
        <v>-51160.599999999991</v>
      </c>
      <c r="AH51" s="125" t="str">
        <f t="shared" si="37"/>
        <v>4.13.</v>
      </c>
      <c r="AI51" s="87"/>
      <c r="AK51" s="77" t="s">
        <v>104</v>
      </c>
      <c r="AL51" s="77">
        <v>0</v>
      </c>
      <c r="AM51" s="77">
        <v>-3.1999999999925421</v>
      </c>
      <c r="AN51" s="77">
        <v>-7.0000000000050022</v>
      </c>
    </row>
    <row r="52" spans="3:40" ht="15.6" x14ac:dyDescent="0.25">
      <c r="C52" s="125" t="s">
        <v>105</v>
      </c>
      <c r="D52" s="84">
        <v>142.81370000000001</v>
      </c>
      <c r="E52" s="85">
        <v>0</v>
      </c>
      <c r="F52" s="85">
        <v>0</v>
      </c>
      <c r="G52" s="84">
        <v>142.81109999999998</v>
      </c>
      <c r="H52" s="85">
        <f t="shared" si="19"/>
        <v>-2.6000000000294676</v>
      </c>
      <c r="I52" s="85">
        <f t="shared" si="20"/>
        <v>-2.6000000000294676</v>
      </c>
      <c r="J52" s="84">
        <v>142.80709999999999</v>
      </c>
      <c r="K52" s="85">
        <f t="shared" si="21"/>
        <v>-3.9999999999906777</v>
      </c>
      <c r="L52" s="85">
        <f t="shared" si="22"/>
        <v>-6.6000000000201453</v>
      </c>
      <c r="M52" s="84">
        <v>142.80629999999999</v>
      </c>
      <c r="N52" s="85">
        <f t="shared" si="23"/>
        <v>-0.79999999999813554</v>
      </c>
      <c r="O52" s="85">
        <f t="shared" si="24"/>
        <v>-7.4000000000182808</v>
      </c>
      <c r="P52" s="84">
        <v>91.861000000000004</v>
      </c>
      <c r="Q52" s="85">
        <f t="shared" si="25"/>
        <v>-50945.299999999988</v>
      </c>
      <c r="R52" s="85">
        <f t="shared" si="26"/>
        <v>-50952.700000000004</v>
      </c>
      <c r="S52" s="84">
        <v>91.859899999999996</v>
      </c>
      <c r="T52" s="85">
        <f t="shared" si="27"/>
        <v>-1.1000000000080945</v>
      </c>
      <c r="U52" s="85">
        <f t="shared" si="28"/>
        <v>-50953.80000000001</v>
      </c>
      <c r="V52" s="84">
        <v>91.858699999999999</v>
      </c>
      <c r="W52" s="85">
        <f t="shared" si="29"/>
        <v>-1.1999999999972033</v>
      </c>
      <c r="X52" s="85">
        <f t="shared" si="30"/>
        <v>-50955.000000000007</v>
      </c>
      <c r="Y52" s="86">
        <v>91.858000000000004</v>
      </c>
      <c r="Z52" s="85">
        <f t="shared" si="31"/>
        <v>-0.69999999999481588</v>
      </c>
      <c r="AA52" s="85">
        <f t="shared" si="32"/>
        <v>-50955.700000000004</v>
      </c>
      <c r="AB52" s="86">
        <v>91.857100000000003</v>
      </c>
      <c r="AC52" s="85">
        <f t="shared" si="33"/>
        <v>-0.90000000000145519</v>
      </c>
      <c r="AD52" s="85">
        <f t="shared" si="34"/>
        <v>-50956.600000000006</v>
      </c>
      <c r="AE52" s="86">
        <v>91.856499999999997</v>
      </c>
      <c r="AF52" s="85">
        <f t="shared" si="35"/>
        <v>-0.60000000000570708</v>
      </c>
      <c r="AG52" s="85">
        <f t="shared" si="36"/>
        <v>-50957.200000000012</v>
      </c>
      <c r="AH52" s="125" t="str">
        <f t="shared" si="37"/>
        <v>4.14.</v>
      </c>
      <c r="AI52" s="87"/>
      <c r="AK52" s="77" t="s">
        <v>105</v>
      </c>
      <c r="AL52" s="77">
        <v>0</v>
      </c>
      <c r="AM52" s="77">
        <v>-2.6000000000294676</v>
      </c>
      <c r="AN52" s="77">
        <v>-6.6000000000201453</v>
      </c>
    </row>
    <row r="53" spans="3:40" ht="15.6" x14ac:dyDescent="0.25">
      <c r="C53" s="125" t="s">
        <v>106</v>
      </c>
      <c r="D53" s="84">
        <v>142.89019999999999</v>
      </c>
      <c r="E53" s="85">
        <v>0</v>
      </c>
      <c r="F53" s="85">
        <v>0</v>
      </c>
      <c r="G53" s="84">
        <v>142.88899999999998</v>
      </c>
      <c r="H53" s="85">
        <f t="shared" si="19"/>
        <v>-1.2000000000114142</v>
      </c>
      <c r="I53" s="85">
        <f t="shared" si="20"/>
        <v>-1.2000000000114142</v>
      </c>
      <c r="J53" s="84">
        <v>142.8844</v>
      </c>
      <c r="K53" s="85">
        <f t="shared" si="21"/>
        <v>-4.5999999999821739</v>
      </c>
      <c r="L53" s="85">
        <f t="shared" si="22"/>
        <v>-5.7999999999935881</v>
      </c>
      <c r="M53" s="84">
        <v>142.88239999999999</v>
      </c>
      <c r="N53" s="85">
        <f t="shared" si="23"/>
        <v>-2.0000000000095497</v>
      </c>
      <c r="O53" s="85">
        <f t="shared" si="24"/>
        <v>-7.8000000000031378</v>
      </c>
      <c r="P53" s="84">
        <v>92.027000000000001</v>
      </c>
      <c r="Q53" s="85">
        <f t="shared" si="25"/>
        <v>-50855.399999999987</v>
      </c>
      <c r="R53" s="85">
        <f t="shared" si="26"/>
        <v>-50863.19999999999</v>
      </c>
      <c r="S53" s="84">
        <v>92.0261</v>
      </c>
      <c r="T53" s="85">
        <f t="shared" si="27"/>
        <v>-0.90000000000145519</v>
      </c>
      <c r="U53" s="85">
        <f t="shared" si="28"/>
        <v>-50864.099999999991</v>
      </c>
      <c r="V53" s="84">
        <v>92.025099999999995</v>
      </c>
      <c r="W53" s="85">
        <f t="shared" si="29"/>
        <v>-1.0000000000047748</v>
      </c>
      <c r="X53" s="85">
        <f t="shared" si="30"/>
        <v>-50865.1</v>
      </c>
      <c r="Y53" s="86">
        <v>92.024199999999993</v>
      </c>
      <c r="Z53" s="85">
        <f t="shared" si="31"/>
        <v>-0.90000000000145519</v>
      </c>
      <c r="AA53" s="85">
        <f t="shared" si="32"/>
        <v>-50866</v>
      </c>
      <c r="AB53" s="86">
        <v>92.023099999999999</v>
      </c>
      <c r="AC53" s="85">
        <f t="shared" si="33"/>
        <v>-1.0999999999938836</v>
      </c>
      <c r="AD53" s="85">
        <f t="shared" si="34"/>
        <v>-50867.099999999991</v>
      </c>
      <c r="AE53" s="86">
        <v>92.022400000000005</v>
      </c>
      <c r="AF53" s="85">
        <f t="shared" si="35"/>
        <v>-0.69999999999481588</v>
      </c>
      <c r="AG53" s="85">
        <f t="shared" si="36"/>
        <v>-50867.799999999988</v>
      </c>
      <c r="AH53" s="125" t="str">
        <f t="shared" si="37"/>
        <v>4.15.</v>
      </c>
      <c r="AI53" s="87"/>
      <c r="AK53" s="77" t="s">
        <v>106</v>
      </c>
      <c r="AL53" s="77">
        <v>0</v>
      </c>
      <c r="AM53" s="77">
        <v>-1.2000000000114142</v>
      </c>
      <c r="AN53" s="77">
        <v>-5.7999999999935881</v>
      </c>
    </row>
    <row r="54" spans="3:40" ht="15.6" x14ac:dyDescent="0.25">
      <c r="C54" s="125" t="s">
        <v>107</v>
      </c>
      <c r="D54" s="84">
        <v>142.8973</v>
      </c>
      <c r="E54" s="85">
        <v>0</v>
      </c>
      <c r="F54" s="85">
        <v>0</v>
      </c>
      <c r="G54" s="84">
        <v>142.89529999999999</v>
      </c>
      <c r="H54" s="85">
        <f t="shared" si="19"/>
        <v>-2.0000000000095497</v>
      </c>
      <c r="I54" s="85">
        <f t="shared" si="20"/>
        <v>-2.0000000000095497</v>
      </c>
      <c r="J54" s="84">
        <v>142.89159999999998</v>
      </c>
      <c r="K54" s="85">
        <f t="shared" si="21"/>
        <v>-3.7000000000091404</v>
      </c>
      <c r="L54" s="85">
        <f t="shared" si="22"/>
        <v>-5.7000000000186901</v>
      </c>
      <c r="M54" s="84">
        <v>142.89019999999999</v>
      </c>
      <c r="N54" s="85">
        <f t="shared" si="23"/>
        <v>-1.3999999999896318</v>
      </c>
      <c r="O54" s="85">
        <f t="shared" si="24"/>
        <v>-7.1000000000083219</v>
      </c>
      <c r="P54" s="84">
        <v>91.715699999999998</v>
      </c>
      <c r="Q54" s="85">
        <f t="shared" si="25"/>
        <v>-51174.499999999993</v>
      </c>
      <c r="R54" s="85">
        <f t="shared" si="26"/>
        <v>-51181.599999999999</v>
      </c>
      <c r="S54" s="84">
        <v>91.715000000000003</v>
      </c>
      <c r="T54" s="85">
        <f t="shared" si="27"/>
        <v>-0.69999999999481588</v>
      </c>
      <c r="U54" s="85">
        <f t="shared" si="28"/>
        <v>-51182.299999999996</v>
      </c>
      <c r="V54" s="84">
        <v>91.714200000000005</v>
      </c>
      <c r="W54" s="85">
        <f t="shared" si="29"/>
        <v>-0.79999999999813554</v>
      </c>
      <c r="X54" s="85">
        <f t="shared" si="30"/>
        <v>-51183.099999999991</v>
      </c>
      <c r="Y54" s="86">
        <v>91.713399999999993</v>
      </c>
      <c r="Z54" s="85">
        <f t="shared" si="31"/>
        <v>-0.80000000001234639</v>
      </c>
      <c r="AA54" s="85">
        <f t="shared" si="32"/>
        <v>-51183.9</v>
      </c>
      <c r="AB54" s="86">
        <v>91.712199999999996</v>
      </c>
      <c r="AC54" s="85">
        <f t="shared" si="33"/>
        <v>-1.1999999999972033</v>
      </c>
      <c r="AD54" s="85">
        <f t="shared" si="34"/>
        <v>-51185.1</v>
      </c>
      <c r="AE54" s="86">
        <v>91.711699999999993</v>
      </c>
      <c r="AF54" s="85">
        <f t="shared" si="35"/>
        <v>-0.50000000000238742</v>
      </c>
      <c r="AG54" s="85">
        <f t="shared" si="36"/>
        <v>-51185.599999999999</v>
      </c>
      <c r="AH54" s="125" t="str">
        <f t="shared" si="37"/>
        <v>4.16.</v>
      </c>
      <c r="AI54" s="87"/>
      <c r="AK54" s="77" t="s">
        <v>107</v>
      </c>
      <c r="AL54" s="77">
        <v>0</v>
      </c>
      <c r="AM54" s="77">
        <v>-2.0000000000095497</v>
      </c>
      <c r="AN54" s="77">
        <v>-5.7000000000186901</v>
      </c>
    </row>
    <row r="55" spans="3:40" ht="15.6" x14ac:dyDescent="0.25">
      <c r="C55" s="125" t="s">
        <v>108</v>
      </c>
      <c r="D55" s="84">
        <v>142.7748</v>
      </c>
      <c r="E55" s="85">
        <v>0</v>
      </c>
      <c r="F55" s="85">
        <v>0</v>
      </c>
      <c r="G55" s="84">
        <v>142.77269999999999</v>
      </c>
      <c r="H55" s="85">
        <f t="shared" si="19"/>
        <v>-2.1000000000128694</v>
      </c>
      <c r="I55" s="85">
        <f t="shared" si="20"/>
        <v>-2.1000000000128694</v>
      </c>
      <c r="J55" s="84">
        <v>142.76859999999999</v>
      </c>
      <c r="K55" s="85">
        <f t="shared" si="21"/>
        <v>-4.0999999999939973</v>
      </c>
      <c r="L55" s="85">
        <f t="shared" si="22"/>
        <v>-6.2000000000068667</v>
      </c>
      <c r="M55" s="84">
        <v>142.76750000000001</v>
      </c>
      <c r="N55" s="85">
        <f t="shared" si="23"/>
        <v>-1.0999999999796728</v>
      </c>
      <c r="O55" s="85">
        <f t="shared" si="24"/>
        <v>-7.2999999999865395</v>
      </c>
      <c r="P55" s="84">
        <v>91.899299999999997</v>
      </c>
      <c r="Q55" s="85">
        <f t="shared" si="25"/>
        <v>-50868.200000000019</v>
      </c>
      <c r="R55" s="85">
        <f t="shared" si="26"/>
        <v>-50875.500000000007</v>
      </c>
      <c r="S55" s="84">
        <v>91.898399999999995</v>
      </c>
      <c r="T55" s="85">
        <f t="shared" si="27"/>
        <v>-0.90000000000145519</v>
      </c>
      <c r="U55" s="85">
        <f t="shared" si="28"/>
        <v>-50876.400000000009</v>
      </c>
      <c r="V55" s="84">
        <v>91.897800000000004</v>
      </c>
      <c r="W55" s="85">
        <f t="shared" si="29"/>
        <v>-0.59999999999149622</v>
      </c>
      <c r="X55" s="85">
        <f t="shared" si="30"/>
        <v>-50877</v>
      </c>
      <c r="Y55" s="86">
        <v>91.897099999999995</v>
      </c>
      <c r="Z55" s="85">
        <f t="shared" si="31"/>
        <v>-0.70000000000902673</v>
      </c>
      <c r="AA55" s="85">
        <f t="shared" si="32"/>
        <v>-50877.700000000012</v>
      </c>
      <c r="AB55" s="86">
        <v>91.896299999999997</v>
      </c>
      <c r="AC55" s="85">
        <f t="shared" si="33"/>
        <v>-0.79999999999813554</v>
      </c>
      <c r="AD55" s="85">
        <f t="shared" si="34"/>
        <v>-50878.500000000007</v>
      </c>
      <c r="AE55" s="86">
        <v>91.895600000000002</v>
      </c>
      <c r="AF55" s="85">
        <f t="shared" si="35"/>
        <v>-0.69999999999481588</v>
      </c>
      <c r="AG55" s="85">
        <f t="shared" si="36"/>
        <v>-50879.200000000004</v>
      </c>
      <c r="AH55" s="125" t="str">
        <f t="shared" si="37"/>
        <v>4.17.</v>
      </c>
      <c r="AI55" s="87"/>
      <c r="AJ55" s="77">
        <v>10000</v>
      </c>
      <c r="AK55" s="77" t="s">
        <v>108</v>
      </c>
      <c r="AL55" s="77">
        <v>0</v>
      </c>
      <c r="AM55" s="77">
        <v>-2.1000000000128694</v>
      </c>
      <c r="AN55" s="77">
        <v>-6.2000000000068667</v>
      </c>
    </row>
    <row r="56" spans="3:40" ht="15.6" x14ac:dyDescent="0.25">
      <c r="C56" s="125" t="s">
        <v>109</v>
      </c>
      <c r="D56" s="84">
        <v>142.71800000000002</v>
      </c>
      <c r="E56" s="85">
        <v>0</v>
      </c>
      <c r="F56" s="85">
        <v>0</v>
      </c>
      <c r="G56" s="84">
        <v>142.70959999999999</v>
      </c>
      <c r="H56" s="85">
        <f t="shared" si="19"/>
        <v>-8.4000000000230557</v>
      </c>
      <c r="I56" s="115">
        <f t="shared" si="20"/>
        <v>-8.4000000000230557</v>
      </c>
      <c r="J56" s="84">
        <v>142.70529999999999</v>
      </c>
      <c r="K56" s="85">
        <f t="shared" si="21"/>
        <v>-4.3000000000006366</v>
      </c>
      <c r="L56" s="85">
        <f t="shared" si="22"/>
        <v>-12.700000000023692</v>
      </c>
      <c r="M56" s="84">
        <v>142.70400000000001</v>
      </c>
      <c r="N56" s="85">
        <f t="shared" si="23"/>
        <v>-1.2999999999863121</v>
      </c>
      <c r="O56" s="85">
        <f t="shared" si="24"/>
        <v>-14.000000000010004</v>
      </c>
      <c r="P56" s="84">
        <v>91.841399999999993</v>
      </c>
      <c r="Q56" s="85">
        <f t="shared" si="25"/>
        <v>-50862.600000000013</v>
      </c>
      <c r="R56" s="85">
        <f t="shared" si="26"/>
        <v>-50876.60000000002</v>
      </c>
      <c r="S56" s="84">
        <v>91.840400000000002</v>
      </c>
      <c r="T56" s="85">
        <f t="shared" si="27"/>
        <v>-0.99999999999056399</v>
      </c>
      <c r="U56" s="85">
        <f t="shared" si="28"/>
        <v>-50877.600000000013</v>
      </c>
      <c r="V56" s="84">
        <v>91.8399</v>
      </c>
      <c r="W56" s="85">
        <f t="shared" si="29"/>
        <v>-0.50000000000238742</v>
      </c>
      <c r="X56" s="85">
        <f t="shared" si="30"/>
        <v>-50878.100000000013</v>
      </c>
      <c r="Y56" s="86">
        <v>91.839299999999994</v>
      </c>
      <c r="Z56" s="85">
        <f t="shared" si="31"/>
        <v>-0.60000000000570708</v>
      </c>
      <c r="AA56" s="85">
        <f t="shared" si="32"/>
        <v>-50878.700000000019</v>
      </c>
      <c r="AB56" s="86">
        <v>91.838399999999993</v>
      </c>
      <c r="AC56" s="85">
        <f t="shared" si="33"/>
        <v>-0.90000000000145519</v>
      </c>
      <c r="AD56" s="85">
        <f t="shared" si="34"/>
        <v>-50879.60000000002</v>
      </c>
      <c r="AE56" s="86">
        <v>91.837900000000005</v>
      </c>
      <c r="AF56" s="85">
        <f t="shared" si="35"/>
        <v>-0.49999999998817657</v>
      </c>
      <c r="AG56" s="85">
        <f t="shared" si="36"/>
        <v>-50880.100000000006</v>
      </c>
      <c r="AH56" s="125" t="str">
        <f t="shared" si="37"/>
        <v>4.18.</v>
      </c>
      <c r="AI56" s="87"/>
      <c r="AK56" s="77" t="s">
        <v>109</v>
      </c>
      <c r="AL56" s="77">
        <v>0</v>
      </c>
      <c r="AM56" s="77">
        <v>-8.4000000000230557</v>
      </c>
      <c r="AN56" s="77">
        <v>-12.700000000023692</v>
      </c>
    </row>
    <row r="57" spans="3:40" ht="15.6" x14ac:dyDescent="0.25">
      <c r="C57" s="125" t="s">
        <v>110</v>
      </c>
      <c r="D57" s="84">
        <v>142.74540000000002</v>
      </c>
      <c r="E57" s="85">
        <v>0</v>
      </c>
      <c r="F57" s="85">
        <v>0</v>
      </c>
      <c r="G57" s="84">
        <v>142.7439</v>
      </c>
      <c r="H57" s="85">
        <f t="shared" si="19"/>
        <v>-1.5000000000213731</v>
      </c>
      <c r="I57" s="85">
        <f t="shared" si="20"/>
        <v>-1.5000000000213731</v>
      </c>
      <c r="J57" s="84">
        <v>142.73939999999999</v>
      </c>
      <c r="K57" s="85">
        <f t="shared" si="21"/>
        <v>-4.500000000007276</v>
      </c>
      <c r="L57" s="85">
        <f t="shared" si="22"/>
        <v>-6.0000000000286491</v>
      </c>
      <c r="M57" s="84">
        <v>142.7388</v>
      </c>
      <c r="N57" s="85">
        <f t="shared" si="23"/>
        <v>-0.59999999999149622</v>
      </c>
      <c r="O57" s="85">
        <f t="shared" si="24"/>
        <v>-6.6000000000201453</v>
      </c>
      <c r="P57" s="84">
        <v>91.764499999999998</v>
      </c>
      <c r="Q57" s="85">
        <f t="shared" si="25"/>
        <v>-50974.3</v>
      </c>
      <c r="R57" s="85">
        <f t="shared" si="26"/>
        <v>-50980.900000000023</v>
      </c>
      <c r="S57" s="84">
        <v>91.763400000000004</v>
      </c>
      <c r="T57" s="85">
        <f t="shared" si="27"/>
        <v>-1.0999999999938836</v>
      </c>
      <c r="U57" s="85">
        <f t="shared" si="28"/>
        <v>-50982.000000000015</v>
      </c>
      <c r="V57" s="84">
        <v>91.7624</v>
      </c>
      <c r="W57" s="85">
        <f t="shared" si="29"/>
        <v>-1.0000000000047748</v>
      </c>
      <c r="X57" s="85">
        <f t="shared" si="30"/>
        <v>-50983.000000000022</v>
      </c>
      <c r="Y57" s="86">
        <v>91.761600000000001</v>
      </c>
      <c r="Z57" s="85">
        <f t="shared" si="31"/>
        <v>-0.79999999999813554</v>
      </c>
      <c r="AA57" s="85">
        <f t="shared" si="32"/>
        <v>-50983.800000000017</v>
      </c>
      <c r="AB57" s="86">
        <v>91.760800000000003</v>
      </c>
      <c r="AC57" s="85">
        <f t="shared" si="33"/>
        <v>-0.79999999999813554</v>
      </c>
      <c r="AD57" s="85">
        <f t="shared" si="34"/>
        <v>-50984.600000000013</v>
      </c>
      <c r="AE57" s="86">
        <v>91.760199999999998</v>
      </c>
      <c r="AF57" s="85">
        <f t="shared" si="35"/>
        <v>-0.60000000000570708</v>
      </c>
      <c r="AG57" s="85">
        <f t="shared" si="36"/>
        <v>-50985.200000000019</v>
      </c>
      <c r="AH57" s="125" t="str">
        <f t="shared" si="37"/>
        <v>4.19.</v>
      </c>
      <c r="AI57" s="87"/>
      <c r="AJ57" s="90">
        <f>(O47-O42)/AJ42</f>
        <v>-5.9166666666972867E-4</v>
      </c>
      <c r="AK57" s="77" t="s">
        <v>110</v>
      </c>
      <c r="AL57" s="77">
        <v>0</v>
      </c>
      <c r="AM57" s="77">
        <v>-1.5000000000213731</v>
      </c>
      <c r="AN57" s="77">
        <v>-6.0000000000286491</v>
      </c>
    </row>
    <row r="58" spans="3:40" ht="15.6" x14ac:dyDescent="0.25">
      <c r="C58" s="125" t="s">
        <v>111</v>
      </c>
      <c r="D58" s="84">
        <v>142.64180000000002</v>
      </c>
      <c r="E58" s="85">
        <v>0</v>
      </c>
      <c r="F58" s="85">
        <v>0</v>
      </c>
      <c r="G58" s="84">
        <v>142.64079999999998</v>
      </c>
      <c r="H58" s="85">
        <f t="shared" si="19"/>
        <v>-1.0000000000331966</v>
      </c>
      <c r="I58" s="85">
        <f t="shared" si="20"/>
        <v>-1.0000000000331966</v>
      </c>
      <c r="J58" s="84">
        <v>142.6353</v>
      </c>
      <c r="K58" s="85">
        <f t="shared" si="21"/>
        <v>-5.4999999999836291</v>
      </c>
      <c r="L58" s="85">
        <f t="shared" si="22"/>
        <v>-6.5000000000168257</v>
      </c>
      <c r="M58" s="84">
        <v>142.63460000000001</v>
      </c>
      <c r="N58" s="85">
        <f t="shared" si="23"/>
        <v>-0.69999999999481588</v>
      </c>
      <c r="O58" s="85">
        <f t="shared" si="24"/>
        <v>-7.2000000000116415</v>
      </c>
      <c r="P58" s="84">
        <v>91.832899999999995</v>
      </c>
      <c r="Q58" s="85">
        <f t="shared" si="25"/>
        <v>-50801.700000000012</v>
      </c>
      <c r="R58" s="85">
        <f t="shared" si="26"/>
        <v>-50808.900000000023</v>
      </c>
      <c r="S58" s="84">
        <v>91.831999999999994</v>
      </c>
      <c r="T58" s="85">
        <f t="shared" si="27"/>
        <v>-0.90000000000145519</v>
      </c>
      <c r="U58" s="85">
        <f t="shared" si="28"/>
        <v>-50809.800000000025</v>
      </c>
      <c r="V58" s="84">
        <v>91.831400000000002</v>
      </c>
      <c r="W58" s="85">
        <f t="shared" si="29"/>
        <v>-0.59999999999149622</v>
      </c>
      <c r="X58" s="85">
        <f t="shared" si="30"/>
        <v>-50810.400000000016</v>
      </c>
      <c r="Y58" s="86">
        <v>91.830500000000001</v>
      </c>
      <c r="Z58" s="85">
        <f t="shared" si="31"/>
        <v>-0.90000000000145519</v>
      </c>
      <c r="AA58" s="85">
        <f t="shared" si="32"/>
        <v>-50811.300000000017</v>
      </c>
      <c r="AB58" s="86">
        <v>91.829899999999995</v>
      </c>
      <c r="AC58" s="85">
        <f t="shared" si="33"/>
        <v>-0.60000000000570708</v>
      </c>
      <c r="AD58" s="85">
        <f t="shared" si="34"/>
        <v>-50811.900000000023</v>
      </c>
      <c r="AE58" s="86">
        <v>91.8292</v>
      </c>
      <c r="AF58" s="85">
        <f t="shared" si="35"/>
        <v>-0.69999999999481588</v>
      </c>
      <c r="AG58" s="85">
        <f t="shared" si="36"/>
        <v>-50812.60000000002</v>
      </c>
      <c r="AH58" s="125" t="str">
        <f t="shared" si="37"/>
        <v>4.20.</v>
      </c>
      <c r="AI58" s="87"/>
      <c r="AK58" s="77" t="s">
        <v>111</v>
      </c>
      <c r="AL58" s="77">
        <v>0</v>
      </c>
      <c r="AM58" s="77">
        <v>-1.0000000000331966</v>
      </c>
      <c r="AN58" s="77">
        <v>-6.5000000000168257</v>
      </c>
    </row>
    <row r="59" spans="3:40" ht="15.6" x14ac:dyDescent="0.25">
      <c r="C59" s="125" t="s">
        <v>112</v>
      </c>
      <c r="D59" s="84">
        <v>142.6739</v>
      </c>
      <c r="E59" s="85">
        <v>0</v>
      </c>
      <c r="F59" s="85">
        <v>0</v>
      </c>
      <c r="G59" s="84">
        <v>142.673</v>
      </c>
      <c r="H59" s="85">
        <f t="shared" si="19"/>
        <v>-0.90000000000145519</v>
      </c>
      <c r="I59" s="85">
        <f t="shared" si="20"/>
        <v>-0.90000000000145519</v>
      </c>
      <c r="J59" s="84">
        <v>142.66789999999997</v>
      </c>
      <c r="K59" s="85">
        <f t="shared" si="21"/>
        <v>-5.1000000000271939</v>
      </c>
      <c r="L59" s="85">
        <f t="shared" si="22"/>
        <v>-6.0000000000286491</v>
      </c>
      <c r="M59" s="84">
        <v>142.667</v>
      </c>
      <c r="N59" s="85">
        <f t="shared" si="23"/>
        <v>-0.89999999997303348</v>
      </c>
      <c r="O59" s="85">
        <f t="shared" si="24"/>
        <v>-6.9000000000016826</v>
      </c>
      <c r="P59" s="84">
        <v>91.905000000000001</v>
      </c>
      <c r="Q59" s="85">
        <f t="shared" si="25"/>
        <v>-50762</v>
      </c>
      <c r="R59" s="85">
        <f t="shared" si="26"/>
        <v>-50768.9</v>
      </c>
      <c r="S59" s="84">
        <v>91.903999999999996</v>
      </c>
      <c r="T59" s="85">
        <f t="shared" si="27"/>
        <v>-1.0000000000047748</v>
      </c>
      <c r="U59" s="85">
        <f t="shared" si="28"/>
        <v>-50769.900000000009</v>
      </c>
      <c r="V59" s="84">
        <v>91.903199999999998</v>
      </c>
      <c r="W59" s="85">
        <f t="shared" si="29"/>
        <v>-0.79999999999813554</v>
      </c>
      <c r="X59" s="85">
        <f t="shared" si="30"/>
        <v>-50770.700000000004</v>
      </c>
      <c r="Y59" s="86">
        <v>91.902199999999993</v>
      </c>
      <c r="Z59" s="85">
        <f t="shared" si="31"/>
        <v>-1.0000000000047748</v>
      </c>
      <c r="AA59" s="85">
        <f t="shared" si="32"/>
        <v>-50771.700000000012</v>
      </c>
      <c r="AB59" s="86">
        <v>91.901499999999999</v>
      </c>
      <c r="AC59" s="85">
        <f t="shared" si="33"/>
        <v>-0.69999999999481588</v>
      </c>
      <c r="AD59" s="85">
        <f t="shared" si="34"/>
        <v>-50772.400000000009</v>
      </c>
      <c r="AE59" s="86">
        <v>91.900899999999993</v>
      </c>
      <c r="AF59" s="85">
        <f t="shared" si="35"/>
        <v>-0.60000000000570708</v>
      </c>
      <c r="AG59" s="85">
        <f t="shared" si="36"/>
        <v>-50773.000000000015</v>
      </c>
      <c r="AH59" s="125" t="str">
        <f t="shared" si="37"/>
        <v>4.21.</v>
      </c>
      <c r="AI59" s="87"/>
      <c r="AK59" s="77" t="s">
        <v>112</v>
      </c>
      <c r="AL59" s="77">
        <v>0</v>
      </c>
      <c r="AM59" s="77">
        <v>-0.90000000000145519</v>
      </c>
      <c r="AN59" s="77">
        <v>-6.0000000000286491</v>
      </c>
    </row>
    <row r="60" spans="3:40" ht="15.6" x14ac:dyDescent="0.25">
      <c r="C60" s="87"/>
      <c r="D60" s="91"/>
      <c r="E60" s="92"/>
      <c r="F60" s="92"/>
      <c r="G60" s="93"/>
      <c r="H60" s="92"/>
      <c r="I60" s="92"/>
      <c r="J60" s="93"/>
      <c r="K60" s="92"/>
      <c r="L60" s="92"/>
      <c r="M60" s="93"/>
      <c r="N60" s="92"/>
      <c r="O60" s="92"/>
      <c r="P60" s="93"/>
      <c r="Q60" s="92"/>
      <c r="R60" s="92"/>
      <c r="S60" s="92"/>
      <c r="T60" s="92"/>
      <c r="U60" s="92"/>
      <c r="V60" s="92"/>
      <c r="W60" s="92"/>
      <c r="X60" s="92"/>
      <c r="Y60" s="94"/>
      <c r="Z60" s="92"/>
      <c r="AA60" s="92"/>
      <c r="AB60" s="94"/>
      <c r="AC60" s="92"/>
      <c r="AD60" s="92"/>
      <c r="AE60" s="94"/>
      <c r="AF60" s="92"/>
      <c r="AG60" s="92"/>
      <c r="AH60" s="87"/>
      <c r="AI60" s="87"/>
    </row>
    <row r="61" spans="3:40" x14ac:dyDescent="0.25">
      <c r="C61" s="74"/>
      <c r="D61" s="74"/>
      <c r="E61" s="74"/>
      <c r="F61" s="74"/>
      <c r="H61" s="74"/>
      <c r="K61" s="74"/>
      <c r="N61" s="74"/>
      <c r="Q61" s="74"/>
      <c r="AH61" s="76" t="s">
        <v>60</v>
      </c>
      <c r="AI61" s="76"/>
    </row>
    <row r="62" spans="3:40" x14ac:dyDescent="0.25">
      <c r="C62" s="168" t="s">
        <v>51</v>
      </c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8"/>
      <c r="AF62" s="168"/>
      <c r="AG62" s="168"/>
      <c r="AH62" s="168"/>
      <c r="AI62" s="78"/>
    </row>
    <row r="63" spans="3:40" x14ac:dyDescent="0.25">
      <c r="C63" s="169" t="s">
        <v>113</v>
      </c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69"/>
      <c r="O63" s="169"/>
      <c r="P63" s="169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69"/>
      <c r="AD63" s="169"/>
      <c r="AE63" s="169"/>
      <c r="AF63" s="169"/>
      <c r="AG63" s="169"/>
      <c r="AH63" s="169"/>
      <c r="AI63" s="79"/>
      <c r="AJ63" s="80"/>
    </row>
    <row r="64" spans="3:40" ht="30" customHeight="1" x14ac:dyDescent="0.25">
      <c r="C64" s="166" t="s">
        <v>1</v>
      </c>
      <c r="D64" s="132" t="s">
        <v>62</v>
      </c>
      <c r="E64" s="133"/>
      <c r="F64" s="134"/>
      <c r="G64" s="132" t="s">
        <v>158</v>
      </c>
      <c r="H64" s="133"/>
      <c r="I64" s="134"/>
      <c r="J64" s="132" t="s">
        <v>210</v>
      </c>
      <c r="K64" s="133"/>
      <c r="L64" s="134"/>
      <c r="M64" s="132" t="s">
        <v>251</v>
      </c>
      <c r="N64" s="133"/>
      <c r="O64" s="134"/>
      <c r="P64" s="163" t="s">
        <v>52</v>
      </c>
      <c r="Q64" s="164"/>
      <c r="R64" s="165"/>
      <c r="S64" s="163" t="s">
        <v>53</v>
      </c>
      <c r="T64" s="164"/>
      <c r="U64" s="165"/>
      <c r="V64" s="163" t="s">
        <v>54</v>
      </c>
      <c r="W64" s="164"/>
      <c r="X64" s="165"/>
      <c r="Y64" s="163" t="s">
        <v>55</v>
      </c>
      <c r="Z64" s="164"/>
      <c r="AA64" s="165"/>
      <c r="AB64" s="163" t="s">
        <v>56</v>
      </c>
      <c r="AC64" s="164"/>
      <c r="AD64" s="165"/>
      <c r="AE64" s="163" t="s">
        <v>57</v>
      </c>
      <c r="AF64" s="164"/>
      <c r="AG64" s="165"/>
      <c r="AH64" s="166" t="s">
        <v>1</v>
      </c>
      <c r="AI64" s="81"/>
      <c r="AL64" s="77" t="s">
        <v>116</v>
      </c>
    </row>
    <row r="65" spans="3:47" ht="55.2" customHeight="1" x14ac:dyDescent="0.25">
      <c r="C65" s="167"/>
      <c r="D65" s="82" t="s">
        <v>2</v>
      </c>
      <c r="E65" s="11" t="s">
        <v>3</v>
      </c>
      <c r="F65" s="11" t="s">
        <v>4</v>
      </c>
      <c r="G65" s="82" t="s">
        <v>2</v>
      </c>
      <c r="H65" s="11" t="s">
        <v>3</v>
      </c>
      <c r="I65" s="11" t="s">
        <v>4</v>
      </c>
      <c r="J65" s="82" t="s">
        <v>2</v>
      </c>
      <c r="K65" s="11" t="s">
        <v>3</v>
      </c>
      <c r="L65" s="11" t="s">
        <v>4</v>
      </c>
      <c r="M65" s="82" t="s">
        <v>2</v>
      </c>
      <c r="N65" s="11" t="s">
        <v>3</v>
      </c>
      <c r="O65" s="11" t="s">
        <v>4</v>
      </c>
      <c r="P65" s="82" t="s">
        <v>2</v>
      </c>
      <c r="Q65" s="11" t="s">
        <v>3</v>
      </c>
      <c r="R65" s="11" t="s">
        <v>4</v>
      </c>
      <c r="S65" s="82" t="s">
        <v>2</v>
      </c>
      <c r="T65" s="11" t="s">
        <v>3</v>
      </c>
      <c r="U65" s="11" t="s">
        <v>4</v>
      </c>
      <c r="V65" s="82" t="s">
        <v>2</v>
      </c>
      <c r="W65" s="11" t="s">
        <v>3</v>
      </c>
      <c r="X65" s="11" t="s">
        <v>4</v>
      </c>
      <c r="Y65" s="10" t="s">
        <v>2</v>
      </c>
      <c r="Z65" s="11" t="s">
        <v>3</v>
      </c>
      <c r="AA65" s="11" t="s">
        <v>4</v>
      </c>
      <c r="AB65" s="10" t="s">
        <v>2</v>
      </c>
      <c r="AC65" s="11" t="s">
        <v>3</v>
      </c>
      <c r="AD65" s="11" t="s">
        <v>4</v>
      </c>
      <c r="AE65" s="10" t="s">
        <v>2</v>
      </c>
      <c r="AF65" s="11" t="s">
        <v>3</v>
      </c>
      <c r="AG65" s="11" t="s">
        <v>4</v>
      </c>
      <c r="AH65" s="167"/>
      <c r="AI65" s="81"/>
      <c r="AL65" s="83">
        <v>45838</v>
      </c>
      <c r="AM65" s="83">
        <v>45869</v>
      </c>
      <c r="AN65" s="83">
        <v>45897</v>
      </c>
      <c r="AO65" s="83"/>
      <c r="AP65" s="83"/>
      <c r="AQ65" s="83"/>
      <c r="AR65" s="83"/>
      <c r="AS65" s="83"/>
      <c r="AT65" s="83"/>
      <c r="AU65" s="83"/>
    </row>
    <row r="66" spans="3:47" ht="15.6" x14ac:dyDescent="0.25">
      <c r="C66" s="95" t="s">
        <v>117</v>
      </c>
      <c r="D66" s="84">
        <v>143.2895</v>
      </c>
      <c r="E66" s="85">
        <v>0</v>
      </c>
      <c r="F66" s="85">
        <v>0</v>
      </c>
      <c r="G66" s="84">
        <v>143.28659999999999</v>
      </c>
      <c r="H66" s="85">
        <f>(G66-D66)*1000</f>
        <v>-2.9000000000110049</v>
      </c>
      <c r="I66" s="85">
        <f>F66+H66</f>
        <v>-2.9000000000110049</v>
      </c>
      <c r="J66" s="84">
        <v>143.28569999999999</v>
      </c>
      <c r="K66" s="85">
        <f>(J66-G66)*1000</f>
        <v>-0.90000000000145519</v>
      </c>
      <c r="L66" s="85">
        <f>I66+K66</f>
        <v>-3.8000000000124601</v>
      </c>
      <c r="M66" s="84">
        <v>143.28469999999999</v>
      </c>
      <c r="N66" s="85">
        <f>(M66-J66)*1000</f>
        <v>-1.0000000000047748</v>
      </c>
      <c r="O66" s="85">
        <f>L66+N66</f>
        <v>-4.8000000000172349</v>
      </c>
      <c r="P66" s="84">
        <v>91.493499999999997</v>
      </c>
      <c r="Q66" s="85">
        <f>(P66-M66)*1000</f>
        <v>-51791.19999999999</v>
      </c>
      <c r="R66" s="85">
        <f>O66+Q66</f>
        <v>-51796.000000000007</v>
      </c>
      <c r="S66" s="84">
        <v>91.492599999999996</v>
      </c>
      <c r="T66" s="85">
        <f>(S66-P66)*1000</f>
        <v>-0.90000000000145519</v>
      </c>
      <c r="U66" s="85">
        <f>R66+T66</f>
        <v>-51796.900000000009</v>
      </c>
      <c r="V66" s="84">
        <v>91.491699999999994</v>
      </c>
      <c r="W66" s="85">
        <f>(V66-S66)*1000</f>
        <v>-0.90000000000145519</v>
      </c>
      <c r="X66" s="85">
        <f>U66+W66</f>
        <v>-51797.80000000001</v>
      </c>
      <c r="Y66" s="86">
        <v>91.490899999999996</v>
      </c>
      <c r="Z66" s="85">
        <f>(Y66-V66)*1000</f>
        <v>-0.79999999999813554</v>
      </c>
      <c r="AA66" s="85">
        <f>X66+Z66</f>
        <v>-51798.600000000006</v>
      </c>
      <c r="AB66" s="86">
        <v>91.490499999999997</v>
      </c>
      <c r="AC66" s="85">
        <f>(AB66-Y66)*1000</f>
        <v>-0.39999999999906777</v>
      </c>
      <c r="AD66" s="85">
        <f>AA66+AC66</f>
        <v>-51799.000000000007</v>
      </c>
      <c r="AE66" s="86">
        <v>91.49</v>
      </c>
      <c r="AF66" s="85">
        <f>(AE66-AB66)*1000</f>
        <v>-0.50000000000238742</v>
      </c>
      <c r="AG66" s="85">
        <f>AD66+AF66</f>
        <v>-51799.500000000007</v>
      </c>
      <c r="AH66" s="95" t="str">
        <f>C66</f>
        <v>5.1.</v>
      </c>
      <c r="AI66" s="87"/>
      <c r="AK66" s="89" t="s">
        <v>117</v>
      </c>
      <c r="AL66" s="77">
        <v>0</v>
      </c>
      <c r="AM66" s="77">
        <v>-2.9000000000110049</v>
      </c>
      <c r="AN66" s="77">
        <v>-3.8000000000124601</v>
      </c>
    </row>
    <row r="67" spans="3:47" ht="15.6" x14ac:dyDescent="0.25">
      <c r="C67" s="95" t="s">
        <v>118</v>
      </c>
      <c r="D67" s="84">
        <v>143.13830000000002</v>
      </c>
      <c r="E67" s="85">
        <v>0</v>
      </c>
      <c r="F67" s="85">
        <v>0</v>
      </c>
      <c r="G67" s="84">
        <v>143.13460000000001</v>
      </c>
      <c r="H67" s="85">
        <f t="shared" ref="H67:H92" si="38">(G67-D67)*1000</f>
        <v>-3.7000000000091404</v>
      </c>
      <c r="I67" s="85">
        <f t="shared" ref="I67:I92" si="39">F67+H67</f>
        <v>-3.7000000000091404</v>
      </c>
      <c r="J67" s="84">
        <v>143.13300000000001</v>
      </c>
      <c r="K67" s="85">
        <f t="shared" ref="K67:K92" si="40">(J67-G67)*1000</f>
        <v>-1.5999999999962711</v>
      </c>
      <c r="L67" s="85">
        <f t="shared" ref="L67:L92" si="41">I67+K67</f>
        <v>-5.3000000000054115</v>
      </c>
      <c r="M67" s="84">
        <v>143.13290000000001</v>
      </c>
      <c r="N67" s="85">
        <f t="shared" ref="N67:N92" si="42">(M67-J67)*1000</f>
        <v>-0.10000000000331966</v>
      </c>
      <c r="O67" s="85">
        <f t="shared" ref="O67:O92" si="43">L67+N67</f>
        <v>-5.4000000000087311</v>
      </c>
      <c r="P67" s="84">
        <v>91.558499999999995</v>
      </c>
      <c r="Q67" s="85">
        <f t="shared" ref="Q67:Q92" si="44">(P67-M67)*1000</f>
        <v>-51574.400000000009</v>
      </c>
      <c r="R67" s="85">
        <f t="shared" ref="R67:R92" si="45">O67+Q67</f>
        <v>-51579.800000000017</v>
      </c>
      <c r="S67" s="84">
        <v>91.5578</v>
      </c>
      <c r="T67" s="85">
        <f t="shared" ref="T67:T92" si="46">(S67-P67)*1000</f>
        <v>-0.69999999999481588</v>
      </c>
      <c r="U67" s="85">
        <f t="shared" ref="U67:U92" si="47">R67+T67</f>
        <v>-51580.500000000015</v>
      </c>
      <c r="V67" s="84">
        <v>91.557100000000005</v>
      </c>
      <c r="W67" s="85">
        <f t="shared" ref="W67:W92" si="48">(V67-S67)*1000</f>
        <v>-0.69999999999481588</v>
      </c>
      <c r="X67" s="85">
        <f t="shared" ref="X67:X92" si="49">U67+W67</f>
        <v>-51581.200000000012</v>
      </c>
      <c r="Y67" s="86">
        <v>91.5565</v>
      </c>
      <c r="Z67" s="85">
        <f t="shared" ref="Z67:Z92" si="50">(Y67-V67)*1000</f>
        <v>-0.60000000000570708</v>
      </c>
      <c r="AA67" s="85">
        <f t="shared" ref="AA67:AA92" si="51">X67+Z67</f>
        <v>-51581.800000000017</v>
      </c>
      <c r="AB67" s="86">
        <v>91.555899999999994</v>
      </c>
      <c r="AC67" s="85">
        <f t="shared" ref="AC67:AC92" si="52">(AB67-Y67)*1000</f>
        <v>-0.60000000000570708</v>
      </c>
      <c r="AD67" s="85">
        <f t="shared" ref="AD67:AD92" si="53">AA67+AC67</f>
        <v>-51582.400000000023</v>
      </c>
      <c r="AE67" s="86">
        <v>91.555599999999998</v>
      </c>
      <c r="AF67" s="85">
        <f t="shared" ref="AF67:AF92" si="54">(AE67-AB67)*1000</f>
        <v>-0.29999999999574811</v>
      </c>
      <c r="AG67" s="85">
        <f t="shared" ref="AG67:AG92" si="55">AD67+AF67</f>
        <v>-51582.700000000019</v>
      </c>
      <c r="AH67" s="95" t="str">
        <f t="shared" ref="AH67:AH91" si="56">C67</f>
        <v>5.2.</v>
      </c>
      <c r="AI67" s="87"/>
      <c r="AK67" s="89" t="s">
        <v>118</v>
      </c>
      <c r="AL67" s="77">
        <v>0</v>
      </c>
      <c r="AM67" s="77">
        <v>-3.7000000000091404</v>
      </c>
      <c r="AN67" s="77">
        <v>-5.3000000000054115</v>
      </c>
    </row>
    <row r="68" spans="3:47" ht="15.6" x14ac:dyDescent="0.25">
      <c r="C68" s="95" t="s">
        <v>119</v>
      </c>
      <c r="D68" s="84">
        <v>143.17580000000001</v>
      </c>
      <c r="E68" s="85">
        <v>0</v>
      </c>
      <c r="F68" s="85">
        <v>0</v>
      </c>
      <c r="G68" s="84">
        <v>143.17250000000001</v>
      </c>
      <c r="H68" s="85">
        <f t="shared" si="38"/>
        <v>-3.2999999999958618</v>
      </c>
      <c r="I68" s="85">
        <f t="shared" si="39"/>
        <v>-3.2999999999958618</v>
      </c>
      <c r="J68" s="84">
        <v>143.172</v>
      </c>
      <c r="K68" s="85">
        <f t="shared" si="40"/>
        <v>-0.50000000001659828</v>
      </c>
      <c r="L68" s="85">
        <f t="shared" si="41"/>
        <v>-3.8000000000124601</v>
      </c>
      <c r="M68" s="84">
        <v>143.1712</v>
      </c>
      <c r="N68" s="85">
        <f t="shared" si="42"/>
        <v>-0.79999999999813554</v>
      </c>
      <c r="O68" s="85">
        <f t="shared" si="43"/>
        <v>-4.6000000000105956</v>
      </c>
      <c r="P68" s="84">
        <v>91.597099999999998</v>
      </c>
      <c r="Q68" s="85">
        <f t="shared" si="44"/>
        <v>-51574.1</v>
      </c>
      <c r="R68" s="85">
        <f t="shared" si="45"/>
        <v>-51578.700000000012</v>
      </c>
      <c r="S68" s="84">
        <v>91.596299999999999</v>
      </c>
      <c r="T68" s="85">
        <f t="shared" si="46"/>
        <v>-0.79999999999813554</v>
      </c>
      <c r="U68" s="85">
        <f t="shared" si="47"/>
        <v>-51579.500000000007</v>
      </c>
      <c r="V68" s="84">
        <v>91.595500000000001</v>
      </c>
      <c r="W68" s="85">
        <f t="shared" si="48"/>
        <v>-0.79999999999813554</v>
      </c>
      <c r="X68" s="85">
        <f t="shared" si="49"/>
        <v>-51580.3</v>
      </c>
      <c r="Y68" s="86">
        <v>91.594800000000006</v>
      </c>
      <c r="Z68" s="85">
        <f t="shared" si="50"/>
        <v>-0.69999999999481588</v>
      </c>
      <c r="AA68" s="85">
        <f t="shared" si="51"/>
        <v>-51581</v>
      </c>
      <c r="AB68" s="86">
        <v>91.594099999999997</v>
      </c>
      <c r="AC68" s="85">
        <f t="shared" si="52"/>
        <v>-0.70000000000902673</v>
      </c>
      <c r="AD68" s="85">
        <f t="shared" si="53"/>
        <v>-51581.700000000012</v>
      </c>
      <c r="AE68" s="86">
        <v>91.593699999999998</v>
      </c>
      <c r="AF68" s="85">
        <f t="shared" si="54"/>
        <v>-0.39999999999906777</v>
      </c>
      <c r="AG68" s="85">
        <f t="shared" si="55"/>
        <v>-51582.100000000013</v>
      </c>
      <c r="AH68" s="95" t="str">
        <f t="shared" si="56"/>
        <v>5.3.</v>
      </c>
      <c r="AI68" s="87"/>
      <c r="AK68" s="89" t="s">
        <v>119</v>
      </c>
      <c r="AL68" s="77">
        <v>0</v>
      </c>
      <c r="AM68" s="77">
        <v>-3.2999999999958618</v>
      </c>
      <c r="AN68" s="77">
        <v>-3.8000000000124601</v>
      </c>
    </row>
    <row r="69" spans="3:47" ht="15.6" x14ac:dyDescent="0.25">
      <c r="C69" s="95" t="s">
        <v>120</v>
      </c>
      <c r="D69" s="84">
        <v>144.32650000000001</v>
      </c>
      <c r="E69" s="85">
        <v>0</v>
      </c>
      <c r="F69" s="85">
        <v>0</v>
      </c>
      <c r="G69" s="84">
        <v>144.32300000000001</v>
      </c>
      <c r="H69" s="85">
        <f t="shared" si="38"/>
        <v>-3.5000000000025011</v>
      </c>
      <c r="I69" s="85">
        <f t="shared" si="39"/>
        <v>-3.5000000000025011</v>
      </c>
      <c r="J69" s="84">
        <v>144.3219</v>
      </c>
      <c r="K69" s="85">
        <f t="shared" si="40"/>
        <v>-1.1000000000080945</v>
      </c>
      <c r="L69" s="85">
        <f t="shared" si="41"/>
        <v>-4.6000000000105956</v>
      </c>
      <c r="M69" s="84">
        <v>144.32069999999999</v>
      </c>
      <c r="N69" s="85">
        <f t="shared" si="42"/>
        <v>-1.2000000000114142</v>
      </c>
      <c r="O69" s="85">
        <f t="shared" si="43"/>
        <v>-5.8000000000220098</v>
      </c>
      <c r="P69" s="84">
        <v>91.761200000000002</v>
      </c>
      <c r="Q69" s="85">
        <f t="shared" si="44"/>
        <v>-52559.499999999985</v>
      </c>
      <c r="R69" s="85">
        <f t="shared" si="45"/>
        <v>-52565.30000000001</v>
      </c>
      <c r="S69" s="84">
        <v>91.760300000000001</v>
      </c>
      <c r="T69" s="85">
        <f t="shared" si="46"/>
        <v>-0.90000000000145519</v>
      </c>
      <c r="U69" s="85">
        <f t="shared" si="47"/>
        <v>-52566.200000000012</v>
      </c>
      <c r="V69" s="84">
        <v>91.759500000000003</v>
      </c>
      <c r="W69" s="85">
        <f t="shared" si="48"/>
        <v>-0.79999999999813554</v>
      </c>
      <c r="X69" s="85">
        <f t="shared" si="49"/>
        <v>-52567.000000000007</v>
      </c>
      <c r="Y69" s="86">
        <v>91.759</v>
      </c>
      <c r="Z69" s="85">
        <f t="shared" si="50"/>
        <v>-0.50000000000238742</v>
      </c>
      <c r="AA69" s="85">
        <f t="shared" si="51"/>
        <v>-52567.500000000007</v>
      </c>
      <c r="AB69" s="86">
        <v>91.758700000000005</v>
      </c>
      <c r="AC69" s="85">
        <f t="shared" si="52"/>
        <v>-0.29999999999574811</v>
      </c>
      <c r="AD69" s="85">
        <f t="shared" si="53"/>
        <v>-52567.8</v>
      </c>
      <c r="AE69" s="86">
        <v>91.758099999999999</v>
      </c>
      <c r="AF69" s="85">
        <f t="shared" si="54"/>
        <v>-0.60000000000570708</v>
      </c>
      <c r="AG69" s="85">
        <f t="shared" si="55"/>
        <v>-52568.400000000009</v>
      </c>
      <c r="AH69" s="95" t="str">
        <f t="shared" si="56"/>
        <v>5.4.</v>
      </c>
      <c r="AI69" s="87"/>
      <c r="AK69" s="89" t="s">
        <v>120</v>
      </c>
      <c r="AL69" s="77">
        <v>0</v>
      </c>
      <c r="AM69" s="77">
        <v>-3.5000000000025011</v>
      </c>
      <c r="AN69" s="77">
        <v>-4.6000000000105956</v>
      </c>
    </row>
    <row r="70" spans="3:47" ht="15.6" x14ac:dyDescent="0.25">
      <c r="C70" s="95" t="s">
        <v>121</v>
      </c>
      <c r="D70" s="84">
        <v>143.28190000000001</v>
      </c>
      <c r="E70" s="85">
        <v>0</v>
      </c>
      <c r="F70" s="85">
        <v>0</v>
      </c>
      <c r="G70" s="84">
        <v>143.2792</v>
      </c>
      <c r="H70" s="85">
        <f t="shared" si="38"/>
        <v>-2.7000000000043656</v>
      </c>
      <c r="I70" s="85">
        <f t="shared" si="39"/>
        <v>-2.7000000000043656</v>
      </c>
      <c r="J70" s="84">
        <v>143.27760000000001</v>
      </c>
      <c r="K70" s="85">
        <f t="shared" si="40"/>
        <v>-1.5999999999962711</v>
      </c>
      <c r="L70" s="85">
        <f t="shared" si="41"/>
        <v>-4.3000000000006366</v>
      </c>
      <c r="M70" s="84">
        <v>143.27680000000001</v>
      </c>
      <c r="N70" s="85">
        <f t="shared" si="42"/>
        <v>-0.79999999999813554</v>
      </c>
      <c r="O70" s="85">
        <f t="shared" si="43"/>
        <v>-5.0999999999987722</v>
      </c>
      <c r="P70" s="84">
        <v>91.6404</v>
      </c>
      <c r="Q70" s="85">
        <f t="shared" si="44"/>
        <v>-51636.400000000009</v>
      </c>
      <c r="R70" s="85">
        <f t="shared" si="45"/>
        <v>-51641.500000000007</v>
      </c>
      <c r="S70" s="84">
        <v>91.639399999999995</v>
      </c>
      <c r="T70" s="85">
        <f t="shared" si="46"/>
        <v>-1.0000000000047748</v>
      </c>
      <c r="U70" s="85">
        <f t="shared" si="47"/>
        <v>-51642.500000000015</v>
      </c>
      <c r="V70" s="84">
        <v>91.638900000000007</v>
      </c>
      <c r="W70" s="85">
        <f t="shared" si="48"/>
        <v>-0.49999999998817657</v>
      </c>
      <c r="X70" s="85">
        <f t="shared" si="49"/>
        <v>-51643</v>
      </c>
      <c r="Y70" s="86">
        <v>91.638099999999994</v>
      </c>
      <c r="Z70" s="85">
        <f t="shared" si="50"/>
        <v>-0.80000000001234639</v>
      </c>
      <c r="AA70" s="85">
        <f t="shared" si="51"/>
        <v>-51643.80000000001</v>
      </c>
      <c r="AB70" s="86">
        <v>91.638000000000005</v>
      </c>
      <c r="AC70" s="85">
        <f t="shared" si="52"/>
        <v>-9.9999999989108801E-2</v>
      </c>
      <c r="AD70" s="85">
        <f t="shared" si="53"/>
        <v>-51643.9</v>
      </c>
      <c r="AE70" s="86">
        <v>91.637100000000004</v>
      </c>
      <c r="AF70" s="85">
        <f t="shared" si="54"/>
        <v>-0.90000000000145519</v>
      </c>
      <c r="AG70" s="85">
        <f t="shared" si="55"/>
        <v>-51644.800000000003</v>
      </c>
      <c r="AH70" s="95" t="str">
        <f t="shared" si="56"/>
        <v>5.5.</v>
      </c>
      <c r="AI70" s="87"/>
      <c r="AK70" s="89" t="s">
        <v>121</v>
      </c>
      <c r="AL70" s="77">
        <v>0</v>
      </c>
      <c r="AM70" s="77">
        <v>-2.7000000000043656</v>
      </c>
      <c r="AN70" s="77">
        <v>-4.3000000000006366</v>
      </c>
    </row>
    <row r="71" spans="3:47" ht="15.6" x14ac:dyDescent="0.25">
      <c r="C71" s="95" t="s">
        <v>122</v>
      </c>
      <c r="D71" s="84">
        <v>144.37819999999999</v>
      </c>
      <c r="E71" s="85">
        <v>0</v>
      </c>
      <c r="F71" s="85">
        <v>0</v>
      </c>
      <c r="G71" s="84">
        <v>144.37459999999999</v>
      </c>
      <c r="H71" s="85">
        <f t="shared" si="38"/>
        <v>-3.6000000000058208</v>
      </c>
      <c r="I71" s="85">
        <f t="shared" si="39"/>
        <v>-3.6000000000058208</v>
      </c>
      <c r="J71" s="84">
        <v>144.37280000000001</v>
      </c>
      <c r="K71" s="85">
        <f t="shared" si="40"/>
        <v>-1.7999999999744887</v>
      </c>
      <c r="L71" s="85">
        <f t="shared" si="41"/>
        <v>-5.3999999999803094</v>
      </c>
      <c r="M71" s="84">
        <v>144.36920000000001</v>
      </c>
      <c r="N71" s="85">
        <f t="shared" si="42"/>
        <v>-3.6000000000058208</v>
      </c>
      <c r="O71" s="115">
        <f t="shared" si="43"/>
        <v>-8.9999999999861302</v>
      </c>
      <c r="P71" s="84">
        <v>91.666300000000007</v>
      </c>
      <c r="Q71" s="85">
        <f t="shared" si="44"/>
        <v>-52702.9</v>
      </c>
      <c r="R71" s="85">
        <f t="shared" si="45"/>
        <v>-52711.899999999987</v>
      </c>
      <c r="S71" s="84">
        <v>91.665199999999999</v>
      </c>
      <c r="T71" s="85">
        <f t="shared" si="46"/>
        <v>-1.1000000000080945</v>
      </c>
      <c r="U71" s="85">
        <f t="shared" si="47"/>
        <v>-52712.999999999993</v>
      </c>
      <c r="V71" s="84">
        <v>91.664299999999997</v>
      </c>
      <c r="W71" s="85">
        <f t="shared" si="48"/>
        <v>-0.90000000000145519</v>
      </c>
      <c r="X71" s="85">
        <f t="shared" si="49"/>
        <v>-52713.899999999994</v>
      </c>
      <c r="Y71" s="86">
        <v>91.663600000000002</v>
      </c>
      <c r="Z71" s="85">
        <f t="shared" si="50"/>
        <v>-0.69999999999481588</v>
      </c>
      <c r="AA71" s="85">
        <f t="shared" si="51"/>
        <v>-52714.599999999991</v>
      </c>
      <c r="AB71" s="86">
        <v>91.663200000000003</v>
      </c>
      <c r="AC71" s="85">
        <f t="shared" si="52"/>
        <v>-0.39999999999906777</v>
      </c>
      <c r="AD71" s="85">
        <f t="shared" si="53"/>
        <v>-52714.999999999993</v>
      </c>
      <c r="AE71" s="86">
        <v>91.662400000000005</v>
      </c>
      <c r="AF71" s="85">
        <f t="shared" si="54"/>
        <v>-0.79999999999813554</v>
      </c>
      <c r="AG71" s="85">
        <f t="shared" si="55"/>
        <v>-52715.799999999988</v>
      </c>
      <c r="AH71" s="95" t="str">
        <f t="shared" si="56"/>
        <v>5.6.</v>
      </c>
      <c r="AI71" s="87"/>
      <c r="AK71" s="89" t="s">
        <v>122</v>
      </c>
      <c r="AL71" s="77">
        <v>0</v>
      </c>
      <c r="AM71" s="77">
        <v>-3.6000000000058208</v>
      </c>
      <c r="AN71" s="77">
        <v>-5.3999999999803094</v>
      </c>
    </row>
    <row r="72" spans="3:47" ht="15.6" x14ac:dyDescent="0.25">
      <c r="C72" s="95" t="s">
        <v>123</v>
      </c>
      <c r="D72" s="84">
        <v>143.27160000000001</v>
      </c>
      <c r="E72" s="85">
        <v>0</v>
      </c>
      <c r="F72" s="85">
        <v>0</v>
      </c>
      <c r="G72" s="84">
        <v>143.26830000000001</v>
      </c>
      <c r="H72" s="85">
        <f t="shared" si="38"/>
        <v>-3.2999999999958618</v>
      </c>
      <c r="I72" s="85">
        <f t="shared" si="39"/>
        <v>-3.2999999999958618</v>
      </c>
      <c r="J72" s="84">
        <v>143.26679999999999</v>
      </c>
      <c r="K72" s="85">
        <f t="shared" si="40"/>
        <v>-1.5000000000213731</v>
      </c>
      <c r="L72" s="85">
        <f t="shared" si="41"/>
        <v>-4.8000000000172349</v>
      </c>
      <c r="M72" s="84">
        <v>143.26650000000001</v>
      </c>
      <c r="N72" s="85">
        <f t="shared" si="42"/>
        <v>-0.29999999998153726</v>
      </c>
      <c r="O72" s="85">
        <f t="shared" si="43"/>
        <v>-5.0999999999987722</v>
      </c>
      <c r="P72" s="84">
        <v>91.619100000000003</v>
      </c>
      <c r="Q72" s="85">
        <f t="shared" si="44"/>
        <v>-51647.4</v>
      </c>
      <c r="R72" s="85">
        <f t="shared" si="45"/>
        <v>-51652.5</v>
      </c>
      <c r="S72" s="84">
        <v>91.618399999999994</v>
      </c>
      <c r="T72" s="85">
        <f t="shared" si="46"/>
        <v>-0.70000000000902673</v>
      </c>
      <c r="U72" s="85">
        <f t="shared" si="47"/>
        <v>-51653.200000000012</v>
      </c>
      <c r="V72" s="84">
        <v>91.617599999999996</v>
      </c>
      <c r="W72" s="85">
        <f t="shared" si="48"/>
        <v>-0.79999999999813554</v>
      </c>
      <c r="X72" s="85">
        <f t="shared" si="49"/>
        <v>-51654.000000000007</v>
      </c>
      <c r="Y72" s="86">
        <v>91.617000000000004</v>
      </c>
      <c r="Z72" s="85">
        <f t="shared" si="50"/>
        <v>-0.59999999999149622</v>
      </c>
      <c r="AA72" s="85">
        <f t="shared" si="51"/>
        <v>-51654.6</v>
      </c>
      <c r="AB72" s="86">
        <v>91.616500000000002</v>
      </c>
      <c r="AC72" s="85">
        <f t="shared" si="52"/>
        <v>-0.50000000000238742</v>
      </c>
      <c r="AD72" s="85">
        <f t="shared" si="53"/>
        <v>-51655.1</v>
      </c>
      <c r="AE72" s="86">
        <v>91.615899999999996</v>
      </c>
      <c r="AF72" s="85">
        <f t="shared" si="54"/>
        <v>-0.60000000000570708</v>
      </c>
      <c r="AG72" s="85">
        <f t="shared" si="55"/>
        <v>-51655.700000000004</v>
      </c>
      <c r="AH72" s="95" t="str">
        <f t="shared" si="56"/>
        <v>5.7.</v>
      </c>
      <c r="AI72" s="87"/>
      <c r="AJ72" s="77" t="s">
        <v>214</v>
      </c>
      <c r="AK72" s="89" t="s">
        <v>123</v>
      </c>
      <c r="AL72" s="77">
        <v>0</v>
      </c>
      <c r="AM72" s="77">
        <v>-3.2999999999958618</v>
      </c>
      <c r="AN72" s="77">
        <v>-4.8000000000172349</v>
      </c>
    </row>
    <row r="73" spans="3:47" ht="15.6" x14ac:dyDescent="0.25">
      <c r="C73" s="95" t="s">
        <v>124</v>
      </c>
      <c r="D73" s="84">
        <v>143.24350000000001</v>
      </c>
      <c r="E73" s="85">
        <v>0</v>
      </c>
      <c r="F73" s="85">
        <v>0</v>
      </c>
      <c r="G73" s="84">
        <v>143.24039999999999</v>
      </c>
      <c r="H73" s="85">
        <f t="shared" si="38"/>
        <v>-3.1000000000176442</v>
      </c>
      <c r="I73" s="85">
        <f t="shared" si="39"/>
        <v>-3.1000000000176442</v>
      </c>
      <c r="J73" s="84">
        <v>143.23830000000001</v>
      </c>
      <c r="K73" s="85">
        <f t="shared" si="40"/>
        <v>-2.0999999999844476</v>
      </c>
      <c r="L73" s="85">
        <f t="shared" si="41"/>
        <v>-5.2000000000020918</v>
      </c>
      <c r="M73" s="84">
        <v>143.23820000000001</v>
      </c>
      <c r="N73" s="85">
        <f t="shared" si="42"/>
        <v>-0.10000000000331966</v>
      </c>
      <c r="O73" s="85">
        <f t="shared" si="43"/>
        <v>-5.3000000000054115</v>
      </c>
      <c r="P73" s="84">
        <v>91.658199999999994</v>
      </c>
      <c r="Q73" s="85">
        <f t="shared" si="44"/>
        <v>-51580.000000000015</v>
      </c>
      <c r="R73" s="85">
        <f t="shared" si="45"/>
        <v>-51585.300000000017</v>
      </c>
      <c r="S73" s="84">
        <v>91.657300000000006</v>
      </c>
      <c r="T73" s="85">
        <f t="shared" si="46"/>
        <v>-0.89999999998724434</v>
      </c>
      <c r="U73" s="85">
        <f t="shared" si="47"/>
        <v>-51586.200000000004</v>
      </c>
      <c r="V73" s="84">
        <v>91.656700000000001</v>
      </c>
      <c r="W73" s="85">
        <f t="shared" si="48"/>
        <v>-0.60000000000570708</v>
      </c>
      <c r="X73" s="85">
        <f t="shared" si="49"/>
        <v>-51586.80000000001</v>
      </c>
      <c r="Y73" s="86">
        <v>91.655900000000003</v>
      </c>
      <c r="Z73" s="85">
        <f t="shared" si="50"/>
        <v>-0.79999999999813554</v>
      </c>
      <c r="AA73" s="85">
        <f t="shared" si="51"/>
        <v>-51587.600000000006</v>
      </c>
      <c r="AB73" s="86">
        <v>91.655500000000004</v>
      </c>
      <c r="AC73" s="85">
        <f t="shared" si="52"/>
        <v>-0.39999999999906777</v>
      </c>
      <c r="AD73" s="85">
        <f t="shared" si="53"/>
        <v>-51588.000000000007</v>
      </c>
      <c r="AE73" s="86">
        <v>91.654799999999994</v>
      </c>
      <c r="AF73" s="85">
        <f t="shared" si="54"/>
        <v>-0.70000000000902673</v>
      </c>
      <c r="AG73" s="85">
        <f t="shared" si="55"/>
        <v>-51588.700000000019</v>
      </c>
      <c r="AH73" s="95" t="str">
        <f t="shared" si="56"/>
        <v>5.8.</v>
      </c>
      <c r="AI73" s="87"/>
      <c r="AJ73" s="77">
        <v>14800</v>
      </c>
      <c r="AK73" s="89" t="s">
        <v>124</v>
      </c>
      <c r="AL73" s="77">
        <v>0</v>
      </c>
      <c r="AM73" s="77">
        <v>-3.1000000000176442</v>
      </c>
      <c r="AN73" s="77">
        <v>-5.2000000000020918</v>
      </c>
    </row>
    <row r="74" spans="3:47" ht="15.6" x14ac:dyDescent="0.25">
      <c r="C74" s="95" t="s">
        <v>125</v>
      </c>
      <c r="D74" s="84">
        <v>143.14160000000001</v>
      </c>
      <c r="E74" s="85">
        <v>0</v>
      </c>
      <c r="F74" s="85">
        <v>0</v>
      </c>
      <c r="G74" s="84">
        <v>143.13780000000003</v>
      </c>
      <c r="H74" s="85">
        <f t="shared" si="38"/>
        <v>-3.7999999999840384</v>
      </c>
      <c r="I74" s="85">
        <f t="shared" si="39"/>
        <v>-3.7999999999840384</v>
      </c>
      <c r="J74" s="84">
        <v>143.13560000000001</v>
      </c>
      <c r="K74" s="85">
        <f t="shared" si="40"/>
        <v>-2.200000000016189</v>
      </c>
      <c r="L74" s="85">
        <f t="shared" si="41"/>
        <v>-6.0000000000002274</v>
      </c>
      <c r="M74" s="84">
        <v>143.13509999999999</v>
      </c>
      <c r="N74" s="85">
        <f t="shared" si="42"/>
        <v>-0.50000000001659828</v>
      </c>
      <c r="O74" s="85">
        <f t="shared" si="43"/>
        <v>-6.5000000000168257</v>
      </c>
      <c r="P74" s="84">
        <v>91.7</v>
      </c>
      <c r="Q74" s="85">
        <f t="shared" si="44"/>
        <v>-51435.099999999991</v>
      </c>
      <c r="R74" s="85">
        <f t="shared" si="45"/>
        <v>-51441.600000000006</v>
      </c>
      <c r="S74" s="84">
        <v>91.699100000000001</v>
      </c>
      <c r="T74" s="85">
        <f t="shared" si="46"/>
        <v>-0.90000000000145519</v>
      </c>
      <c r="U74" s="85">
        <f t="shared" si="47"/>
        <v>-51442.500000000007</v>
      </c>
      <c r="V74" s="84">
        <v>91.698300000000003</v>
      </c>
      <c r="W74" s="85">
        <f t="shared" si="48"/>
        <v>-0.79999999999813554</v>
      </c>
      <c r="X74" s="85">
        <f t="shared" si="49"/>
        <v>-51443.3</v>
      </c>
      <c r="Y74" s="86">
        <v>91.697800000000001</v>
      </c>
      <c r="Z74" s="85">
        <f t="shared" si="50"/>
        <v>-0.50000000000238742</v>
      </c>
      <c r="AA74" s="85">
        <f t="shared" si="51"/>
        <v>-51443.8</v>
      </c>
      <c r="AB74" s="86">
        <v>91.697400000000002</v>
      </c>
      <c r="AC74" s="85">
        <f t="shared" si="52"/>
        <v>-0.39999999999906777</v>
      </c>
      <c r="AD74" s="85">
        <f t="shared" si="53"/>
        <v>-51444.200000000004</v>
      </c>
      <c r="AE74" s="86">
        <v>91.696899999999999</v>
      </c>
      <c r="AF74" s="85">
        <f t="shared" si="54"/>
        <v>-0.50000000000238742</v>
      </c>
      <c r="AG74" s="85">
        <f t="shared" si="55"/>
        <v>-51444.700000000004</v>
      </c>
      <c r="AH74" s="95" t="str">
        <f t="shared" si="56"/>
        <v>5.9.</v>
      </c>
      <c r="AI74" s="87"/>
      <c r="AK74" s="89" t="s">
        <v>125</v>
      </c>
      <c r="AL74" s="77">
        <v>0</v>
      </c>
      <c r="AM74" s="77">
        <v>-3.7999999999840384</v>
      </c>
      <c r="AN74" s="77">
        <v>-6.0000000000002274</v>
      </c>
    </row>
    <row r="75" spans="3:47" ht="15.6" x14ac:dyDescent="0.25">
      <c r="C75" s="95" t="s">
        <v>126</v>
      </c>
      <c r="D75" s="84">
        <v>143.05369999999999</v>
      </c>
      <c r="E75" s="85">
        <v>0</v>
      </c>
      <c r="F75" s="85">
        <v>0</v>
      </c>
      <c r="G75" s="84">
        <v>143.04790000000003</v>
      </c>
      <c r="H75" s="85">
        <f t="shared" si="38"/>
        <v>-5.7999999999651664</v>
      </c>
      <c r="I75" s="115">
        <f t="shared" si="39"/>
        <v>-5.7999999999651664</v>
      </c>
      <c r="J75" s="84">
        <v>143.04640000000001</v>
      </c>
      <c r="K75" s="85">
        <f t="shared" si="40"/>
        <v>-1.5000000000213731</v>
      </c>
      <c r="L75" s="85">
        <f t="shared" si="41"/>
        <v>-7.2999999999865395</v>
      </c>
      <c r="M75" s="84">
        <v>143.04580000000001</v>
      </c>
      <c r="N75" s="85">
        <f t="shared" si="42"/>
        <v>-0.59999999999149622</v>
      </c>
      <c r="O75" s="85">
        <f t="shared" si="43"/>
        <v>-7.8999999999780357</v>
      </c>
      <c r="P75" s="84">
        <v>91.746799999999993</v>
      </c>
      <c r="Q75" s="85">
        <f t="shared" si="44"/>
        <v>-51299.000000000022</v>
      </c>
      <c r="R75" s="85">
        <f t="shared" si="45"/>
        <v>-51306.9</v>
      </c>
      <c r="S75" s="84">
        <v>91.745999999999995</v>
      </c>
      <c r="T75" s="85">
        <f t="shared" si="46"/>
        <v>-0.79999999999813554</v>
      </c>
      <c r="U75" s="85">
        <f t="shared" si="47"/>
        <v>-51307.7</v>
      </c>
      <c r="V75" s="84">
        <v>91.745599999999996</v>
      </c>
      <c r="W75" s="85">
        <f t="shared" si="48"/>
        <v>-0.39999999999906777</v>
      </c>
      <c r="X75" s="85">
        <f t="shared" si="49"/>
        <v>-51308.1</v>
      </c>
      <c r="Y75" s="86">
        <v>91.745000000000005</v>
      </c>
      <c r="Z75" s="85">
        <f t="shared" si="50"/>
        <v>-0.59999999999149622</v>
      </c>
      <c r="AA75" s="85">
        <f t="shared" si="51"/>
        <v>-51308.69999999999</v>
      </c>
      <c r="AB75" s="86">
        <v>91.744500000000002</v>
      </c>
      <c r="AC75" s="85">
        <f t="shared" si="52"/>
        <v>-0.50000000000238742</v>
      </c>
      <c r="AD75" s="85">
        <f t="shared" si="53"/>
        <v>-51309.19999999999</v>
      </c>
      <c r="AE75" s="86">
        <v>91.743899999999996</v>
      </c>
      <c r="AF75" s="85">
        <f t="shared" si="54"/>
        <v>-0.60000000000570708</v>
      </c>
      <c r="AG75" s="85">
        <f t="shared" si="55"/>
        <v>-51309.799999999996</v>
      </c>
      <c r="AH75" s="95" t="str">
        <f t="shared" si="56"/>
        <v>5.10.</v>
      </c>
      <c r="AI75" s="87"/>
      <c r="AJ75" s="90">
        <f>(L80-L81)/AJ80</f>
        <v>-3.7499999999823785E-4</v>
      </c>
      <c r="AK75" s="89" t="s">
        <v>126</v>
      </c>
      <c r="AL75" s="77">
        <v>0</v>
      </c>
      <c r="AM75" s="77">
        <v>-5.7999999999651664</v>
      </c>
      <c r="AN75" s="77">
        <v>-7.2999999999865395</v>
      </c>
    </row>
    <row r="76" spans="3:47" ht="15.6" x14ac:dyDescent="0.25">
      <c r="C76" s="95" t="s">
        <v>127</v>
      </c>
      <c r="D76" s="84">
        <v>143.06270000000001</v>
      </c>
      <c r="E76" s="85">
        <v>0</v>
      </c>
      <c r="F76" s="85">
        <v>0</v>
      </c>
      <c r="G76" s="84">
        <v>143.05720000000002</v>
      </c>
      <c r="H76" s="85">
        <f t="shared" si="38"/>
        <v>-5.4999999999836291</v>
      </c>
      <c r="I76" s="85">
        <f t="shared" si="39"/>
        <v>-5.4999999999836291</v>
      </c>
      <c r="J76" s="84">
        <v>143.0558</v>
      </c>
      <c r="K76" s="85">
        <f t="shared" si="40"/>
        <v>-1.4000000000180535</v>
      </c>
      <c r="L76" s="85">
        <f t="shared" si="41"/>
        <v>-6.9000000000016826</v>
      </c>
      <c r="M76" s="84">
        <v>143.05420000000001</v>
      </c>
      <c r="N76" s="85">
        <f t="shared" si="42"/>
        <v>-1.5999999999962711</v>
      </c>
      <c r="O76" s="85">
        <f t="shared" si="43"/>
        <v>-8.4999999999979536</v>
      </c>
      <c r="P76" s="84">
        <v>91.731999999999999</v>
      </c>
      <c r="Q76" s="85">
        <f t="shared" si="44"/>
        <v>-51322.200000000012</v>
      </c>
      <c r="R76" s="85">
        <f t="shared" si="45"/>
        <v>-51330.700000000012</v>
      </c>
      <c r="S76" s="84">
        <v>91.730900000000005</v>
      </c>
      <c r="T76" s="85">
        <f t="shared" si="46"/>
        <v>-1.0999999999938836</v>
      </c>
      <c r="U76" s="85">
        <f t="shared" si="47"/>
        <v>-51331.8</v>
      </c>
      <c r="V76" s="84">
        <v>91.729900000000001</v>
      </c>
      <c r="W76" s="85">
        <f t="shared" si="48"/>
        <v>-1.0000000000047748</v>
      </c>
      <c r="X76" s="85">
        <f t="shared" si="49"/>
        <v>-51332.80000000001</v>
      </c>
      <c r="Y76" s="86">
        <v>91.729200000000006</v>
      </c>
      <c r="Z76" s="85">
        <f t="shared" si="50"/>
        <v>-0.69999999999481588</v>
      </c>
      <c r="AA76" s="85">
        <f t="shared" si="51"/>
        <v>-51333.500000000007</v>
      </c>
      <c r="AB76" s="86">
        <v>91.728800000000007</v>
      </c>
      <c r="AC76" s="85">
        <f t="shared" si="52"/>
        <v>-0.39999999999906777</v>
      </c>
      <c r="AD76" s="85">
        <f t="shared" si="53"/>
        <v>-51333.900000000009</v>
      </c>
      <c r="AE76" s="86">
        <v>91.728099999999998</v>
      </c>
      <c r="AF76" s="85">
        <f t="shared" si="54"/>
        <v>-0.70000000000902673</v>
      </c>
      <c r="AG76" s="85">
        <f t="shared" si="55"/>
        <v>-51334.60000000002</v>
      </c>
      <c r="AH76" s="95" t="str">
        <f t="shared" si="56"/>
        <v>5.11.</v>
      </c>
      <c r="AI76" s="87"/>
      <c r="AK76" s="89" t="s">
        <v>127</v>
      </c>
      <c r="AL76" s="77">
        <v>0</v>
      </c>
      <c r="AM76" s="77">
        <v>-5.4999999999836291</v>
      </c>
      <c r="AN76" s="77">
        <v>-6.9000000000016826</v>
      </c>
    </row>
    <row r="77" spans="3:47" ht="15.6" x14ac:dyDescent="0.25">
      <c r="C77" s="95" t="s">
        <v>128</v>
      </c>
      <c r="D77" s="84">
        <v>143.11340000000001</v>
      </c>
      <c r="E77" s="85">
        <v>0</v>
      </c>
      <c r="F77" s="85">
        <v>0</v>
      </c>
      <c r="G77" s="84">
        <v>143.10930000000002</v>
      </c>
      <c r="H77" s="85">
        <f t="shared" si="38"/>
        <v>-4.0999999999939973</v>
      </c>
      <c r="I77" s="85">
        <f t="shared" si="39"/>
        <v>-4.0999999999939973</v>
      </c>
      <c r="J77" s="84">
        <v>143.107</v>
      </c>
      <c r="K77" s="85">
        <f t="shared" si="40"/>
        <v>-2.3000000000195087</v>
      </c>
      <c r="L77" s="85">
        <f t="shared" si="41"/>
        <v>-6.400000000013506</v>
      </c>
      <c r="M77" s="84">
        <v>143.1052</v>
      </c>
      <c r="N77" s="85">
        <f t="shared" si="42"/>
        <v>-1.8000000000029104</v>
      </c>
      <c r="O77" s="85">
        <f t="shared" si="43"/>
        <v>-8.2000000000164164</v>
      </c>
      <c r="P77" s="84">
        <v>91.621200000000002</v>
      </c>
      <c r="Q77" s="85">
        <f t="shared" si="44"/>
        <v>-51483.999999999993</v>
      </c>
      <c r="R77" s="85">
        <f t="shared" si="45"/>
        <v>-51492.200000000012</v>
      </c>
      <c r="S77" s="84">
        <v>91.62</v>
      </c>
      <c r="T77" s="85">
        <f t="shared" si="46"/>
        <v>-1.1999999999972033</v>
      </c>
      <c r="U77" s="85">
        <f t="shared" si="47"/>
        <v>-51493.400000000009</v>
      </c>
      <c r="V77" s="84">
        <v>91.619100000000003</v>
      </c>
      <c r="W77" s="85">
        <f t="shared" si="48"/>
        <v>-0.90000000000145519</v>
      </c>
      <c r="X77" s="85">
        <f t="shared" si="49"/>
        <v>-51494.30000000001</v>
      </c>
      <c r="Y77" s="86">
        <v>91.618300000000005</v>
      </c>
      <c r="Z77" s="85">
        <f t="shared" si="50"/>
        <v>-0.79999999999813554</v>
      </c>
      <c r="AA77" s="85">
        <f t="shared" si="51"/>
        <v>-51495.100000000006</v>
      </c>
      <c r="AB77" s="86">
        <v>91.617800000000003</v>
      </c>
      <c r="AC77" s="85">
        <f t="shared" si="52"/>
        <v>-0.50000000000238742</v>
      </c>
      <c r="AD77" s="85">
        <f t="shared" si="53"/>
        <v>-51495.600000000006</v>
      </c>
      <c r="AE77" s="86">
        <v>91.617199999999997</v>
      </c>
      <c r="AF77" s="85">
        <f t="shared" si="54"/>
        <v>-0.60000000000570708</v>
      </c>
      <c r="AG77" s="85">
        <f t="shared" si="55"/>
        <v>-51496.200000000012</v>
      </c>
      <c r="AH77" s="95" t="str">
        <f t="shared" si="56"/>
        <v>5.12.</v>
      </c>
      <c r="AI77" s="87"/>
      <c r="AK77" s="89" t="s">
        <v>128</v>
      </c>
      <c r="AL77" s="77">
        <v>0</v>
      </c>
      <c r="AM77" s="77">
        <v>-4.0999999999939973</v>
      </c>
      <c r="AN77" s="77">
        <v>-6.400000000013506</v>
      </c>
    </row>
    <row r="78" spans="3:47" ht="15.6" x14ac:dyDescent="0.25">
      <c r="C78" s="95" t="s">
        <v>129</v>
      </c>
      <c r="D78" s="84">
        <v>144.29070000000002</v>
      </c>
      <c r="E78" s="85">
        <v>0</v>
      </c>
      <c r="F78" s="85">
        <v>0</v>
      </c>
      <c r="G78" s="84">
        <v>144.28700000000001</v>
      </c>
      <c r="H78" s="85">
        <f t="shared" si="38"/>
        <v>-3.7000000000091404</v>
      </c>
      <c r="I78" s="85">
        <f t="shared" si="39"/>
        <v>-3.7000000000091404</v>
      </c>
      <c r="J78" s="84">
        <v>144.28489999999999</v>
      </c>
      <c r="K78" s="85">
        <f t="shared" si="40"/>
        <v>-2.1000000000128694</v>
      </c>
      <c r="L78" s="85">
        <f t="shared" si="41"/>
        <v>-5.8000000000220098</v>
      </c>
      <c r="M78" s="84">
        <v>144.28399999999999</v>
      </c>
      <c r="N78" s="85">
        <f t="shared" si="42"/>
        <v>-0.90000000000145519</v>
      </c>
      <c r="O78" s="85">
        <f t="shared" si="43"/>
        <v>-6.700000000023465</v>
      </c>
      <c r="P78" s="84">
        <v>91.581299999999999</v>
      </c>
      <c r="Q78" s="85">
        <f t="shared" si="44"/>
        <v>-52702.69999999999</v>
      </c>
      <c r="R78" s="85">
        <f t="shared" si="45"/>
        <v>-52709.400000000016</v>
      </c>
      <c r="S78" s="84">
        <v>91.580200000000005</v>
      </c>
      <c r="T78" s="85">
        <f t="shared" si="46"/>
        <v>-1.0999999999938836</v>
      </c>
      <c r="U78" s="85">
        <f t="shared" si="47"/>
        <v>-52710.500000000007</v>
      </c>
      <c r="V78" s="84">
        <v>91.579499999999996</v>
      </c>
      <c r="W78" s="85">
        <f t="shared" si="48"/>
        <v>-0.70000000000902673</v>
      </c>
      <c r="X78" s="85">
        <f t="shared" si="49"/>
        <v>-52711.200000000019</v>
      </c>
      <c r="Y78" s="86">
        <v>91.578900000000004</v>
      </c>
      <c r="Z78" s="85">
        <f t="shared" si="50"/>
        <v>-0.59999999999149622</v>
      </c>
      <c r="AA78" s="85">
        <f t="shared" si="51"/>
        <v>-52711.80000000001</v>
      </c>
      <c r="AB78" s="86">
        <v>91.578500000000005</v>
      </c>
      <c r="AC78" s="85">
        <f t="shared" si="52"/>
        <v>-0.39999999999906777</v>
      </c>
      <c r="AD78" s="85">
        <f t="shared" si="53"/>
        <v>-52712.200000000012</v>
      </c>
      <c r="AE78" s="86">
        <v>91.578000000000003</v>
      </c>
      <c r="AF78" s="85">
        <f t="shared" si="54"/>
        <v>-0.50000000000238742</v>
      </c>
      <c r="AG78" s="85">
        <f t="shared" si="55"/>
        <v>-52712.700000000012</v>
      </c>
      <c r="AH78" s="95" t="str">
        <f t="shared" si="56"/>
        <v>5.13.</v>
      </c>
      <c r="AI78" s="87"/>
      <c r="AK78" s="89" t="s">
        <v>129</v>
      </c>
      <c r="AL78" s="77">
        <v>0</v>
      </c>
      <c r="AM78" s="77">
        <v>-3.7000000000091404</v>
      </c>
      <c r="AN78" s="77">
        <v>-5.8000000000220098</v>
      </c>
    </row>
    <row r="79" spans="3:47" ht="15.6" x14ac:dyDescent="0.25">
      <c r="C79" s="95" t="s">
        <v>130</v>
      </c>
      <c r="D79" s="84">
        <v>144.3246</v>
      </c>
      <c r="E79" s="85">
        <v>0</v>
      </c>
      <c r="F79" s="85">
        <v>0</v>
      </c>
      <c r="G79" s="84">
        <v>144.32050000000001</v>
      </c>
      <c r="H79" s="85">
        <f t="shared" si="38"/>
        <v>-4.0999999999939973</v>
      </c>
      <c r="I79" s="85">
        <f t="shared" si="39"/>
        <v>-4.0999999999939973</v>
      </c>
      <c r="J79" s="84">
        <v>144.3192</v>
      </c>
      <c r="K79" s="85">
        <f t="shared" si="40"/>
        <v>-1.3000000000147338</v>
      </c>
      <c r="L79" s="85">
        <f t="shared" si="41"/>
        <v>-5.4000000000087311</v>
      </c>
      <c r="M79" s="84">
        <v>144.31829999999999</v>
      </c>
      <c r="N79" s="85">
        <f t="shared" si="42"/>
        <v>-0.90000000000145519</v>
      </c>
      <c r="O79" s="85">
        <f t="shared" si="43"/>
        <v>-6.3000000000101863</v>
      </c>
      <c r="P79" s="84">
        <v>91.644499999999994</v>
      </c>
      <c r="Q79" s="85">
        <f t="shared" si="44"/>
        <v>-52673.8</v>
      </c>
      <c r="R79" s="85">
        <f t="shared" si="45"/>
        <v>-52680.100000000013</v>
      </c>
      <c r="S79" s="84">
        <v>91.643600000000006</v>
      </c>
      <c r="T79" s="85">
        <f t="shared" si="46"/>
        <v>-0.89999999998724434</v>
      </c>
      <c r="U79" s="85">
        <f t="shared" si="47"/>
        <v>-52681</v>
      </c>
      <c r="V79" s="84">
        <v>91.6434</v>
      </c>
      <c r="W79" s="85">
        <f t="shared" si="48"/>
        <v>-0.20000000000663931</v>
      </c>
      <c r="X79" s="85">
        <f t="shared" si="49"/>
        <v>-52681.200000000004</v>
      </c>
      <c r="Y79" s="86">
        <v>91.642600000000002</v>
      </c>
      <c r="Z79" s="85">
        <f t="shared" si="50"/>
        <v>-0.79999999999813554</v>
      </c>
      <c r="AA79" s="85">
        <f t="shared" si="51"/>
        <v>-52682</v>
      </c>
      <c r="AB79" s="86">
        <v>91.641999999999996</v>
      </c>
      <c r="AC79" s="85">
        <f t="shared" si="52"/>
        <v>-0.60000000000570708</v>
      </c>
      <c r="AD79" s="85">
        <f t="shared" si="53"/>
        <v>-52682.600000000006</v>
      </c>
      <c r="AE79" s="86">
        <v>91.641300000000001</v>
      </c>
      <c r="AF79" s="85">
        <f t="shared" si="54"/>
        <v>-0.69999999999481588</v>
      </c>
      <c r="AG79" s="85">
        <f t="shared" si="55"/>
        <v>-52683.3</v>
      </c>
      <c r="AH79" s="95" t="str">
        <f t="shared" si="56"/>
        <v>5.14.</v>
      </c>
      <c r="AI79" s="87"/>
      <c r="AK79" s="89" t="s">
        <v>130</v>
      </c>
      <c r="AL79" s="77">
        <v>0</v>
      </c>
      <c r="AM79" s="77">
        <v>-4.0999999999939973</v>
      </c>
      <c r="AN79" s="77">
        <v>-5.4000000000087311</v>
      </c>
    </row>
    <row r="80" spans="3:47" ht="15.6" x14ac:dyDescent="0.25">
      <c r="C80" s="95" t="s">
        <v>131</v>
      </c>
      <c r="D80" s="84">
        <v>144.2611</v>
      </c>
      <c r="E80" s="85">
        <v>0</v>
      </c>
      <c r="F80" s="85">
        <v>0</v>
      </c>
      <c r="G80" s="84">
        <v>144.25540000000001</v>
      </c>
      <c r="H80" s="85">
        <f t="shared" si="38"/>
        <v>-5.6999999999902684</v>
      </c>
      <c r="I80" s="85">
        <f t="shared" si="39"/>
        <v>-5.6999999999902684</v>
      </c>
      <c r="J80" s="84">
        <v>144.25360000000001</v>
      </c>
      <c r="K80" s="85">
        <f t="shared" si="40"/>
        <v>-1.8000000000029104</v>
      </c>
      <c r="L80" s="115">
        <f t="shared" si="41"/>
        <v>-7.4999999999931788</v>
      </c>
      <c r="M80" s="84">
        <v>144.2535</v>
      </c>
      <c r="N80" s="85">
        <f t="shared" si="42"/>
        <v>-0.10000000000331966</v>
      </c>
      <c r="O80" s="85">
        <f t="shared" si="43"/>
        <v>-7.5999999999964984</v>
      </c>
      <c r="P80" s="84">
        <v>91.707599999999999</v>
      </c>
      <c r="Q80" s="85">
        <f t="shared" si="44"/>
        <v>-52545.9</v>
      </c>
      <c r="R80" s="85">
        <f t="shared" si="45"/>
        <v>-52553.5</v>
      </c>
      <c r="S80" s="84">
        <v>91.706999999999994</v>
      </c>
      <c r="T80" s="85">
        <f t="shared" si="46"/>
        <v>-0.60000000000570708</v>
      </c>
      <c r="U80" s="85">
        <f t="shared" si="47"/>
        <v>-52554.100000000006</v>
      </c>
      <c r="V80" s="84">
        <v>91.706400000000002</v>
      </c>
      <c r="W80" s="85">
        <f t="shared" si="48"/>
        <v>-0.59999999999149622</v>
      </c>
      <c r="X80" s="85">
        <f t="shared" si="49"/>
        <v>-52554.7</v>
      </c>
      <c r="Y80" s="86">
        <v>91.705799999999996</v>
      </c>
      <c r="Z80" s="85">
        <f t="shared" si="50"/>
        <v>-0.60000000000570708</v>
      </c>
      <c r="AA80" s="85">
        <f t="shared" si="51"/>
        <v>-52555.3</v>
      </c>
      <c r="AB80" s="86">
        <v>91.705299999999994</v>
      </c>
      <c r="AC80" s="85">
        <f t="shared" si="52"/>
        <v>-0.50000000000238742</v>
      </c>
      <c r="AD80" s="85">
        <f t="shared" si="53"/>
        <v>-52555.8</v>
      </c>
      <c r="AE80" s="86">
        <v>91.704499999999996</v>
      </c>
      <c r="AF80" s="85">
        <f t="shared" si="54"/>
        <v>-0.79999999999813554</v>
      </c>
      <c r="AG80" s="85">
        <f t="shared" si="55"/>
        <v>-52556.6</v>
      </c>
      <c r="AH80" s="95" t="str">
        <f t="shared" si="56"/>
        <v>5.15.</v>
      </c>
      <c r="AI80" s="87"/>
      <c r="AJ80" s="77">
        <v>8000</v>
      </c>
      <c r="AK80" s="89" t="s">
        <v>131</v>
      </c>
      <c r="AL80" s="77">
        <v>0</v>
      </c>
      <c r="AM80" s="77">
        <v>-5.6999999999902684</v>
      </c>
      <c r="AN80" s="77">
        <v>-7.4999999999931788</v>
      </c>
    </row>
    <row r="81" spans="3:40" ht="15.6" x14ac:dyDescent="0.25">
      <c r="C81" s="95" t="s">
        <v>132</v>
      </c>
      <c r="D81" s="84">
        <v>142.9307</v>
      </c>
      <c r="E81" s="85">
        <v>0</v>
      </c>
      <c r="F81" s="85">
        <v>0</v>
      </c>
      <c r="G81" s="84">
        <v>142.92710000000002</v>
      </c>
      <c r="H81" s="85">
        <f t="shared" si="38"/>
        <v>-3.5999999999773991</v>
      </c>
      <c r="I81" s="85">
        <f t="shared" si="39"/>
        <v>-3.5999999999773991</v>
      </c>
      <c r="J81" s="84">
        <v>142.92619999999999</v>
      </c>
      <c r="K81" s="85">
        <f t="shared" si="40"/>
        <v>-0.9000000000298769</v>
      </c>
      <c r="L81" s="85">
        <f t="shared" si="41"/>
        <v>-4.500000000007276</v>
      </c>
      <c r="M81" s="84">
        <v>142.92590000000001</v>
      </c>
      <c r="N81" s="85">
        <f t="shared" si="42"/>
        <v>-0.29999999998153726</v>
      </c>
      <c r="O81" s="85">
        <f t="shared" si="43"/>
        <v>-4.7999999999888132</v>
      </c>
      <c r="P81" s="84">
        <v>91.763999999999996</v>
      </c>
      <c r="Q81" s="85">
        <f t="shared" si="44"/>
        <v>-51161.900000000016</v>
      </c>
      <c r="R81" s="85">
        <f t="shared" si="45"/>
        <v>-51166.700000000004</v>
      </c>
      <c r="S81" s="84">
        <v>91.763099999999994</v>
      </c>
      <c r="T81" s="85">
        <f t="shared" si="46"/>
        <v>-0.90000000000145519</v>
      </c>
      <c r="U81" s="85">
        <f t="shared" si="47"/>
        <v>-51167.600000000006</v>
      </c>
      <c r="V81" s="84">
        <v>91.762699999999995</v>
      </c>
      <c r="W81" s="85">
        <f t="shared" si="48"/>
        <v>-0.39999999999906777</v>
      </c>
      <c r="X81" s="85">
        <f t="shared" si="49"/>
        <v>-51168.000000000007</v>
      </c>
      <c r="Y81" s="86">
        <v>91.762</v>
      </c>
      <c r="Z81" s="85">
        <f t="shared" si="50"/>
        <v>-0.69999999999481588</v>
      </c>
      <c r="AA81" s="85">
        <f t="shared" si="51"/>
        <v>-51168.700000000004</v>
      </c>
      <c r="AB81" s="86">
        <v>91.761499999999998</v>
      </c>
      <c r="AC81" s="85">
        <f t="shared" si="52"/>
        <v>-0.50000000000238742</v>
      </c>
      <c r="AD81" s="85">
        <f t="shared" si="53"/>
        <v>-51169.200000000004</v>
      </c>
      <c r="AE81" s="86">
        <v>91.760900000000007</v>
      </c>
      <c r="AF81" s="85">
        <f t="shared" si="54"/>
        <v>-0.59999999999149622</v>
      </c>
      <c r="AG81" s="85">
        <f t="shared" si="55"/>
        <v>-51169.799999999996</v>
      </c>
      <c r="AH81" s="95" t="str">
        <f t="shared" si="56"/>
        <v>5.16.</v>
      </c>
      <c r="AI81" s="87"/>
      <c r="AJ81" s="77" t="s">
        <v>215</v>
      </c>
      <c r="AK81" s="89" t="s">
        <v>132</v>
      </c>
      <c r="AL81" s="77">
        <v>0</v>
      </c>
      <c r="AM81" s="77">
        <v>-3.5999999999773991</v>
      </c>
      <c r="AN81" s="77">
        <v>-4.500000000007276</v>
      </c>
    </row>
    <row r="82" spans="3:40" ht="15.6" x14ac:dyDescent="0.25">
      <c r="C82" s="95" t="s">
        <v>133</v>
      </c>
      <c r="D82" s="84">
        <v>143.16730000000001</v>
      </c>
      <c r="E82" s="85">
        <v>0</v>
      </c>
      <c r="F82" s="85">
        <v>0</v>
      </c>
      <c r="G82" s="84">
        <v>143.16300000000001</v>
      </c>
      <c r="H82" s="85">
        <f t="shared" si="38"/>
        <v>-4.3000000000006366</v>
      </c>
      <c r="I82" s="85">
        <f t="shared" si="39"/>
        <v>-4.3000000000006366</v>
      </c>
      <c r="J82" s="84">
        <v>143.1619</v>
      </c>
      <c r="K82" s="85">
        <f t="shared" si="40"/>
        <v>-1.1000000000080945</v>
      </c>
      <c r="L82" s="85">
        <f t="shared" si="41"/>
        <v>-5.4000000000087311</v>
      </c>
      <c r="M82" s="84">
        <v>143.1611</v>
      </c>
      <c r="N82" s="85">
        <f t="shared" si="42"/>
        <v>-0.79999999999813554</v>
      </c>
      <c r="O82" s="85">
        <f t="shared" si="43"/>
        <v>-6.2000000000068667</v>
      </c>
      <c r="P82" s="84">
        <v>91.768600000000006</v>
      </c>
      <c r="Q82" s="85">
        <f t="shared" si="44"/>
        <v>-51392.5</v>
      </c>
      <c r="R82" s="85">
        <f t="shared" si="45"/>
        <v>-51398.700000000004</v>
      </c>
      <c r="S82" s="84">
        <v>91.767799999999994</v>
      </c>
      <c r="T82" s="85">
        <f t="shared" si="46"/>
        <v>-0.80000000001234639</v>
      </c>
      <c r="U82" s="85">
        <f t="shared" si="47"/>
        <v>-51399.500000000015</v>
      </c>
      <c r="V82" s="84">
        <v>91.767200000000003</v>
      </c>
      <c r="W82" s="85">
        <f t="shared" si="48"/>
        <v>-0.59999999999149622</v>
      </c>
      <c r="X82" s="85">
        <f t="shared" si="49"/>
        <v>-51400.100000000006</v>
      </c>
      <c r="Y82" s="86">
        <v>91.766599999999997</v>
      </c>
      <c r="Z82" s="85">
        <f t="shared" si="50"/>
        <v>-0.60000000000570708</v>
      </c>
      <c r="AA82" s="85">
        <f t="shared" si="51"/>
        <v>-51400.700000000012</v>
      </c>
      <c r="AB82" s="86">
        <v>91.766000000000005</v>
      </c>
      <c r="AC82" s="85">
        <f t="shared" si="52"/>
        <v>-0.59999999999149622</v>
      </c>
      <c r="AD82" s="85">
        <f t="shared" si="53"/>
        <v>-51401.3</v>
      </c>
      <c r="AE82" s="86">
        <v>91.765500000000003</v>
      </c>
      <c r="AF82" s="85">
        <f t="shared" si="54"/>
        <v>-0.50000000000238742</v>
      </c>
      <c r="AG82" s="85">
        <f t="shared" si="55"/>
        <v>-51401.8</v>
      </c>
      <c r="AH82" s="95" t="str">
        <f t="shared" si="56"/>
        <v>5.17.</v>
      </c>
      <c r="AI82" s="87"/>
      <c r="AK82" s="89" t="s">
        <v>133</v>
      </c>
      <c r="AL82" s="77">
        <v>0</v>
      </c>
      <c r="AM82" s="77">
        <v>-4.3000000000006366</v>
      </c>
      <c r="AN82" s="77">
        <v>-5.4000000000087311</v>
      </c>
    </row>
    <row r="83" spans="3:40" ht="15.6" x14ac:dyDescent="0.25">
      <c r="C83" s="95" t="s">
        <v>134</v>
      </c>
      <c r="D83" s="84">
        <v>143.10640000000001</v>
      </c>
      <c r="E83" s="85">
        <v>0</v>
      </c>
      <c r="F83" s="85">
        <v>0</v>
      </c>
      <c r="G83" s="84">
        <v>143.10320000000002</v>
      </c>
      <c r="H83" s="85">
        <f t="shared" si="38"/>
        <v>-3.1999999999925421</v>
      </c>
      <c r="I83" s="85">
        <f t="shared" si="39"/>
        <v>-3.1999999999925421</v>
      </c>
      <c r="J83" s="84">
        <v>143.10169999999999</v>
      </c>
      <c r="K83" s="85">
        <f t="shared" si="40"/>
        <v>-1.5000000000213731</v>
      </c>
      <c r="L83" s="85">
        <f t="shared" si="41"/>
        <v>-4.7000000000139153</v>
      </c>
      <c r="M83" s="84">
        <v>143.1011</v>
      </c>
      <c r="N83" s="85">
        <f t="shared" si="42"/>
        <v>-0.59999999999149622</v>
      </c>
      <c r="O83" s="85">
        <f t="shared" si="43"/>
        <v>-5.3000000000054115</v>
      </c>
      <c r="P83" s="84">
        <v>91.643699999999995</v>
      </c>
      <c r="Q83" s="85">
        <f t="shared" si="44"/>
        <v>-51457.400000000009</v>
      </c>
      <c r="R83" s="85">
        <f t="shared" si="45"/>
        <v>-51462.700000000012</v>
      </c>
      <c r="S83" s="84">
        <v>91.643000000000001</v>
      </c>
      <c r="T83" s="85">
        <f t="shared" si="46"/>
        <v>-0.69999999999481588</v>
      </c>
      <c r="U83" s="85">
        <f t="shared" si="47"/>
        <v>-51463.400000000009</v>
      </c>
      <c r="V83" s="84">
        <v>91.642399999999995</v>
      </c>
      <c r="W83" s="85">
        <f t="shared" si="48"/>
        <v>-0.60000000000570708</v>
      </c>
      <c r="X83" s="85">
        <f t="shared" si="49"/>
        <v>-51464.000000000015</v>
      </c>
      <c r="Y83" s="86">
        <v>91.641999999999996</v>
      </c>
      <c r="Z83" s="85">
        <f t="shared" si="50"/>
        <v>-0.39999999999906777</v>
      </c>
      <c r="AA83" s="85">
        <f t="shared" si="51"/>
        <v>-51464.400000000016</v>
      </c>
      <c r="AB83" s="86">
        <v>91.641599999999997</v>
      </c>
      <c r="AC83" s="85">
        <f t="shared" si="52"/>
        <v>-0.39999999999906777</v>
      </c>
      <c r="AD83" s="85">
        <f t="shared" si="53"/>
        <v>-51464.800000000017</v>
      </c>
      <c r="AE83" s="86">
        <v>91.641000000000005</v>
      </c>
      <c r="AF83" s="85">
        <f t="shared" si="54"/>
        <v>-0.59999999999149622</v>
      </c>
      <c r="AG83" s="85">
        <f t="shared" si="55"/>
        <v>-51465.400000000009</v>
      </c>
      <c r="AH83" s="95" t="str">
        <f t="shared" si="56"/>
        <v>5.18.</v>
      </c>
      <c r="AI83" s="87"/>
      <c r="AK83" s="89" t="s">
        <v>134</v>
      </c>
      <c r="AL83" s="77">
        <v>0</v>
      </c>
      <c r="AM83" s="77">
        <v>-3.1999999999925421</v>
      </c>
      <c r="AN83" s="77">
        <v>-4.7000000000139153</v>
      </c>
    </row>
    <row r="84" spans="3:40" ht="15.6" x14ac:dyDescent="0.25">
      <c r="C84" s="95" t="s">
        <v>135</v>
      </c>
      <c r="D84" s="84">
        <v>142.9838</v>
      </c>
      <c r="E84" s="85">
        <v>0</v>
      </c>
      <c r="F84" s="85">
        <v>0</v>
      </c>
      <c r="G84" s="84">
        <v>142.98060000000001</v>
      </c>
      <c r="H84" s="85">
        <f t="shared" si="38"/>
        <v>-3.1999999999925421</v>
      </c>
      <c r="I84" s="85">
        <f t="shared" si="39"/>
        <v>-3.1999999999925421</v>
      </c>
      <c r="J84" s="84">
        <v>142.97980000000001</v>
      </c>
      <c r="K84" s="85">
        <f t="shared" si="40"/>
        <v>-0.79999999999813554</v>
      </c>
      <c r="L84" s="85">
        <f t="shared" si="41"/>
        <v>-3.9999999999906777</v>
      </c>
      <c r="M84" s="84">
        <v>142.97890000000001</v>
      </c>
      <c r="N84" s="85">
        <f t="shared" si="42"/>
        <v>-0.90000000000145519</v>
      </c>
      <c r="O84" s="85">
        <f t="shared" si="43"/>
        <v>-4.8999999999921329</v>
      </c>
      <c r="P84" s="84">
        <v>91.617400000000004</v>
      </c>
      <c r="Q84" s="85">
        <f t="shared" si="44"/>
        <v>-51361.500000000007</v>
      </c>
      <c r="R84" s="85">
        <f t="shared" si="45"/>
        <v>-51366.400000000001</v>
      </c>
      <c r="S84" s="84">
        <v>91.616600000000005</v>
      </c>
      <c r="T84" s="85">
        <f t="shared" si="46"/>
        <v>-0.79999999999813554</v>
      </c>
      <c r="U84" s="85">
        <f t="shared" si="47"/>
        <v>-51367.199999999997</v>
      </c>
      <c r="V84" s="84">
        <v>91.616100000000003</v>
      </c>
      <c r="W84" s="85">
        <f t="shared" si="48"/>
        <v>-0.50000000000238742</v>
      </c>
      <c r="X84" s="85">
        <f t="shared" si="49"/>
        <v>-51367.7</v>
      </c>
      <c r="Y84" s="86">
        <v>91.615499999999997</v>
      </c>
      <c r="Z84" s="85">
        <f t="shared" si="50"/>
        <v>-0.60000000000570708</v>
      </c>
      <c r="AA84" s="85">
        <f t="shared" si="51"/>
        <v>-51368.3</v>
      </c>
      <c r="AB84" s="86">
        <v>91.614900000000006</v>
      </c>
      <c r="AC84" s="85">
        <f t="shared" si="52"/>
        <v>-0.59999999999149622</v>
      </c>
      <c r="AD84" s="85">
        <f t="shared" si="53"/>
        <v>-51368.899999999994</v>
      </c>
      <c r="AE84" s="86">
        <v>91.614400000000003</v>
      </c>
      <c r="AF84" s="85">
        <f t="shared" si="54"/>
        <v>-0.50000000000238742</v>
      </c>
      <c r="AG84" s="85">
        <f t="shared" si="55"/>
        <v>-51369.399999999994</v>
      </c>
      <c r="AH84" s="95" t="str">
        <f t="shared" si="56"/>
        <v>5.19.</v>
      </c>
      <c r="AI84" s="88"/>
      <c r="AK84" s="89" t="s">
        <v>135</v>
      </c>
      <c r="AL84" s="77">
        <v>0</v>
      </c>
      <c r="AM84" s="77">
        <v>-3.1999999999925421</v>
      </c>
      <c r="AN84" s="77">
        <v>-3.9999999999906777</v>
      </c>
    </row>
    <row r="85" spans="3:40" ht="15.6" x14ac:dyDescent="0.25">
      <c r="C85" s="95" t="s">
        <v>136</v>
      </c>
      <c r="D85" s="84">
        <v>143.02880000000002</v>
      </c>
      <c r="E85" s="85">
        <v>0</v>
      </c>
      <c r="F85" s="85">
        <v>0</v>
      </c>
      <c r="G85" s="84">
        <v>143.02530000000002</v>
      </c>
      <c r="H85" s="85">
        <f t="shared" si="38"/>
        <v>-3.5000000000025011</v>
      </c>
      <c r="I85" s="85">
        <f t="shared" si="39"/>
        <v>-3.5000000000025011</v>
      </c>
      <c r="J85" s="84">
        <v>143.02369999999999</v>
      </c>
      <c r="K85" s="85">
        <f t="shared" si="40"/>
        <v>-1.6000000000246928</v>
      </c>
      <c r="L85" s="85">
        <f t="shared" si="41"/>
        <v>-5.1000000000271939</v>
      </c>
      <c r="M85" s="84">
        <v>143.023</v>
      </c>
      <c r="N85" s="85">
        <f t="shared" si="42"/>
        <v>-0.69999999999481588</v>
      </c>
      <c r="O85" s="85">
        <f t="shared" si="43"/>
        <v>-5.8000000000220098</v>
      </c>
      <c r="P85" s="84">
        <v>91.733500000000006</v>
      </c>
      <c r="Q85" s="85">
        <f t="shared" si="44"/>
        <v>-51289.499999999993</v>
      </c>
      <c r="R85" s="85">
        <f t="shared" si="45"/>
        <v>-51295.300000000017</v>
      </c>
      <c r="S85" s="84">
        <v>91.732600000000005</v>
      </c>
      <c r="T85" s="85">
        <f t="shared" si="46"/>
        <v>-0.90000000000145519</v>
      </c>
      <c r="U85" s="85">
        <f t="shared" si="47"/>
        <v>-51296.200000000019</v>
      </c>
      <c r="V85" s="84">
        <v>91.731800000000007</v>
      </c>
      <c r="W85" s="85">
        <f t="shared" si="48"/>
        <v>-0.79999999999813554</v>
      </c>
      <c r="X85" s="85">
        <f t="shared" si="49"/>
        <v>-51297.000000000015</v>
      </c>
      <c r="Y85" s="86">
        <v>91.731300000000005</v>
      </c>
      <c r="Z85" s="85">
        <f t="shared" si="50"/>
        <v>-0.50000000000238742</v>
      </c>
      <c r="AA85" s="85">
        <f t="shared" si="51"/>
        <v>-51297.500000000015</v>
      </c>
      <c r="AB85" s="86">
        <v>91.7316</v>
      </c>
      <c r="AC85" s="85">
        <f t="shared" si="52"/>
        <v>0.29999999999574811</v>
      </c>
      <c r="AD85" s="85">
        <f t="shared" si="53"/>
        <v>-51297.200000000019</v>
      </c>
      <c r="AE85" s="86">
        <v>91.730999999999995</v>
      </c>
      <c r="AF85" s="85">
        <f t="shared" si="54"/>
        <v>-0.60000000000570708</v>
      </c>
      <c r="AG85" s="85">
        <f t="shared" si="55"/>
        <v>-51297.800000000025</v>
      </c>
      <c r="AH85" s="95" t="str">
        <f t="shared" si="56"/>
        <v>5.20.</v>
      </c>
      <c r="AI85" s="87"/>
      <c r="AK85" s="89" t="s">
        <v>136</v>
      </c>
      <c r="AL85" s="77">
        <v>0</v>
      </c>
      <c r="AM85" s="77">
        <v>-3.5000000000025011</v>
      </c>
      <c r="AN85" s="77">
        <v>-5.1000000000271939</v>
      </c>
    </row>
    <row r="86" spans="3:40" ht="15.6" x14ac:dyDescent="0.25">
      <c r="C86" s="95" t="s">
        <v>137</v>
      </c>
      <c r="D86" s="84">
        <v>143.19300000000001</v>
      </c>
      <c r="E86" s="85">
        <v>0</v>
      </c>
      <c r="F86" s="85">
        <v>0</v>
      </c>
      <c r="G86" s="84">
        <v>143.18940000000001</v>
      </c>
      <c r="H86" s="85">
        <f t="shared" si="38"/>
        <v>-3.6000000000058208</v>
      </c>
      <c r="I86" s="85">
        <f t="shared" si="39"/>
        <v>-3.6000000000058208</v>
      </c>
      <c r="J86" s="84">
        <v>143.18809999999999</v>
      </c>
      <c r="K86" s="85">
        <f t="shared" si="40"/>
        <v>-1.3000000000147338</v>
      </c>
      <c r="L86" s="85">
        <f t="shared" si="41"/>
        <v>-4.9000000000205546</v>
      </c>
      <c r="M86" s="84">
        <v>143.18430000000001</v>
      </c>
      <c r="N86" s="85">
        <f t="shared" si="42"/>
        <v>-3.7999999999840384</v>
      </c>
      <c r="O86" s="85">
        <f t="shared" si="43"/>
        <v>-8.7000000000045929</v>
      </c>
      <c r="P86" s="84">
        <v>91.738699999999994</v>
      </c>
      <c r="Q86" s="85">
        <f t="shared" si="44"/>
        <v>-51445.600000000013</v>
      </c>
      <c r="R86" s="85">
        <f t="shared" si="45"/>
        <v>-51454.300000000017</v>
      </c>
      <c r="S86" s="84">
        <v>91.737799999999993</v>
      </c>
      <c r="T86" s="85">
        <f t="shared" si="46"/>
        <v>-0.90000000000145519</v>
      </c>
      <c r="U86" s="85">
        <f t="shared" si="47"/>
        <v>-51455.200000000019</v>
      </c>
      <c r="V86" s="84">
        <v>91.736900000000006</v>
      </c>
      <c r="W86" s="85">
        <f t="shared" si="48"/>
        <v>-0.89999999998724434</v>
      </c>
      <c r="X86" s="85">
        <f t="shared" si="49"/>
        <v>-51456.100000000006</v>
      </c>
      <c r="Y86" s="86">
        <v>91.736099999999993</v>
      </c>
      <c r="Z86" s="85">
        <f t="shared" si="50"/>
        <v>-0.80000000001234639</v>
      </c>
      <c r="AA86" s="85">
        <f t="shared" si="51"/>
        <v>-51456.900000000016</v>
      </c>
      <c r="AB86" s="86">
        <v>91.736000000000004</v>
      </c>
      <c r="AC86" s="85">
        <f t="shared" si="52"/>
        <v>-9.9999999989108801E-2</v>
      </c>
      <c r="AD86" s="85">
        <f t="shared" si="53"/>
        <v>-51457.000000000007</v>
      </c>
      <c r="AE86" s="86">
        <v>91.735299999999995</v>
      </c>
      <c r="AF86" s="85">
        <f t="shared" si="54"/>
        <v>-0.70000000000902673</v>
      </c>
      <c r="AG86" s="85">
        <f t="shared" si="55"/>
        <v>-51457.700000000019</v>
      </c>
      <c r="AH86" s="95" t="str">
        <f t="shared" si="56"/>
        <v>5.21.</v>
      </c>
      <c r="AI86" s="87"/>
      <c r="AJ86" s="90"/>
      <c r="AK86" s="89" t="s">
        <v>137</v>
      </c>
      <c r="AL86" s="77">
        <v>0</v>
      </c>
      <c r="AM86" s="77">
        <v>-3.6000000000058208</v>
      </c>
      <c r="AN86" s="77">
        <v>-4.9000000000205546</v>
      </c>
    </row>
    <row r="87" spans="3:40" ht="15.6" x14ac:dyDescent="0.25">
      <c r="C87" s="95" t="s">
        <v>138</v>
      </c>
      <c r="D87" s="84">
        <v>143.10410000000002</v>
      </c>
      <c r="E87" s="85">
        <v>0</v>
      </c>
      <c r="F87" s="85">
        <v>0</v>
      </c>
      <c r="G87" s="84">
        <v>143.09980000000002</v>
      </c>
      <c r="H87" s="85">
        <f t="shared" si="38"/>
        <v>-4.3000000000006366</v>
      </c>
      <c r="I87" s="85">
        <f t="shared" si="39"/>
        <v>-4.3000000000006366</v>
      </c>
      <c r="J87" s="84">
        <v>143.0984</v>
      </c>
      <c r="K87" s="85">
        <f t="shared" si="40"/>
        <v>-1.4000000000180535</v>
      </c>
      <c r="L87" s="85">
        <f t="shared" si="41"/>
        <v>-5.7000000000186901</v>
      </c>
      <c r="M87" s="84">
        <v>143.09559999999999</v>
      </c>
      <c r="N87" s="85">
        <f t="shared" si="42"/>
        <v>-2.8000000000076852</v>
      </c>
      <c r="O87" s="85">
        <f t="shared" si="43"/>
        <v>-8.5000000000263753</v>
      </c>
      <c r="P87" s="84">
        <v>91.728300000000004</v>
      </c>
      <c r="Q87" s="85">
        <f t="shared" si="44"/>
        <v>-51367.299999999988</v>
      </c>
      <c r="R87" s="85">
        <f t="shared" si="45"/>
        <v>-51375.800000000017</v>
      </c>
      <c r="S87" s="84">
        <v>91.727000000000004</v>
      </c>
      <c r="T87" s="85">
        <f t="shared" si="46"/>
        <v>-1.300000000000523</v>
      </c>
      <c r="U87" s="85">
        <f t="shared" si="47"/>
        <v>-51377.10000000002</v>
      </c>
      <c r="V87" s="84">
        <v>91.725999999999999</v>
      </c>
      <c r="W87" s="85">
        <f t="shared" si="48"/>
        <v>-1.0000000000047748</v>
      </c>
      <c r="X87" s="85">
        <f t="shared" si="49"/>
        <v>-51378.100000000028</v>
      </c>
      <c r="Y87" s="86">
        <v>91.725399999999993</v>
      </c>
      <c r="Z87" s="85">
        <f t="shared" si="50"/>
        <v>-0.60000000000570708</v>
      </c>
      <c r="AA87" s="85">
        <f t="shared" si="51"/>
        <v>-51378.700000000033</v>
      </c>
      <c r="AB87" s="86">
        <v>91.725700000000003</v>
      </c>
      <c r="AC87" s="85">
        <f t="shared" si="52"/>
        <v>0.30000000000995897</v>
      </c>
      <c r="AD87" s="85">
        <f t="shared" si="53"/>
        <v>-51378.400000000023</v>
      </c>
      <c r="AE87" s="86">
        <v>91.725300000000004</v>
      </c>
      <c r="AF87" s="85">
        <f t="shared" si="54"/>
        <v>-0.39999999999906777</v>
      </c>
      <c r="AG87" s="85">
        <f t="shared" si="55"/>
        <v>-51378.800000000025</v>
      </c>
      <c r="AH87" s="95" t="str">
        <f t="shared" si="56"/>
        <v>5.22.</v>
      </c>
      <c r="AI87" s="87"/>
      <c r="AK87" s="89" t="s">
        <v>138</v>
      </c>
      <c r="AL87" s="77">
        <v>0</v>
      </c>
      <c r="AM87" s="77">
        <v>-4.3000000000006366</v>
      </c>
      <c r="AN87" s="77">
        <v>-5.7000000000186901</v>
      </c>
    </row>
    <row r="88" spans="3:40" ht="15.6" x14ac:dyDescent="0.25">
      <c r="C88" s="125" t="s">
        <v>139</v>
      </c>
      <c r="D88" s="84">
        <v>144.00489999999999</v>
      </c>
      <c r="E88" s="85">
        <v>0</v>
      </c>
      <c r="F88" s="85">
        <v>0</v>
      </c>
      <c r="G88" s="84">
        <v>144.00130000000001</v>
      </c>
      <c r="H88" s="85">
        <f t="shared" si="38"/>
        <v>-3.5999999999773991</v>
      </c>
      <c r="I88" s="85">
        <f t="shared" si="39"/>
        <v>-3.5999999999773991</v>
      </c>
      <c r="J88" s="84">
        <v>144.00020000000001</v>
      </c>
      <c r="K88" s="85">
        <f t="shared" si="40"/>
        <v>-1.1000000000080945</v>
      </c>
      <c r="L88" s="85">
        <f t="shared" si="41"/>
        <v>-4.6999999999854936</v>
      </c>
      <c r="M88" s="84">
        <v>143.9967</v>
      </c>
      <c r="N88" s="85">
        <f t="shared" si="42"/>
        <v>-3.5000000000025011</v>
      </c>
      <c r="O88" s="85">
        <f t="shared" si="43"/>
        <v>-8.1999999999879947</v>
      </c>
      <c r="P88" s="84">
        <v>91.781400000000005</v>
      </c>
      <c r="Q88" s="85">
        <f t="shared" si="44"/>
        <v>-52215.299999999996</v>
      </c>
      <c r="R88" s="85">
        <f t="shared" si="45"/>
        <v>-52223.499999999985</v>
      </c>
      <c r="S88" s="84">
        <v>91.780199999999994</v>
      </c>
      <c r="T88" s="85">
        <f t="shared" si="46"/>
        <v>-1.2000000000114142</v>
      </c>
      <c r="U88" s="85">
        <f t="shared" si="47"/>
        <v>-52224.7</v>
      </c>
      <c r="V88" s="84">
        <v>91.779499999999999</v>
      </c>
      <c r="W88" s="85">
        <f t="shared" si="48"/>
        <v>-0.69999999999481588</v>
      </c>
      <c r="X88" s="85">
        <f t="shared" si="49"/>
        <v>-52225.399999999994</v>
      </c>
      <c r="Y88" s="86">
        <v>91.778800000000004</v>
      </c>
      <c r="Z88" s="85">
        <f t="shared" si="50"/>
        <v>-0.69999999999481588</v>
      </c>
      <c r="AA88" s="85">
        <f t="shared" si="51"/>
        <v>-52226.099999999991</v>
      </c>
      <c r="AB88" s="86">
        <v>91.778300000000002</v>
      </c>
      <c r="AC88" s="85">
        <f t="shared" si="52"/>
        <v>-0.50000000000238742</v>
      </c>
      <c r="AD88" s="85">
        <f t="shared" si="53"/>
        <v>-52226.599999999991</v>
      </c>
      <c r="AE88" s="86">
        <v>91.777799999999999</v>
      </c>
      <c r="AF88" s="85">
        <f t="shared" si="54"/>
        <v>-0.50000000000238742</v>
      </c>
      <c r="AG88" s="85">
        <f t="shared" si="55"/>
        <v>-52227.099999999991</v>
      </c>
      <c r="AH88" s="95" t="str">
        <f t="shared" si="56"/>
        <v>5.23.</v>
      </c>
      <c r="AI88" s="87"/>
      <c r="AK88" s="89" t="s">
        <v>139</v>
      </c>
      <c r="AL88" s="77">
        <v>0</v>
      </c>
      <c r="AM88" s="77">
        <v>-3.5999999999773991</v>
      </c>
      <c r="AN88" s="77">
        <v>-4.6999999999854936</v>
      </c>
    </row>
    <row r="89" spans="3:40" ht="15.6" x14ac:dyDescent="0.25">
      <c r="C89" s="125" t="s">
        <v>140</v>
      </c>
      <c r="D89" s="84">
        <v>143.17070000000001</v>
      </c>
      <c r="E89" s="85">
        <v>0</v>
      </c>
      <c r="F89" s="85">
        <v>0</v>
      </c>
      <c r="G89" s="84">
        <v>143.16630000000001</v>
      </c>
      <c r="H89" s="85">
        <f t="shared" si="38"/>
        <v>-4.4000000000039563</v>
      </c>
      <c r="I89" s="85">
        <f t="shared" si="39"/>
        <v>-4.4000000000039563</v>
      </c>
      <c r="J89" s="84">
        <v>143.16470000000001</v>
      </c>
      <c r="K89" s="85">
        <f t="shared" si="40"/>
        <v>-1.5999999999962711</v>
      </c>
      <c r="L89" s="85">
        <f t="shared" si="41"/>
        <v>-6.0000000000002274</v>
      </c>
      <c r="M89" s="84">
        <v>143.1618</v>
      </c>
      <c r="N89" s="85">
        <f t="shared" si="42"/>
        <v>-2.9000000000110049</v>
      </c>
      <c r="O89" s="85">
        <f t="shared" si="43"/>
        <v>-8.9000000000112323</v>
      </c>
      <c r="P89" s="84">
        <v>91.6614</v>
      </c>
      <c r="Q89" s="85">
        <f t="shared" si="44"/>
        <v>-51500.4</v>
      </c>
      <c r="R89" s="85">
        <f t="shared" si="45"/>
        <v>-51509.30000000001</v>
      </c>
      <c r="S89" s="84">
        <v>91.660499999999999</v>
      </c>
      <c r="T89" s="85">
        <f t="shared" si="46"/>
        <v>-0.90000000000145519</v>
      </c>
      <c r="U89" s="85">
        <f t="shared" si="47"/>
        <v>-51510.200000000012</v>
      </c>
      <c r="V89" s="84">
        <v>91.6601</v>
      </c>
      <c r="W89" s="85">
        <f t="shared" si="48"/>
        <v>-0.39999999999906777</v>
      </c>
      <c r="X89" s="85">
        <f t="shared" si="49"/>
        <v>-51510.600000000013</v>
      </c>
      <c r="Y89" s="86">
        <v>91.659499999999994</v>
      </c>
      <c r="Z89" s="85">
        <f t="shared" si="50"/>
        <v>-0.60000000000570708</v>
      </c>
      <c r="AA89" s="85">
        <f t="shared" si="51"/>
        <v>-51511.200000000019</v>
      </c>
      <c r="AB89" s="86">
        <v>91.659099999999995</v>
      </c>
      <c r="AC89" s="85">
        <f t="shared" si="52"/>
        <v>-0.39999999999906777</v>
      </c>
      <c r="AD89" s="85">
        <f t="shared" si="53"/>
        <v>-51511.60000000002</v>
      </c>
      <c r="AE89" s="86">
        <v>91.658500000000004</v>
      </c>
      <c r="AF89" s="85">
        <f t="shared" si="54"/>
        <v>-0.59999999999149622</v>
      </c>
      <c r="AG89" s="85">
        <f t="shared" si="55"/>
        <v>-51512.200000000012</v>
      </c>
      <c r="AH89" s="95" t="str">
        <f t="shared" si="56"/>
        <v>5.24.</v>
      </c>
      <c r="AI89" s="87"/>
      <c r="AK89" s="89" t="s">
        <v>140</v>
      </c>
      <c r="AL89" s="77">
        <v>0</v>
      </c>
      <c r="AM89" s="77">
        <v>-4.4000000000039563</v>
      </c>
      <c r="AN89" s="77">
        <v>-6.0000000000002274</v>
      </c>
    </row>
    <row r="90" spans="3:40" ht="15.6" x14ac:dyDescent="0.25">
      <c r="C90" s="125" t="s">
        <v>141</v>
      </c>
      <c r="D90" s="84">
        <v>143.07040000000001</v>
      </c>
      <c r="E90" s="85">
        <v>0</v>
      </c>
      <c r="F90" s="85">
        <v>0</v>
      </c>
      <c r="G90" s="84">
        <v>143.0652</v>
      </c>
      <c r="H90" s="85">
        <f t="shared" si="38"/>
        <v>-5.2000000000020918</v>
      </c>
      <c r="I90" s="85">
        <f t="shared" si="39"/>
        <v>-5.2000000000020918</v>
      </c>
      <c r="J90" s="84">
        <v>143.0651</v>
      </c>
      <c r="K90" s="85">
        <f t="shared" si="40"/>
        <v>-0.10000000000331966</v>
      </c>
      <c r="L90" s="85">
        <f t="shared" si="41"/>
        <v>-5.3000000000054115</v>
      </c>
      <c r="M90" s="84">
        <v>143.0625</v>
      </c>
      <c r="N90" s="85">
        <f t="shared" si="42"/>
        <v>-2.6000000000010459</v>
      </c>
      <c r="O90" s="85">
        <f t="shared" si="43"/>
        <v>-7.9000000000064574</v>
      </c>
      <c r="P90" s="84">
        <v>91.664299999999997</v>
      </c>
      <c r="Q90" s="85">
        <f t="shared" si="44"/>
        <v>-51398.200000000004</v>
      </c>
      <c r="R90" s="85">
        <f t="shared" si="45"/>
        <v>-51406.100000000013</v>
      </c>
      <c r="S90" s="84">
        <v>91.663200000000003</v>
      </c>
      <c r="T90" s="85">
        <f t="shared" si="46"/>
        <v>-1.0999999999938836</v>
      </c>
      <c r="U90" s="85">
        <f t="shared" si="47"/>
        <v>-51407.200000000004</v>
      </c>
      <c r="V90" s="84">
        <v>91.662700000000001</v>
      </c>
      <c r="W90" s="85">
        <f t="shared" si="48"/>
        <v>-0.50000000000238742</v>
      </c>
      <c r="X90" s="85">
        <f t="shared" si="49"/>
        <v>-51407.700000000004</v>
      </c>
      <c r="Y90" s="86">
        <v>91.662000000000006</v>
      </c>
      <c r="Z90" s="85">
        <f t="shared" si="50"/>
        <v>-0.69999999999481588</v>
      </c>
      <c r="AA90" s="85">
        <f t="shared" si="51"/>
        <v>-51408.4</v>
      </c>
      <c r="AB90" s="86">
        <v>91.661500000000004</v>
      </c>
      <c r="AC90" s="85">
        <f t="shared" si="52"/>
        <v>-0.50000000000238742</v>
      </c>
      <c r="AD90" s="85">
        <f t="shared" si="53"/>
        <v>-51408.9</v>
      </c>
      <c r="AE90" s="86">
        <v>91.661100000000005</v>
      </c>
      <c r="AF90" s="85">
        <f t="shared" si="54"/>
        <v>-0.39999999999906777</v>
      </c>
      <c r="AG90" s="85">
        <f t="shared" si="55"/>
        <v>-51409.3</v>
      </c>
      <c r="AH90" s="95" t="str">
        <f t="shared" si="56"/>
        <v>5.25.</v>
      </c>
      <c r="AI90" s="87"/>
      <c r="AK90" s="89" t="s">
        <v>141</v>
      </c>
      <c r="AL90" s="77">
        <v>0</v>
      </c>
      <c r="AM90" s="77">
        <v>-5.2000000000020918</v>
      </c>
      <c r="AN90" s="77">
        <v>-5.3000000000054115</v>
      </c>
    </row>
    <row r="91" spans="3:40" ht="15.6" x14ac:dyDescent="0.25">
      <c r="C91" s="125" t="s">
        <v>142</v>
      </c>
      <c r="D91" s="84">
        <v>143.16800000000001</v>
      </c>
      <c r="E91" s="85">
        <v>0</v>
      </c>
      <c r="F91" s="85">
        <v>0</v>
      </c>
      <c r="G91" s="84">
        <v>143.16390000000001</v>
      </c>
      <c r="H91" s="85">
        <f t="shared" si="38"/>
        <v>-4.0999999999939973</v>
      </c>
      <c r="I91" s="85">
        <f t="shared" si="39"/>
        <v>-4.0999999999939973</v>
      </c>
      <c r="J91" s="84">
        <v>143.1635</v>
      </c>
      <c r="K91" s="85">
        <f t="shared" si="40"/>
        <v>-0.40000000001327862</v>
      </c>
      <c r="L91" s="85">
        <f t="shared" si="41"/>
        <v>-4.500000000007276</v>
      </c>
      <c r="M91" s="84">
        <v>143.16059999999999</v>
      </c>
      <c r="N91" s="85">
        <f t="shared" si="42"/>
        <v>-2.9000000000110049</v>
      </c>
      <c r="O91" s="85">
        <f t="shared" si="43"/>
        <v>-7.4000000000182808</v>
      </c>
      <c r="P91" s="84">
        <v>91.683999999999997</v>
      </c>
      <c r="Q91" s="85">
        <f t="shared" si="44"/>
        <v>-51476.599999999991</v>
      </c>
      <c r="R91" s="85">
        <f t="shared" si="45"/>
        <v>-51484.000000000007</v>
      </c>
      <c r="S91" s="84">
        <v>91.683099999999996</v>
      </c>
      <c r="T91" s="85">
        <f t="shared" si="46"/>
        <v>-0.90000000000145519</v>
      </c>
      <c r="U91" s="85">
        <f t="shared" si="47"/>
        <v>-51484.900000000009</v>
      </c>
      <c r="V91" s="84">
        <v>91.682500000000005</v>
      </c>
      <c r="W91" s="85">
        <f t="shared" si="48"/>
        <v>-0.59999999999149622</v>
      </c>
      <c r="X91" s="85">
        <f t="shared" si="49"/>
        <v>-51485.5</v>
      </c>
      <c r="Y91" s="86">
        <v>91.681899999999999</v>
      </c>
      <c r="Z91" s="85">
        <f t="shared" si="50"/>
        <v>-0.60000000000570708</v>
      </c>
      <c r="AA91" s="85">
        <f t="shared" si="51"/>
        <v>-51486.100000000006</v>
      </c>
      <c r="AB91" s="86">
        <v>91.6815</v>
      </c>
      <c r="AC91" s="85">
        <f t="shared" si="52"/>
        <v>-0.39999999999906777</v>
      </c>
      <c r="AD91" s="85">
        <f t="shared" si="53"/>
        <v>-51486.500000000007</v>
      </c>
      <c r="AE91" s="86">
        <v>91.680999999999997</v>
      </c>
      <c r="AF91" s="85">
        <f t="shared" si="54"/>
        <v>-0.50000000000238742</v>
      </c>
      <c r="AG91" s="85">
        <f t="shared" si="55"/>
        <v>-51487.000000000007</v>
      </c>
      <c r="AH91" s="95" t="str">
        <f t="shared" si="56"/>
        <v>5.26.</v>
      </c>
      <c r="AI91" s="87"/>
      <c r="AK91" s="89" t="s">
        <v>142</v>
      </c>
      <c r="AL91" s="77">
        <v>0</v>
      </c>
      <c r="AM91" s="77">
        <v>-4.0999999999939973</v>
      </c>
      <c r="AN91" s="77">
        <v>-4.500000000007276</v>
      </c>
    </row>
    <row r="92" spans="3:40" ht="15.6" x14ac:dyDescent="0.25">
      <c r="C92" s="96" t="s">
        <v>143</v>
      </c>
      <c r="D92" s="84">
        <v>143.35380000000001</v>
      </c>
      <c r="E92" s="85">
        <v>0</v>
      </c>
      <c r="F92" s="85">
        <v>0</v>
      </c>
      <c r="G92" s="84">
        <v>143.35010000000003</v>
      </c>
      <c r="H92" s="85">
        <f t="shared" si="38"/>
        <v>-3.6999999999807187</v>
      </c>
      <c r="I92" s="85">
        <f t="shared" si="39"/>
        <v>-3.6999999999807187</v>
      </c>
      <c r="J92" s="84">
        <v>143.34989999999999</v>
      </c>
      <c r="K92" s="85">
        <f t="shared" si="40"/>
        <v>-0.20000000003506102</v>
      </c>
      <c r="L92" s="85">
        <f t="shared" si="41"/>
        <v>-3.9000000000157797</v>
      </c>
      <c r="M92" s="84">
        <v>143.34739999999999</v>
      </c>
      <c r="N92" s="85">
        <f t="shared" si="42"/>
        <v>-2.4999999999977263</v>
      </c>
      <c r="O92" s="85">
        <f t="shared" si="43"/>
        <v>-6.400000000013506</v>
      </c>
      <c r="P92" s="84">
        <v>91.74</v>
      </c>
      <c r="Q92" s="85">
        <f t="shared" si="44"/>
        <v>-51607.4</v>
      </c>
      <c r="R92" s="85">
        <f t="shared" si="45"/>
        <v>-51613.800000000017</v>
      </c>
      <c r="S92" s="84">
        <v>91.739000000000004</v>
      </c>
      <c r="T92" s="85">
        <f t="shared" si="46"/>
        <v>-0.99999999999056399</v>
      </c>
      <c r="U92" s="85">
        <f t="shared" si="47"/>
        <v>-51614.80000000001</v>
      </c>
      <c r="V92" s="84">
        <v>91.738200000000006</v>
      </c>
      <c r="W92" s="85">
        <f t="shared" si="48"/>
        <v>-0.79999999999813554</v>
      </c>
      <c r="X92" s="85">
        <f t="shared" si="49"/>
        <v>-51615.600000000006</v>
      </c>
      <c r="Y92" s="86">
        <v>91.737499999999997</v>
      </c>
      <c r="Z92" s="85">
        <f t="shared" si="50"/>
        <v>-0.70000000000902673</v>
      </c>
      <c r="AA92" s="85">
        <f t="shared" si="51"/>
        <v>-51616.300000000017</v>
      </c>
      <c r="AB92" s="86">
        <v>91.736999999999995</v>
      </c>
      <c r="AC92" s="85">
        <f t="shared" si="52"/>
        <v>-0.50000000000238742</v>
      </c>
      <c r="AD92" s="85">
        <f t="shared" si="53"/>
        <v>-51616.800000000017</v>
      </c>
      <c r="AE92" s="86">
        <v>91.7363</v>
      </c>
      <c r="AF92" s="85">
        <f t="shared" si="54"/>
        <v>-0.69999999999481588</v>
      </c>
      <c r="AG92" s="85">
        <f t="shared" si="55"/>
        <v>-51617.500000000015</v>
      </c>
      <c r="AH92" s="95" t="str">
        <f>C92</f>
        <v>5.27.</v>
      </c>
      <c r="AI92" s="87"/>
      <c r="AK92" s="89" t="s">
        <v>143</v>
      </c>
      <c r="AL92" s="77">
        <v>0</v>
      </c>
      <c r="AM92" s="77">
        <v>-3.6999999999807187</v>
      </c>
      <c r="AN92" s="77">
        <v>-3.9000000000157797</v>
      </c>
    </row>
    <row r="93" spans="3:40" ht="15.6" x14ac:dyDescent="0.25">
      <c r="C93" s="96" t="s">
        <v>144</v>
      </c>
      <c r="D93" s="84">
        <v>144.01089999999999</v>
      </c>
      <c r="E93" s="85">
        <v>0</v>
      </c>
      <c r="F93" s="85">
        <v>0</v>
      </c>
      <c r="G93" s="84">
        <v>144.00660000000002</v>
      </c>
      <c r="H93" s="85">
        <f t="shared" ref="H93:H99" si="57">(G93-D93)*1000</f>
        <v>-4.2999999999722149</v>
      </c>
      <c r="I93" s="85">
        <f t="shared" ref="I93:I99" si="58">F93+H93</f>
        <v>-4.2999999999722149</v>
      </c>
      <c r="J93" s="84">
        <v>144.0061</v>
      </c>
      <c r="K93" s="85">
        <f t="shared" ref="K93:K99" si="59">(J93-G93)*1000</f>
        <v>-0.50000000001659828</v>
      </c>
      <c r="L93" s="85">
        <f t="shared" ref="L93:L99" si="60">I93+K93</f>
        <v>-4.7999999999888132</v>
      </c>
      <c r="M93" s="84">
        <v>144.00229999999999</v>
      </c>
      <c r="N93" s="85">
        <f t="shared" ref="N93:N99" si="61">(M93-J93)*1000</f>
        <v>-3.8000000000124601</v>
      </c>
      <c r="O93" s="85">
        <f t="shared" ref="O93:O99" si="62">L93+N93</f>
        <v>-8.6000000000012733</v>
      </c>
      <c r="P93" s="84">
        <v>92.74</v>
      </c>
      <c r="Q93" s="85">
        <f t="shared" ref="Q93:Q99" si="63">(P93-M93)*1000</f>
        <v>-51262.299999999996</v>
      </c>
      <c r="R93" s="85">
        <f t="shared" ref="R93:R99" si="64">O93+Q93</f>
        <v>-51270.899999999994</v>
      </c>
      <c r="S93" s="84">
        <v>92.739000000000004</v>
      </c>
      <c r="T93" s="85">
        <f t="shared" ref="T93:T99" si="65">(S93-P93)*1000</f>
        <v>-0.99999999999056399</v>
      </c>
      <c r="U93" s="85">
        <f t="shared" ref="U93:U99" si="66">R93+T93</f>
        <v>-51271.899999999987</v>
      </c>
      <c r="V93" s="84">
        <v>92.738200000000006</v>
      </c>
      <c r="W93" s="85">
        <f t="shared" ref="W93:W99" si="67">(V93-S93)*1000</f>
        <v>-0.79999999999813554</v>
      </c>
      <c r="X93" s="85">
        <f t="shared" ref="X93:X99" si="68">U93+W93</f>
        <v>-51272.699999999983</v>
      </c>
      <c r="Y93" s="86">
        <v>92.737499999999997</v>
      </c>
      <c r="Z93" s="85">
        <f t="shared" ref="Z93:Z99" si="69">(Y93-V93)*1000</f>
        <v>-0.70000000000902673</v>
      </c>
      <c r="AA93" s="85">
        <f t="shared" ref="AA93:AA99" si="70">X93+Z93</f>
        <v>-51273.399999999994</v>
      </c>
      <c r="AB93" s="86">
        <v>92.736999999999995</v>
      </c>
      <c r="AC93" s="85">
        <f t="shared" ref="AC93:AC99" si="71">(AB93-Y93)*1000</f>
        <v>-0.50000000000238742</v>
      </c>
      <c r="AD93" s="85">
        <f t="shared" ref="AD93:AD99" si="72">AA93+AC93</f>
        <v>-51273.899999999994</v>
      </c>
      <c r="AE93" s="86">
        <v>92.7363</v>
      </c>
      <c r="AF93" s="85">
        <f t="shared" ref="AF93:AF99" si="73">(AE93-AB93)*1000</f>
        <v>-0.69999999999481588</v>
      </c>
      <c r="AG93" s="85">
        <f t="shared" ref="AG93:AG99" si="74">AD93+AF93</f>
        <v>-51274.599999999991</v>
      </c>
      <c r="AH93" s="95" t="str">
        <f t="shared" ref="AH93:AH99" si="75">C93</f>
        <v>5.28.</v>
      </c>
      <c r="AK93" s="89" t="s">
        <v>144</v>
      </c>
      <c r="AL93" s="77">
        <v>0</v>
      </c>
      <c r="AM93" s="77">
        <v>-4.2999999999722149</v>
      </c>
      <c r="AN93" s="77">
        <v>-4.7999999999888132</v>
      </c>
    </row>
    <row r="94" spans="3:40" ht="15.6" x14ac:dyDescent="0.25">
      <c r="C94" s="96" t="s">
        <v>145</v>
      </c>
      <c r="D94" s="84">
        <v>143.4153</v>
      </c>
      <c r="E94" s="85">
        <v>0</v>
      </c>
      <c r="F94" s="85">
        <v>0</v>
      </c>
      <c r="G94" s="84">
        <v>143.41120000000001</v>
      </c>
      <c r="H94" s="85">
        <f t="shared" si="57"/>
        <v>-4.0999999999939973</v>
      </c>
      <c r="I94" s="85">
        <f t="shared" si="58"/>
        <v>-4.0999999999939973</v>
      </c>
      <c r="J94" s="84">
        <v>143.40989999999999</v>
      </c>
      <c r="K94" s="85">
        <f t="shared" si="59"/>
        <v>-1.3000000000147338</v>
      </c>
      <c r="L94" s="85">
        <f t="shared" si="60"/>
        <v>-5.4000000000087311</v>
      </c>
      <c r="M94" s="84">
        <v>143.40899999999999</v>
      </c>
      <c r="N94" s="85">
        <f t="shared" si="61"/>
        <v>-0.90000000000145519</v>
      </c>
      <c r="O94" s="85">
        <f t="shared" si="62"/>
        <v>-6.3000000000101863</v>
      </c>
      <c r="P94" s="84">
        <v>93.74</v>
      </c>
      <c r="Q94" s="85">
        <f t="shared" si="63"/>
        <v>-49669</v>
      </c>
      <c r="R94" s="85">
        <f t="shared" si="64"/>
        <v>-49675.30000000001</v>
      </c>
      <c r="S94" s="84">
        <v>93.739000000000004</v>
      </c>
      <c r="T94" s="85">
        <f t="shared" si="65"/>
        <v>-0.99999999999056399</v>
      </c>
      <c r="U94" s="85">
        <f t="shared" si="66"/>
        <v>-49676.3</v>
      </c>
      <c r="V94" s="84">
        <v>93.738200000000006</v>
      </c>
      <c r="W94" s="85">
        <f t="shared" si="67"/>
        <v>-0.79999999999813554</v>
      </c>
      <c r="X94" s="85">
        <f t="shared" si="68"/>
        <v>-49677.1</v>
      </c>
      <c r="Y94" s="86">
        <v>93.737499999999997</v>
      </c>
      <c r="Z94" s="85">
        <f t="shared" si="69"/>
        <v>-0.70000000000902673</v>
      </c>
      <c r="AA94" s="85">
        <f t="shared" si="70"/>
        <v>-49677.80000000001</v>
      </c>
      <c r="AB94" s="86">
        <v>93.736999999999995</v>
      </c>
      <c r="AC94" s="85">
        <f t="shared" si="71"/>
        <v>-0.50000000000238742</v>
      </c>
      <c r="AD94" s="85">
        <f t="shared" si="72"/>
        <v>-49678.30000000001</v>
      </c>
      <c r="AE94" s="86">
        <v>93.7363</v>
      </c>
      <c r="AF94" s="85">
        <f t="shared" si="73"/>
        <v>-0.69999999999481588</v>
      </c>
      <c r="AG94" s="85">
        <f t="shared" si="74"/>
        <v>-49679.000000000007</v>
      </c>
      <c r="AH94" s="95" t="str">
        <f t="shared" si="75"/>
        <v>5.29.</v>
      </c>
      <c r="AJ94" s="127"/>
      <c r="AK94" s="89" t="s">
        <v>145</v>
      </c>
      <c r="AL94" s="77">
        <v>0</v>
      </c>
      <c r="AM94" s="77">
        <v>-4.0999999999939973</v>
      </c>
      <c r="AN94" s="77">
        <v>-5.4000000000087311</v>
      </c>
    </row>
    <row r="95" spans="3:40" ht="15.6" x14ac:dyDescent="0.25">
      <c r="C95" s="96" t="s">
        <v>146</v>
      </c>
      <c r="D95" s="84">
        <v>143.40700000000001</v>
      </c>
      <c r="E95" s="85">
        <v>0</v>
      </c>
      <c r="F95" s="85">
        <v>0</v>
      </c>
      <c r="G95" s="84">
        <v>143.40280000000001</v>
      </c>
      <c r="H95" s="85">
        <f t="shared" si="57"/>
        <v>-4.199999999997317</v>
      </c>
      <c r="I95" s="85">
        <f t="shared" si="58"/>
        <v>-4.199999999997317</v>
      </c>
      <c r="J95" s="84">
        <v>143.4016</v>
      </c>
      <c r="K95" s="85">
        <f t="shared" si="59"/>
        <v>-1.2000000000114142</v>
      </c>
      <c r="L95" s="85">
        <f t="shared" si="60"/>
        <v>-5.4000000000087311</v>
      </c>
      <c r="M95" s="84">
        <v>143.3998</v>
      </c>
      <c r="N95" s="85">
        <f t="shared" si="61"/>
        <v>-1.8000000000029104</v>
      </c>
      <c r="O95" s="85">
        <f t="shared" si="62"/>
        <v>-7.2000000000116415</v>
      </c>
      <c r="P95" s="84">
        <v>94.74</v>
      </c>
      <c r="Q95" s="85">
        <f t="shared" si="63"/>
        <v>-48659.8</v>
      </c>
      <c r="R95" s="85">
        <f t="shared" si="64"/>
        <v>-48667.000000000015</v>
      </c>
      <c r="S95" s="84">
        <v>94.739000000000004</v>
      </c>
      <c r="T95" s="85">
        <f t="shared" si="65"/>
        <v>-0.99999999999056399</v>
      </c>
      <c r="U95" s="85">
        <f t="shared" si="66"/>
        <v>-48668.000000000007</v>
      </c>
      <c r="V95" s="84">
        <v>94.738200000000006</v>
      </c>
      <c r="W95" s="85">
        <f t="shared" si="67"/>
        <v>-0.79999999999813554</v>
      </c>
      <c r="X95" s="85">
        <f t="shared" si="68"/>
        <v>-48668.800000000003</v>
      </c>
      <c r="Y95" s="86">
        <v>94.737499999999997</v>
      </c>
      <c r="Z95" s="85">
        <f t="shared" si="69"/>
        <v>-0.70000000000902673</v>
      </c>
      <c r="AA95" s="85">
        <f t="shared" si="70"/>
        <v>-48669.500000000015</v>
      </c>
      <c r="AB95" s="86">
        <v>94.736999999999995</v>
      </c>
      <c r="AC95" s="85">
        <f t="shared" si="71"/>
        <v>-0.50000000000238742</v>
      </c>
      <c r="AD95" s="85">
        <f t="shared" si="72"/>
        <v>-48670.000000000015</v>
      </c>
      <c r="AE95" s="86">
        <v>94.7363</v>
      </c>
      <c r="AF95" s="85">
        <f t="shared" si="73"/>
        <v>-0.69999999999481588</v>
      </c>
      <c r="AG95" s="85">
        <f t="shared" si="74"/>
        <v>-48670.700000000012</v>
      </c>
      <c r="AH95" s="95" t="str">
        <f t="shared" si="75"/>
        <v>5.30.</v>
      </c>
      <c r="AJ95" s="127"/>
      <c r="AK95" s="89" t="s">
        <v>146</v>
      </c>
      <c r="AL95" s="77">
        <v>0</v>
      </c>
      <c r="AM95" s="77">
        <v>-4.199999999997317</v>
      </c>
      <c r="AN95" s="77">
        <v>-5.4000000000087311</v>
      </c>
    </row>
    <row r="96" spans="3:40" ht="15.6" x14ac:dyDescent="0.25">
      <c r="C96" s="96" t="s">
        <v>147</v>
      </c>
      <c r="D96" s="84">
        <v>143.43559999999999</v>
      </c>
      <c r="E96" s="85">
        <v>0</v>
      </c>
      <c r="F96" s="85">
        <v>0</v>
      </c>
      <c r="G96" s="84">
        <v>143.43119999999999</v>
      </c>
      <c r="H96" s="85">
        <f t="shared" si="57"/>
        <v>-4.4000000000039563</v>
      </c>
      <c r="I96" s="85">
        <f t="shared" si="58"/>
        <v>-4.4000000000039563</v>
      </c>
      <c r="J96" s="84">
        <v>143.4299</v>
      </c>
      <c r="K96" s="85">
        <f t="shared" si="59"/>
        <v>-1.2999999999863121</v>
      </c>
      <c r="L96" s="85">
        <f t="shared" si="60"/>
        <v>-5.6999999999902684</v>
      </c>
      <c r="M96" s="84">
        <v>143.42839999999998</v>
      </c>
      <c r="N96" s="85">
        <f t="shared" si="61"/>
        <v>-1.5000000000213731</v>
      </c>
      <c r="O96" s="85">
        <f t="shared" si="62"/>
        <v>-7.2000000000116415</v>
      </c>
      <c r="P96" s="84">
        <v>95.74</v>
      </c>
      <c r="Q96" s="85">
        <f t="shared" si="63"/>
        <v>-47688.399999999987</v>
      </c>
      <c r="R96" s="85">
        <f t="shared" si="64"/>
        <v>-47695.6</v>
      </c>
      <c r="S96" s="84">
        <v>95.739000000000004</v>
      </c>
      <c r="T96" s="85">
        <f t="shared" si="65"/>
        <v>-0.99999999999056399</v>
      </c>
      <c r="U96" s="85">
        <f t="shared" si="66"/>
        <v>-47696.599999999991</v>
      </c>
      <c r="V96" s="84">
        <v>95.738200000000006</v>
      </c>
      <c r="W96" s="85">
        <f t="shared" si="67"/>
        <v>-0.79999999999813554</v>
      </c>
      <c r="X96" s="85">
        <f t="shared" si="68"/>
        <v>-47697.399999999987</v>
      </c>
      <c r="Y96" s="86">
        <v>95.737499999999997</v>
      </c>
      <c r="Z96" s="85">
        <f t="shared" si="69"/>
        <v>-0.70000000000902673</v>
      </c>
      <c r="AA96" s="85">
        <f t="shared" si="70"/>
        <v>-47698.1</v>
      </c>
      <c r="AB96" s="86">
        <v>95.736999999999995</v>
      </c>
      <c r="AC96" s="85">
        <f t="shared" si="71"/>
        <v>-0.50000000000238742</v>
      </c>
      <c r="AD96" s="85">
        <f t="shared" si="72"/>
        <v>-47698.6</v>
      </c>
      <c r="AE96" s="86">
        <v>95.7363</v>
      </c>
      <c r="AF96" s="85">
        <f t="shared" si="73"/>
        <v>-0.69999999999481588</v>
      </c>
      <c r="AG96" s="85">
        <f t="shared" si="74"/>
        <v>-47699.299999999996</v>
      </c>
      <c r="AH96" s="95" t="str">
        <f t="shared" si="75"/>
        <v>5.31.</v>
      </c>
      <c r="AJ96" s="127"/>
      <c r="AK96" s="89" t="s">
        <v>147</v>
      </c>
      <c r="AL96" s="77">
        <v>0</v>
      </c>
      <c r="AM96" s="77">
        <v>-4.4000000000039563</v>
      </c>
      <c r="AN96" s="77">
        <v>-5.6999999999902684</v>
      </c>
    </row>
    <row r="97" spans="3:40" ht="15.6" x14ac:dyDescent="0.25">
      <c r="C97" s="96" t="s">
        <v>148</v>
      </c>
      <c r="D97" s="84">
        <v>143.5393</v>
      </c>
      <c r="E97" s="85">
        <v>0</v>
      </c>
      <c r="F97" s="85">
        <v>0</v>
      </c>
      <c r="G97" s="84">
        <v>143.53570000000002</v>
      </c>
      <c r="H97" s="85">
        <f t="shared" si="57"/>
        <v>-3.5999999999773991</v>
      </c>
      <c r="I97" s="85">
        <f t="shared" si="58"/>
        <v>-3.5999999999773991</v>
      </c>
      <c r="J97" s="84">
        <v>143.53460000000001</v>
      </c>
      <c r="K97" s="85">
        <f t="shared" si="59"/>
        <v>-1.1000000000080945</v>
      </c>
      <c r="L97" s="85">
        <f t="shared" si="60"/>
        <v>-4.6999999999854936</v>
      </c>
      <c r="M97" s="84">
        <v>143.53449999999998</v>
      </c>
      <c r="N97" s="85">
        <f t="shared" si="61"/>
        <v>-0.10000000003174137</v>
      </c>
      <c r="O97" s="85">
        <f t="shared" si="62"/>
        <v>-4.8000000000172349</v>
      </c>
      <c r="P97" s="84">
        <v>96.74</v>
      </c>
      <c r="Q97" s="85">
        <f t="shared" si="63"/>
        <v>-46794.499999999985</v>
      </c>
      <c r="R97" s="85">
        <f t="shared" si="64"/>
        <v>-46799.3</v>
      </c>
      <c r="S97" s="84">
        <v>96.739000000000004</v>
      </c>
      <c r="T97" s="85">
        <f t="shared" si="65"/>
        <v>-0.99999999999056399</v>
      </c>
      <c r="U97" s="85">
        <f t="shared" si="66"/>
        <v>-46800.299999999996</v>
      </c>
      <c r="V97" s="84">
        <v>96.738200000000006</v>
      </c>
      <c r="W97" s="85">
        <f t="shared" si="67"/>
        <v>-0.79999999999813554</v>
      </c>
      <c r="X97" s="85">
        <f t="shared" si="68"/>
        <v>-46801.099999999991</v>
      </c>
      <c r="Y97" s="86">
        <v>96.737499999999997</v>
      </c>
      <c r="Z97" s="85">
        <f t="shared" si="69"/>
        <v>-0.70000000000902673</v>
      </c>
      <c r="AA97" s="85">
        <f t="shared" si="70"/>
        <v>-46801.8</v>
      </c>
      <c r="AB97" s="86">
        <v>96.736999999999995</v>
      </c>
      <c r="AC97" s="85">
        <f t="shared" si="71"/>
        <v>-0.50000000000238742</v>
      </c>
      <c r="AD97" s="85">
        <f t="shared" si="72"/>
        <v>-46802.3</v>
      </c>
      <c r="AE97" s="86">
        <v>96.7363</v>
      </c>
      <c r="AF97" s="85">
        <f t="shared" si="73"/>
        <v>-0.69999999999481588</v>
      </c>
      <c r="AG97" s="85">
        <f t="shared" si="74"/>
        <v>-46803</v>
      </c>
      <c r="AH97" s="95" t="str">
        <f t="shared" si="75"/>
        <v>5.32.</v>
      </c>
      <c r="AJ97" s="127"/>
      <c r="AK97" s="89" t="s">
        <v>148</v>
      </c>
      <c r="AL97" s="77">
        <v>0</v>
      </c>
      <c r="AM97" s="77">
        <v>-3.5999999999773991</v>
      </c>
      <c r="AN97" s="77">
        <v>-4.6999999999854936</v>
      </c>
    </row>
    <row r="98" spans="3:40" ht="15.6" x14ac:dyDescent="0.25">
      <c r="C98" s="96" t="s">
        <v>149</v>
      </c>
      <c r="D98" s="84">
        <v>143.57060000000001</v>
      </c>
      <c r="E98" s="85">
        <v>0</v>
      </c>
      <c r="F98" s="85">
        <v>0</v>
      </c>
      <c r="G98" s="84">
        <v>143.56720000000001</v>
      </c>
      <c r="H98" s="85">
        <f t="shared" si="57"/>
        <v>-3.3999999999991815</v>
      </c>
      <c r="I98" s="85">
        <f t="shared" si="58"/>
        <v>-3.3999999999991815</v>
      </c>
      <c r="J98" s="84">
        <v>143.56639999999999</v>
      </c>
      <c r="K98" s="85">
        <f t="shared" si="59"/>
        <v>-0.80000000002655725</v>
      </c>
      <c r="L98" s="85">
        <f t="shared" si="60"/>
        <v>-4.2000000000257387</v>
      </c>
      <c r="M98" s="84">
        <v>143.56529999999998</v>
      </c>
      <c r="N98" s="85">
        <f t="shared" si="61"/>
        <v>-1.1000000000080945</v>
      </c>
      <c r="O98" s="85">
        <f t="shared" si="62"/>
        <v>-5.3000000000338332</v>
      </c>
      <c r="P98" s="84">
        <v>97.74</v>
      </c>
      <c r="Q98" s="85">
        <f t="shared" si="63"/>
        <v>-45825.299999999981</v>
      </c>
      <c r="R98" s="85">
        <f t="shared" si="64"/>
        <v>-45830.600000000013</v>
      </c>
      <c r="S98" s="84">
        <v>97.739000000000004</v>
      </c>
      <c r="T98" s="85">
        <f t="shared" si="65"/>
        <v>-0.99999999999056399</v>
      </c>
      <c r="U98" s="85">
        <f t="shared" si="66"/>
        <v>-45831.600000000006</v>
      </c>
      <c r="V98" s="84">
        <v>97.738200000000006</v>
      </c>
      <c r="W98" s="85">
        <f t="shared" si="67"/>
        <v>-0.79999999999813554</v>
      </c>
      <c r="X98" s="85">
        <f t="shared" si="68"/>
        <v>-45832.4</v>
      </c>
      <c r="Y98" s="86">
        <v>97.737499999999997</v>
      </c>
      <c r="Z98" s="85">
        <f t="shared" si="69"/>
        <v>-0.70000000000902673</v>
      </c>
      <c r="AA98" s="85">
        <f t="shared" si="70"/>
        <v>-45833.100000000013</v>
      </c>
      <c r="AB98" s="86">
        <v>97.736999999999995</v>
      </c>
      <c r="AC98" s="85">
        <f t="shared" si="71"/>
        <v>-0.50000000000238742</v>
      </c>
      <c r="AD98" s="85">
        <f t="shared" si="72"/>
        <v>-45833.600000000013</v>
      </c>
      <c r="AE98" s="86">
        <v>97.7363</v>
      </c>
      <c r="AF98" s="85">
        <f t="shared" si="73"/>
        <v>-0.69999999999481588</v>
      </c>
      <c r="AG98" s="85">
        <f t="shared" si="74"/>
        <v>-45834.30000000001</v>
      </c>
      <c r="AH98" s="95" t="str">
        <f t="shared" si="75"/>
        <v>5.33.</v>
      </c>
      <c r="AJ98" s="127"/>
      <c r="AK98" s="89" t="s">
        <v>149</v>
      </c>
      <c r="AL98" s="77">
        <v>0</v>
      </c>
      <c r="AM98" s="77">
        <v>-3.3999999999991815</v>
      </c>
      <c r="AN98" s="77">
        <v>-4.2000000000257387</v>
      </c>
    </row>
    <row r="99" spans="3:40" ht="15.6" x14ac:dyDescent="0.25">
      <c r="C99" s="96" t="s">
        <v>150</v>
      </c>
      <c r="D99" s="84">
        <v>143.36799999999999</v>
      </c>
      <c r="E99" s="85">
        <v>0</v>
      </c>
      <c r="F99" s="85">
        <v>0</v>
      </c>
      <c r="G99" s="84">
        <v>143.36429999999999</v>
      </c>
      <c r="H99" s="85">
        <f t="shared" si="57"/>
        <v>-3.7000000000091404</v>
      </c>
      <c r="I99" s="85">
        <f t="shared" si="58"/>
        <v>-3.7000000000091404</v>
      </c>
      <c r="J99" s="84">
        <v>143.36359999999999</v>
      </c>
      <c r="K99" s="85">
        <f t="shared" si="59"/>
        <v>-0.69999999999481588</v>
      </c>
      <c r="L99" s="85">
        <f t="shared" si="60"/>
        <v>-4.4000000000039563</v>
      </c>
      <c r="M99" s="84">
        <v>143.36269999999999</v>
      </c>
      <c r="N99" s="85">
        <f t="shared" si="61"/>
        <v>-0.90000000000145519</v>
      </c>
      <c r="O99" s="85">
        <f t="shared" si="62"/>
        <v>-5.3000000000054115</v>
      </c>
      <c r="P99" s="84">
        <v>98.74</v>
      </c>
      <c r="Q99" s="85">
        <f t="shared" si="63"/>
        <v>-44622.7</v>
      </c>
      <c r="R99" s="85">
        <f t="shared" si="64"/>
        <v>-44628</v>
      </c>
      <c r="S99" s="84">
        <v>98.739000000000004</v>
      </c>
      <c r="T99" s="85">
        <f t="shared" si="65"/>
        <v>-0.99999999999056399</v>
      </c>
      <c r="U99" s="85">
        <f t="shared" si="66"/>
        <v>-44628.999999999993</v>
      </c>
      <c r="V99" s="84">
        <v>98.738200000000006</v>
      </c>
      <c r="W99" s="85">
        <f t="shared" si="67"/>
        <v>-0.79999999999813554</v>
      </c>
      <c r="X99" s="85">
        <f t="shared" si="68"/>
        <v>-44629.799999999988</v>
      </c>
      <c r="Y99" s="86">
        <v>98.737499999999997</v>
      </c>
      <c r="Z99" s="85">
        <f t="shared" si="69"/>
        <v>-0.70000000000902673</v>
      </c>
      <c r="AA99" s="85">
        <f t="shared" si="70"/>
        <v>-44630.5</v>
      </c>
      <c r="AB99" s="86">
        <v>98.736999999999995</v>
      </c>
      <c r="AC99" s="85">
        <f t="shared" si="71"/>
        <v>-0.50000000000238742</v>
      </c>
      <c r="AD99" s="85">
        <f t="shared" si="72"/>
        <v>-44631</v>
      </c>
      <c r="AE99" s="86">
        <v>98.7363</v>
      </c>
      <c r="AF99" s="85">
        <f t="shared" si="73"/>
        <v>-0.69999999999481588</v>
      </c>
      <c r="AG99" s="85">
        <f t="shared" si="74"/>
        <v>-44631.7</v>
      </c>
      <c r="AH99" s="95" t="str">
        <f t="shared" si="75"/>
        <v>5.34.</v>
      </c>
      <c r="AJ99" s="127"/>
      <c r="AK99" s="89" t="s">
        <v>150</v>
      </c>
      <c r="AL99" s="77">
        <v>0</v>
      </c>
      <c r="AM99" s="77">
        <v>-3.7000000000091404</v>
      </c>
      <c r="AN99" s="77">
        <v>-4.4000000000039563</v>
      </c>
    </row>
    <row r="101" spans="3:40" x14ac:dyDescent="0.25">
      <c r="C101" s="116"/>
    </row>
    <row r="102" spans="3:40" x14ac:dyDescent="0.25">
      <c r="C102" s="116"/>
    </row>
    <row r="103" spans="3:40" x14ac:dyDescent="0.25">
      <c r="C103" s="116"/>
    </row>
    <row r="104" spans="3:40" x14ac:dyDescent="0.25">
      <c r="C104" s="116"/>
    </row>
    <row r="105" spans="3:40" x14ac:dyDescent="0.25">
      <c r="C105" s="116"/>
    </row>
    <row r="106" spans="3:40" x14ac:dyDescent="0.25">
      <c r="C106" s="116"/>
    </row>
    <row r="107" spans="3:40" x14ac:dyDescent="0.25">
      <c r="C107" s="116"/>
    </row>
    <row r="108" spans="3:40" x14ac:dyDescent="0.25">
      <c r="C108" s="116"/>
    </row>
    <row r="109" spans="3:40" x14ac:dyDescent="0.25">
      <c r="C109" s="116"/>
    </row>
    <row r="110" spans="3:40" x14ac:dyDescent="0.25">
      <c r="C110" s="116"/>
    </row>
    <row r="111" spans="3:40" x14ac:dyDescent="0.25">
      <c r="C111" s="116"/>
    </row>
    <row r="112" spans="3:40" x14ac:dyDescent="0.25">
      <c r="C112" s="116"/>
    </row>
    <row r="113" spans="3:3" x14ac:dyDescent="0.25">
      <c r="C113" s="116"/>
    </row>
    <row r="114" spans="3:3" x14ac:dyDescent="0.25">
      <c r="C114" s="116"/>
    </row>
    <row r="115" spans="3:3" x14ac:dyDescent="0.25">
      <c r="C115" s="116"/>
    </row>
    <row r="116" spans="3:3" x14ac:dyDescent="0.25">
      <c r="C116" s="116"/>
    </row>
    <row r="117" spans="3:3" x14ac:dyDescent="0.25">
      <c r="C117" s="116"/>
    </row>
    <row r="118" spans="3:3" x14ac:dyDescent="0.25">
      <c r="C118" s="116"/>
    </row>
    <row r="119" spans="3:3" x14ac:dyDescent="0.25">
      <c r="C119" s="116"/>
    </row>
    <row r="120" spans="3:3" x14ac:dyDescent="0.25">
      <c r="C120" s="116"/>
    </row>
    <row r="121" spans="3:3" x14ac:dyDescent="0.25">
      <c r="C121" s="116"/>
    </row>
    <row r="122" spans="3:3" x14ac:dyDescent="0.25">
      <c r="C122" s="116"/>
    </row>
    <row r="123" spans="3:3" x14ac:dyDescent="0.25">
      <c r="C123" s="116"/>
    </row>
    <row r="124" spans="3:3" x14ac:dyDescent="0.25">
      <c r="C124" s="116"/>
    </row>
    <row r="125" spans="3:3" x14ac:dyDescent="0.25">
      <c r="C125" s="116"/>
    </row>
  </sheetData>
  <mergeCells count="42">
    <mergeCell ref="C36:AH36"/>
    <mergeCell ref="C2:AH2"/>
    <mergeCell ref="C3:AH3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H5"/>
    <mergeCell ref="C35:AH35"/>
    <mergeCell ref="AH37:AH38"/>
    <mergeCell ref="C37:C38"/>
    <mergeCell ref="D37:F37"/>
    <mergeCell ref="G37:I37"/>
    <mergeCell ref="J37:L37"/>
    <mergeCell ref="M37:O37"/>
    <mergeCell ref="P37:R37"/>
    <mergeCell ref="S37:U37"/>
    <mergeCell ref="V37:X37"/>
    <mergeCell ref="Y37:AA37"/>
    <mergeCell ref="AB37:AD37"/>
    <mergeCell ref="AE37:AG37"/>
    <mergeCell ref="Y64:AA64"/>
    <mergeCell ref="AB64:AD64"/>
    <mergeCell ref="AE64:AG64"/>
    <mergeCell ref="AH64:AH65"/>
    <mergeCell ref="C62:AH62"/>
    <mergeCell ref="C63:AH63"/>
    <mergeCell ref="C64:C65"/>
    <mergeCell ref="D64:F64"/>
    <mergeCell ref="G64:I64"/>
    <mergeCell ref="J64:L64"/>
    <mergeCell ref="M64:O64"/>
    <mergeCell ref="P64:R64"/>
    <mergeCell ref="S64:U64"/>
    <mergeCell ref="V64:X64"/>
  </mergeCells>
  <phoneticPr fontId="29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AJ74"/>
  <sheetViews>
    <sheetView topLeftCell="B1" zoomScale="85" zoomScaleNormal="85" workbookViewId="0">
      <selection activeCell="AE2" sqref="C2:AE47"/>
    </sheetView>
  </sheetViews>
  <sheetFormatPr defaultColWidth="9.109375" defaultRowHeight="13.8" x14ac:dyDescent="0.25"/>
  <cols>
    <col min="1" max="2" width="9.109375" style="77"/>
    <col min="3" max="3" width="7.6640625" style="77" customWidth="1"/>
    <col min="4" max="4" width="10.77734375" style="74" customWidth="1"/>
    <col min="5" max="5" width="10.77734375" style="77" customWidth="1"/>
    <col min="6" max="7" width="10.77734375" style="74" customWidth="1"/>
    <col min="8" max="8" width="10.77734375" style="77" customWidth="1"/>
    <col min="9" max="10" width="10.77734375" style="74" customWidth="1"/>
    <col min="11" max="11" width="10.77734375" style="77" customWidth="1"/>
    <col min="12" max="12" width="10.77734375" style="74" customWidth="1"/>
    <col min="13" max="13" width="10.6640625" style="74" hidden="1" customWidth="1"/>
    <col min="14" max="14" width="10.6640625" style="77" hidden="1" customWidth="1"/>
    <col min="15" max="21" width="10.6640625" style="74" hidden="1" customWidth="1"/>
    <col min="22" max="22" width="10.6640625" style="75" hidden="1" customWidth="1"/>
    <col min="23" max="24" width="10.6640625" style="74" hidden="1" customWidth="1"/>
    <col min="25" max="25" width="10.6640625" style="75" hidden="1" customWidth="1"/>
    <col min="26" max="27" width="10.6640625" style="74" hidden="1" customWidth="1"/>
    <col min="28" max="28" width="10.6640625" style="75" hidden="1" customWidth="1"/>
    <col min="29" max="30" width="10.6640625" style="74" hidden="1" customWidth="1"/>
    <col min="31" max="32" width="7.6640625" style="74" customWidth="1"/>
    <col min="33" max="33" width="11.33203125" style="77" customWidth="1"/>
    <col min="34" max="34" width="9.109375" style="77"/>
    <col min="35" max="38" width="10.33203125" style="77" bestFit="1" customWidth="1"/>
    <col min="39" max="39" width="12.5546875" style="77" customWidth="1"/>
    <col min="40" max="40" width="10.88671875" style="77" bestFit="1" customWidth="1"/>
    <col min="41" max="41" width="10.109375" style="77" bestFit="1" customWidth="1"/>
    <col min="42" max="43" width="10.33203125" style="77" bestFit="1" customWidth="1"/>
    <col min="44" max="44" width="10.33203125" style="77" customWidth="1"/>
    <col min="45" max="16384" width="9.109375" style="77"/>
  </cols>
  <sheetData>
    <row r="2" spans="3:36" x14ac:dyDescent="0.25">
      <c r="C2" s="74"/>
      <c r="E2" s="74"/>
      <c r="H2" s="74"/>
      <c r="K2" s="74"/>
      <c r="N2" s="74"/>
      <c r="AE2" s="76" t="s">
        <v>159</v>
      </c>
      <c r="AF2" s="76"/>
    </row>
    <row r="3" spans="3:36" x14ac:dyDescent="0.25">
      <c r="C3" s="168" t="s">
        <v>51</v>
      </c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22"/>
    </row>
    <row r="4" spans="3:36" x14ac:dyDescent="0.25">
      <c r="C4" s="169" t="s">
        <v>160</v>
      </c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79"/>
      <c r="AG4" s="80"/>
    </row>
    <row r="5" spans="3:36" ht="19.95" customHeight="1" x14ac:dyDescent="0.25">
      <c r="C5" s="166" t="s">
        <v>1</v>
      </c>
      <c r="D5" s="132" t="s">
        <v>203</v>
      </c>
      <c r="E5" s="133"/>
      <c r="F5" s="134"/>
      <c r="G5" s="132" t="s">
        <v>216</v>
      </c>
      <c r="H5" s="133"/>
      <c r="I5" s="134"/>
      <c r="J5" s="132" t="s">
        <v>250</v>
      </c>
      <c r="K5" s="133"/>
      <c r="L5" s="134"/>
      <c r="M5" s="163" t="s">
        <v>52</v>
      </c>
      <c r="N5" s="164"/>
      <c r="O5" s="165"/>
      <c r="P5" s="163" t="s">
        <v>53</v>
      </c>
      <c r="Q5" s="164"/>
      <c r="R5" s="165"/>
      <c r="S5" s="163" t="s">
        <v>54</v>
      </c>
      <c r="T5" s="164"/>
      <c r="U5" s="165"/>
      <c r="V5" s="163" t="s">
        <v>55</v>
      </c>
      <c r="W5" s="164"/>
      <c r="X5" s="165"/>
      <c r="Y5" s="163" t="s">
        <v>56</v>
      </c>
      <c r="Z5" s="164"/>
      <c r="AA5" s="165"/>
      <c r="AB5" s="163" t="s">
        <v>57</v>
      </c>
      <c r="AC5" s="164"/>
      <c r="AD5" s="165"/>
      <c r="AE5" s="166" t="s">
        <v>1</v>
      </c>
      <c r="AF5" s="81"/>
      <c r="AI5" s="77" t="s">
        <v>202</v>
      </c>
    </row>
    <row r="6" spans="3:36" ht="55.05" customHeight="1" x14ac:dyDescent="0.25">
      <c r="C6" s="167"/>
      <c r="D6" s="82" t="s">
        <v>2</v>
      </c>
      <c r="E6" s="11" t="s">
        <v>3</v>
      </c>
      <c r="F6" s="11" t="s">
        <v>4</v>
      </c>
      <c r="G6" s="82" t="s">
        <v>2</v>
      </c>
      <c r="H6" s="11" t="s">
        <v>3</v>
      </c>
      <c r="I6" s="11" t="s">
        <v>4</v>
      </c>
      <c r="J6" s="82" t="s">
        <v>2</v>
      </c>
      <c r="K6" s="11" t="s">
        <v>3</v>
      </c>
      <c r="L6" s="11" t="s">
        <v>4</v>
      </c>
      <c r="M6" s="82" t="s">
        <v>2</v>
      </c>
      <c r="N6" s="11" t="s">
        <v>3</v>
      </c>
      <c r="O6" s="11" t="s">
        <v>4</v>
      </c>
      <c r="P6" s="82" t="s">
        <v>2</v>
      </c>
      <c r="Q6" s="11" t="s">
        <v>3</v>
      </c>
      <c r="R6" s="11" t="s">
        <v>4</v>
      </c>
      <c r="S6" s="82" t="s">
        <v>2</v>
      </c>
      <c r="T6" s="11" t="s">
        <v>3</v>
      </c>
      <c r="U6" s="11" t="s">
        <v>4</v>
      </c>
      <c r="V6" s="10" t="s">
        <v>2</v>
      </c>
      <c r="W6" s="11" t="s">
        <v>3</v>
      </c>
      <c r="X6" s="11" t="s">
        <v>4</v>
      </c>
      <c r="Y6" s="10" t="s">
        <v>2</v>
      </c>
      <c r="Z6" s="11" t="s">
        <v>3</v>
      </c>
      <c r="AA6" s="11" t="s">
        <v>4</v>
      </c>
      <c r="AB6" s="10" t="s">
        <v>2</v>
      </c>
      <c r="AC6" s="11" t="s">
        <v>3</v>
      </c>
      <c r="AD6" s="11" t="s">
        <v>4</v>
      </c>
      <c r="AE6" s="167"/>
      <c r="AF6" s="81"/>
      <c r="AI6" s="83">
        <v>45869</v>
      </c>
      <c r="AJ6" s="83">
        <v>45897</v>
      </c>
    </row>
    <row r="7" spans="3:36" ht="15.6" x14ac:dyDescent="0.25">
      <c r="C7" s="95" t="s">
        <v>161</v>
      </c>
      <c r="D7" s="84">
        <v>142.99029999999999</v>
      </c>
      <c r="E7" s="85">
        <v>0</v>
      </c>
      <c r="F7" s="85">
        <v>0</v>
      </c>
      <c r="G7" s="84">
        <v>142.98840000000001</v>
      </c>
      <c r="H7" s="85">
        <f>(G7-D7)*1000</f>
        <v>-1.8999999999778083</v>
      </c>
      <c r="I7" s="85">
        <f>F7+H7</f>
        <v>-1.8999999999778083</v>
      </c>
      <c r="J7" s="84">
        <v>142.98740000000001</v>
      </c>
      <c r="K7" s="85">
        <f>(J7-G7)*1000</f>
        <v>-1.0000000000047748</v>
      </c>
      <c r="L7" s="85">
        <f>I7+K7</f>
        <v>-2.8999999999825832</v>
      </c>
      <c r="M7" s="84">
        <v>91.493499999999997</v>
      </c>
      <c r="N7" s="85">
        <f>(M7-J7)*1000</f>
        <v>-51493.900000000009</v>
      </c>
      <c r="O7" s="85">
        <f>L7+N7</f>
        <v>-51496.799999999988</v>
      </c>
      <c r="P7" s="84">
        <v>91.492599999999996</v>
      </c>
      <c r="Q7" s="85">
        <f>(P7-M7)*1000</f>
        <v>-0.90000000000145519</v>
      </c>
      <c r="R7" s="85">
        <f>O7+Q7</f>
        <v>-51497.69999999999</v>
      </c>
      <c r="S7" s="84">
        <v>91.491699999999994</v>
      </c>
      <c r="T7" s="85">
        <f>(S7-P7)*1000</f>
        <v>-0.90000000000145519</v>
      </c>
      <c r="U7" s="85">
        <f>R7+T7</f>
        <v>-51498.599999999991</v>
      </c>
      <c r="V7" s="86">
        <v>91.490899999999996</v>
      </c>
      <c r="W7" s="85">
        <f>(V7-S7)*1000</f>
        <v>-0.79999999999813554</v>
      </c>
      <c r="X7" s="85">
        <f>U7+W7</f>
        <v>-51499.399999999987</v>
      </c>
      <c r="Y7" s="86">
        <v>91.490499999999997</v>
      </c>
      <c r="Z7" s="85">
        <f>(Y7-V7)*1000</f>
        <v>-0.39999999999906777</v>
      </c>
      <c r="AA7" s="85">
        <f>X7+Z7</f>
        <v>-51499.799999999988</v>
      </c>
      <c r="AB7" s="86">
        <v>91.49</v>
      </c>
      <c r="AC7" s="85">
        <f>(AB7-Y7)*1000</f>
        <v>-0.50000000000238742</v>
      </c>
      <c r="AD7" s="85">
        <f>AA7+AC7</f>
        <v>-51500.299999999988</v>
      </c>
      <c r="AE7" s="95" t="str">
        <f>C7</f>
        <v>6.1.</v>
      </c>
      <c r="AF7" s="87"/>
      <c r="AH7" s="89" t="s">
        <v>161</v>
      </c>
      <c r="AI7" s="77">
        <v>0</v>
      </c>
      <c r="AJ7" s="77">
        <v>-1.8999999999778083</v>
      </c>
    </row>
    <row r="8" spans="3:36" ht="15.6" x14ac:dyDescent="0.25">
      <c r="C8" s="95" t="s">
        <v>162</v>
      </c>
      <c r="D8" s="84">
        <v>142.97900000000001</v>
      </c>
      <c r="E8" s="85">
        <v>0</v>
      </c>
      <c r="F8" s="85">
        <v>0</v>
      </c>
      <c r="G8" s="84">
        <v>142.97669999999999</v>
      </c>
      <c r="H8" s="85">
        <f t="shared" ref="H8:H47" si="0">(G8-D8)*1000</f>
        <v>-2.3000000000195087</v>
      </c>
      <c r="I8" s="85">
        <f t="shared" ref="I8:I47" si="1">F8+H8</f>
        <v>-2.3000000000195087</v>
      </c>
      <c r="J8" s="84">
        <v>142.97479999999999</v>
      </c>
      <c r="K8" s="85">
        <f t="shared" ref="K8:K47" si="2">(J8-G8)*1000</f>
        <v>-1.90000000000623</v>
      </c>
      <c r="L8" s="85">
        <f t="shared" ref="L8:L47" si="3">I8+K8</f>
        <v>-4.2000000000257387</v>
      </c>
      <c r="M8" s="84">
        <v>91.558499999999995</v>
      </c>
      <c r="N8" s="85">
        <f t="shared" ref="N8:N47" si="4">(M8-J8)*1000</f>
        <v>-51416.299999999996</v>
      </c>
      <c r="O8" s="85">
        <f t="shared" ref="O8:O47" si="5">L8+N8</f>
        <v>-51420.500000000022</v>
      </c>
      <c r="P8" s="84">
        <v>91.5578</v>
      </c>
      <c r="Q8" s="85">
        <f t="shared" ref="Q8:Q47" si="6">(P8-M8)*1000</f>
        <v>-0.69999999999481588</v>
      </c>
      <c r="R8" s="85">
        <f t="shared" ref="R8:R47" si="7">O8+Q8</f>
        <v>-51421.200000000019</v>
      </c>
      <c r="S8" s="84">
        <v>91.557100000000005</v>
      </c>
      <c r="T8" s="85">
        <f t="shared" ref="T8:T47" si="8">(S8-P8)*1000</f>
        <v>-0.69999999999481588</v>
      </c>
      <c r="U8" s="85">
        <f t="shared" ref="U8:U47" si="9">R8+T8</f>
        <v>-51421.900000000016</v>
      </c>
      <c r="V8" s="86">
        <v>91.5565</v>
      </c>
      <c r="W8" s="85">
        <f t="shared" ref="W8:W47" si="10">(V8-S8)*1000</f>
        <v>-0.60000000000570708</v>
      </c>
      <c r="X8" s="85">
        <f t="shared" ref="X8:X47" si="11">U8+W8</f>
        <v>-51422.500000000022</v>
      </c>
      <c r="Y8" s="86">
        <v>91.555899999999994</v>
      </c>
      <c r="Z8" s="85">
        <f t="shared" ref="Z8:Z47" si="12">(Y8-V8)*1000</f>
        <v>-0.60000000000570708</v>
      </c>
      <c r="AA8" s="85">
        <f t="shared" ref="AA8:AA47" si="13">X8+Z8</f>
        <v>-51423.100000000028</v>
      </c>
      <c r="AB8" s="86">
        <v>91.555599999999998</v>
      </c>
      <c r="AC8" s="85">
        <f t="shared" ref="AC8:AC47" si="14">(AB8-Y8)*1000</f>
        <v>-0.29999999999574811</v>
      </c>
      <c r="AD8" s="85">
        <f t="shared" ref="AD8:AD47" si="15">AA8+AC8</f>
        <v>-51423.400000000023</v>
      </c>
      <c r="AE8" s="95" t="str">
        <f t="shared" ref="AE8:AE47" si="16">C8</f>
        <v>6.2.</v>
      </c>
      <c r="AF8" s="87"/>
      <c r="AH8" s="89" t="s">
        <v>162</v>
      </c>
      <c r="AI8" s="77">
        <v>0</v>
      </c>
      <c r="AJ8" s="77">
        <v>-2.3000000000195087</v>
      </c>
    </row>
    <row r="9" spans="3:36" ht="15.6" x14ac:dyDescent="0.25">
      <c r="C9" s="95" t="s">
        <v>163</v>
      </c>
      <c r="D9" s="84">
        <v>143.07550000000001</v>
      </c>
      <c r="E9" s="85">
        <v>0</v>
      </c>
      <c r="F9" s="85">
        <v>0</v>
      </c>
      <c r="G9" s="84">
        <v>143.07320000000001</v>
      </c>
      <c r="H9" s="85">
        <f t="shared" si="0"/>
        <v>-2.299999999991087</v>
      </c>
      <c r="I9" s="85">
        <f t="shared" si="1"/>
        <v>-2.299999999991087</v>
      </c>
      <c r="J9" s="84">
        <v>143.06979999999999</v>
      </c>
      <c r="K9" s="85">
        <f t="shared" si="2"/>
        <v>-3.4000000000276032</v>
      </c>
      <c r="L9" s="85">
        <f t="shared" si="3"/>
        <v>-5.7000000000186901</v>
      </c>
      <c r="M9" s="84">
        <v>91.597099999999998</v>
      </c>
      <c r="N9" s="85">
        <f t="shared" si="4"/>
        <v>-51472.69999999999</v>
      </c>
      <c r="O9" s="85">
        <f t="shared" si="5"/>
        <v>-51478.400000000009</v>
      </c>
      <c r="P9" s="84">
        <v>91.596299999999999</v>
      </c>
      <c r="Q9" s="85">
        <f t="shared" si="6"/>
        <v>-0.79999999999813554</v>
      </c>
      <c r="R9" s="85">
        <f t="shared" si="7"/>
        <v>-51479.200000000004</v>
      </c>
      <c r="S9" s="84">
        <v>91.595500000000001</v>
      </c>
      <c r="T9" s="85">
        <f t="shared" si="8"/>
        <v>-0.79999999999813554</v>
      </c>
      <c r="U9" s="85">
        <f t="shared" si="9"/>
        <v>-51480</v>
      </c>
      <c r="V9" s="86">
        <v>91.594800000000006</v>
      </c>
      <c r="W9" s="85">
        <f t="shared" si="10"/>
        <v>-0.69999999999481588</v>
      </c>
      <c r="X9" s="85">
        <f t="shared" si="11"/>
        <v>-51480.7</v>
      </c>
      <c r="Y9" s="86">
        <v>91.594099999999997</v>
      </c>
      <c r="Z9" s="85">
        <f t="shared" si="12"/>
        <v>-0.70000000000902673</v>
      </c>
      <c r="AA9" s="85">
        <f t="shared" si="13"/>
        <v>-51481.400000000009</v>
      </c>
      <c r="AB9" s="86">
        <v>91.593699999999998</v>
      </c>
      <c r="AC9" s="85">
        <f t="shared" si="14"/>
        <v>-0.39999999999906777</v>
      </c>
      <c r="AD9" s="85">
        <f t="shared" si="15"/>
        <v>-51481.80000000001</v>
      </c>
      <c r="AE9" s="95" t="str">
        <f t="shared" si="16"/>
        <v>6.3.</v>
      </c>
      <c r="AF9" s="87"/>
      <c r="AH9" s="89" t="s">
        <v>163</v>
      </c>
      <c r="AI9" s="77">
        <v>0</v>
      </c>
      <c r="AJ9" s="77">
        <v>-2.299999999991087</v>
      </c>
    </row>
    <row r="10" spans="3:36" ht="15.6" x14ac:dyDescent="0.25">
      <c r="C10" s="95" t="s">
        <v>164</v>
      </c>
      <c r="D10" s="84">
        <v>144.2724</v>
      </c>
      <c r="E10" s="85">
        <v>0</v>
      </c>
      <c r="F10" s="85">
        <v>0</v>
      </c>
      <c r="G10" s="84">
        <v>144.27000000000001</v>
      </c>
      <c r="H10" s="85">
        <f t="shared" si="0"/>
        <v>-2.3999999999944066</v>
      </c>
      <c r="I10" s="85">
        <f t="shared" si="1"/>
        <v>-2.3999999999944066</v>
      </c>
      <c r="J10" s="84">
        <v>144.26740000000001</v>
      </c>
      <c r="K10" s="85">
        <f t="shared" si="2"/>
        <v>-2.6000000000010459</v>
      </c>
      <c r="L10" s="85">
        <f t="shared" si="3"/>
        <v>-4.9999999999954525</v>
      </c>
      <c r="M10" s="84">
        <v>91.761200000000002</v>
      </c>
      <c r="N10" s="85">
        <f t="shared" si="4"/>
        <v>-52506.200000000004</v>
      </c>
      <c r="O10" s="85">
        <f t="shared" si="5"/>
        <v>-52511.199999999997</v>
      </c>
      <c r="P10" s="84">
        <v>91.760300000000001</v>
      </c>
      <c r="Q10" s="85">
        <f t="shared" si="6"/>
        <v>-0.90000000000145519</v>
      </c>
      <c r="R10" s="85">
        <f t="shared" si="7"/>
        <v>-52512.1</v>
      </c>
      <c r="S10" s="84">
        <v>91.759500000000003</v>
      </c>
      <c r="T10" s="85">
        <f t="shared" si="8"/>
        <v>-0.79999999999813554</v>
      </c>
      <c r="U10" s="85">
        <f t="shared" si="9"/>
        <v>-52512.899999999994</v>
      </c>
      <c r="V10" s="86">
        <v>91.759</v>
      </c>
      <c r="W10" s="85">
        <f t="shared" si="10"/>
        <v>-0.50000000000238742</v>
      </c>
      <c r="X10" s="85">
        <f t="shared" si="11"/>
        <v>-52513.399999999994</v>
      </c>
      <c r="Y10" s="86">
        <v>91.758700000000005</v>
      </c>
      <c r="Z10" s="85">
        <f t="shared" si="12"/>
        <v>-0.29999999999574811</v>
      </c>
      <c r="AA10" s="85">
        <f t="shared" si="13"/>
        <v>-52513.69999999999</v>
      </c>
      <c r="AB10" s="86">
        <v>91.758099999999999</v>
      </c>
      <c r="AC10" s="85">
        <f t="shared" si="14"/>
        <v>-0.60000000000570708</v>
      </c>
      <c r="AD10" s="85">
        <f t="shared" si="15"/>
        <v>-52514.299999999996</v>
      </c>
      <c r="AE10" s="95" t="str">
        <f t="shared" si="16"/>
        <v>6.4.</v>
      </c>
      <c r="AF10" s="87"/>
      <c r="AH10" s="89" t="s">
        <v>164</v>
      </c>
      <c r="AI10" s="77">
        <v>0</v>
      </c>
      <c r="AJ10" s="77">
        <v>-2.3999999999944066</v>
      </c>
    </row>
    <row r="11" spans="3:36" ht="15.6" x14ac:dyDescent="0.25">
      <c r="C11" s="95" t="s">
        <v>165</v>
      </c>
      <c r="D11" s="84">
        <v>144.34829999999999</v>
      </c>
      <c r="E11" s="85">
        <v>0</v>
      </c>
      <c r="F11" s="85">
        <v>0</v>
      </c>
      <c r="G11" s="84">
        <v>144.34650000000002</v>
      </c>
      <c r="H11" s="85">
        <f t="shared" si="0"/>
        <v>-1.7999999999744887</v>
      </c>
      <c r="I11" s="85">
        <f t="shared" si="1"/>
        <v>-1.7999999999744887</v>
      </c>
      <c r="J11" s="84">
        <v>144.34379999999999</v>
      </c>
      <c r="K11" s="85">
        <f t="shared" si="2"/>
        <v>-2.7000000000327873</v>
      </c>
      <c r="L11" s="85">
        <f t="shared" si="3"/>
        <v>-4.500000000007276</v>
      </c>
      <c r="M11" s="84">
        <v>91.6404</v>
      </c>
      <c r="N11" s="85">
        <f t="shared" si="4"/>
        <v>-52703.399999999987</v>
      </c>
      <c r="O11" s="85">
        <f t="shared" si="5"/>
        <v>-52707.899999999994</v>
      </c>
      <c r="P11" s="84">
        <v>91.639399999999995</v>
      </c>
      <c r="Q11" s="85">
        <f t="shared" si="6"/>
        <v>-1.0000000000047748</v>
      </c>
      <c r="R11" s="85">
        <f t="shared" si="7"/>
        <v>-52708.9</v>
      </c>
      <c r="S11" s="84">
        <v>91.638900000000007</v>
      </c>
      <c r="T11" s="85">
        <f t="shared" si="8"/>
        <v>-0.49999999998817657</v>
      </c>
      <c r="U11" s="85">
        <f t="shared" si="9"/>
        <v>-52709.399999999987</v>
      </c>
      <c r="V11" s="86">
        <v>91.638099999999994</v>
      </c>
      <c r="W11" s="85">
        <f t="shared" si="10"/>
        <v>-0.80000000001234639</v>
      </c>
      <c r="X11" s="85">
        <f t="shared" si="11"/>
        <v>-52710.2</v>
      </c>
      <c r="Y11" s="86">
        <v>91.638000000000005</v>
      </c>
      <c r="Z11" s="85">
        <f t="shared" si="12"/>
        <v>-9.9999999989108801E-2</v>
      </c>
      <c r="AA11" s="85">
        <f t="shared" si="13"/>
        <v>-52710.299999999988</v>
      </c>
      <c r="AB11" s="86">
        <v>91.637100000000004</v>
      </c>
      <c r="AC11" s="85">
        <f t="shared" si="14"/>
        <v>-0.90000000000145519</v>
      </c>
      <c r="AD11" s="85">
        <f t="shared" si="15"/>
        <v>-52711.19999999999</v>
      </c>
      <c r="AE11" s="95" t="str">
        <f t="shared" si="16"/>
        <v>6.5.</v>
      </c>
      <c r="AF11" s="87"/>
      <c r="AH11" s="89" t="s">
        <v>165</v>
      </c>
      <c r="AI11" s="77">
        <v>0</v>
      </c>
      <c r="AJ11" s="77">
        <v>-1.7999999999744887</v>
      </c>
    </row>
    <row r="12" spans="3:36" ht="15.6" x14ac:dyDescent="0.25">
      <c r="C12" s="95" t="s">
        <v>166</v>
      </c>
      <c r="D12" s="84">
        <v>142.982</v>
      </c>
      <c r="E12" s="85">
        <v>0</v>
      </c>
      <c r="F12" s="85">
        <v>0</v>
      </c>
      <c r="G12" s="84">
        <v>142.97970000000001</v>
      </c>
      <c r="H12" s="85">
        <f t="shared" si="0"/>
        <v>-2.299999999991087</v>
      </c>
      <c r="I12" s="85">
        <f t="shared" si="1"/>
        <v>-2.299999999991087</v>
      </c>
      <c r="J12" s="84">
        <v>142.9777</v>
      </c>
      <c r="K12" s="85">
        <f t="shared" si="2"/>
        <v>-2.0000000000095497</v>
      </c>
      <c r="L12" s="85">
        <f t="shared" si="3"/>
        <v>-4.3000000000006366</v>
      </c>
      <c r="M12" s="84">
        <v>91.666300000000007</v>
      </c>
      <c r="N12" s="85">
        <f t="shared" si="4"/>
        <v>-51311.399999999994</v>
      </c>
      <c r="O12" s="85">
        <f t="shared" si="5"/>
        <v>-51315.7</v>
      </c>
      <c r="P12" s="84">
        <v>91.665199999999999</v>
      </c>
      <c r="Q12" s="85">
        <f t="shared" si="6"/>
        <v>-1.1000000000080945</v>
      </c>
      <c r="R12" s="85">
        <f t="shared" si="7"/>
        <v>-51316.800000000003</v>
      </c>
      <c r="S12" s="84">
        <v>91.664299999999997</v>
      </c>
      <c r="T12" s="85">
        <f t="shared" si="8"/>
        <v>-0.90000000000145519</v>
      </c>
      <c r="U12" s="85">
        <f t="shared" si="9"/>
        <v>-51317.700000000004</v>
      </c>
      <c r="V12" s="86">
        <v>91.663600000000002</v>
      </c>
      <c r="W12" s="85">
        <f t="shared" si="10"/>
        <v>-0.69999999999481588</v>
      </c>
      <c r="X12" s="85">
        <f t="shared" si="11"/>
        <v>-51318.400000000001</v>
      </c>
      <c r="Y12" s="86">
        <v>91.663200000000003</v>
      </c>
      <c r="Z12" s="85">
        <f t="shared" si="12"/>
        <v>-0.39999999999906777</v>
      </c>
      <c r="AA12" s="85">
        <f t="shared" si="13"/>
        <v>-51318.8</v>
      </c>
      <c r="AB12" s="86">
        <v>91.662400000000005</v>
      </c>
      <c r="AC12" s="85">
        <f t="shared" si="14"/>
        <v>-0.79999999999813554</v>
      </c>
      <c r="AD12" s="85">
        <f t="shared" si="15"/>
        <v>-51319.6</v>
      </c>
      <c r="AE12" s="95" t="str">
        <f t="shared" si="16"/>
        <v>6.6.</v>
      </c>
      <c r="AF12" s="87"/>
      <c r="AH12" s="89" t="s">
        <v>166</v>
      </c>
      <c r="AI12" s="77">
        <v>0</v>
      </c>
      <c r="AJ12" s="77">
        <v>-2.299999999991087</v>
      </c>
    </row>
    <row r="13" spans="3:36" ht="15.6" x14ac:dyDescent="0.25">
      <c r="C13" s="95" t="s">
        <v>167</v>
      </c>
      <c r="D13" s="84">
        <v>143.11679999999998</v>
      </c>
      <c r="E13" s="85">
        <v>0</v>
      </c>
      <c r="F13" s="85">
        <v>0</v>
      </c>
      <c r="G13" s="84">
        <v>143.114</v>
      </c>
      <c r="H13" s="85">
        <f t="shared" si="0"/>
        <v>-2.7999999999792635</v>
      </c>
      <c r="I13" s="85">
        <f t="shared" si="1"/>
        <v>-2.7999999999792635</v>
      </c>
      <c r="J13" s="84">
        <v>143.11089999999999</v>
      </c>
      <c r="K13" s="85">
        <f t="shared" si="2"/>
        <v>-3.1000000000176442</v>
      </c>
      <c r="L13" s="85">
        <f t="shared" si="3"/>
        <v>-5.8999999999969077</v>
      </c>
      <c r="M13" s="84">
        <v>91.619100000000003</v>
      </c>
      <c r="N13" s="85">
        <f t="shared" si="4"/>
        <v>-51491.799999999981</v>
      </c>
      <c r="O13" s="85">
        <f t="shared" si="5"/>
        <v>-51497.699999999975</v>
      </c>
      <c r="P13" s="84">
        <v>91.618399999999994</v>
      </c>
      <c r="Q13" s="85">
        <f t="shared" si="6"/>
        <v>-0.70000000000902673</v>
      </c>
      <c r="R13" s="85">
        <f t="shared" si="7"/>
        <v>-51498.399999999987</v>
      </c>
      <c r="S13" s="84">
        <v>91.617599999999996</v>
      </c>
      <c r="T13" s="85">
        <f t="shared" si="8"/>
        <v>-0.79999999999813554</v>
      </c>
      <c r="U13" s="85">
        <f t="shared" si="9"/>
        <v>-51499.199999999983</v>
      </c>
      <c r="V13" s="86">
        <v>91.617000000000004</v>
      </c>
      <c r="W13" s="85">
        <f t="shared" si="10"/>
        <v>-0.59999999999149622</v>
      </c>
      <c r="X13" s="85">
        <f t="shared" si="11"/>
        <v>-51499.799999999974</v>
      </c>
      <c r="Y13" s="86">
        <v>91.616500000000002</v>
      </c>
      <c r="Z13" s="85">
        <f t="shared" si="12"/>
        <v>-0.50000000000238742</v>
      </c>
      <c r="AA13" s="85">
        <f t="shared" si="13"/>
        <v>-51500.299999999974</v>
      </c>
      <c r="AB13" s="86">
        <v>91.615899999999996</v>
      </c>
      <c r="AC13" s="85">
        <f t="shared" si="14"/>
        <v>-0.60000000000570708</v>
      </c>
      <c r="AD13" s="85">
        <f t="shared" si="15"/>
        <v>-51500.89999999998</v>
      </c>
      <c r="AE13" s="95" t="str">
        <f t="shared" si="16"/>
        <v>6.7.</v>
      </c>
      <c r="AF13" s="87"/>
      <c r="AH13" s="89" t="s">
        <v>167</v>
      </c>
      <c r="AI13" s="77">
        <v>0</v>
      </c>
      <c r="AJ13" s="77">
        <v>-2.7999999999792635</v>
      </c>
    </row>
    <row r="14" spans="3:36" ht="15.6" x14ac:dyDescent="0.25">
      <c r="C14" s="95" t="s">
        <v>168</v>
      </c>
      <c r="D14" s="84">
        <v>144.06119999999999</v>
      </c>
      <c r="E14" s="85">
        <v>0</v>
      </c>
      <c r="F14" s="85">
        <v>0</v>
      </c>
      <c r="G14" s="84">
        <v>144.05799999999999</v>
      </c>
      <c r="H14" s="85">
        <f t="shared" si="0"/>
        <v>-3.1999999999925421</v>
      </c>
      <c r="I14" s="85">
        <f t="shared" si="1"/>
        <v>-3.1999999999925421</v>
      </c>
      <c r="J14" s="84">
        <v>144.05410000000001</v>
      </c>
      <c r="K14" s="85">
        <f t="shared" si="2"/>
        <v>-3.899999999987358</v>
      </c>
      <c r="L14" s="85">
        <f t="shared" si="3"/>
        <v>-7.0999999999799002</v>
      </c>
      <c r="M14" s="84">
        <v>91.658199999999994</v>
      </c>
      <c r="N14" s="85">
        <f t="shared" si="4"/>
        <v>-52395.900000000009</v>
      </c>
      <c r="O14" s="85">
        <f t="shared" si="5"/>
        <v>-52402.999999999985</v>
      </c>
      <c r="P14" s="84">
        <v>91.657300000000006</v>
      </c>
      <c r="Q14" s="85">
        <f t="shared" si="6"/>
        <v>-0.89999999998724434</v>
      </c>
      <c r="R14" s="85">
        <f t="shared" si="7"/>
        <v>-52403.899999999972</v>
      </c>
      <c r="S14" s="84">
        <v>91.656700000000001</v>
      </c>
      <c r="T14" s="85">
        <f t="shared" si="8"/>
        <v>-0.60000000000570708</v>
      </c>
      <c r="U14" s="85">
        <f t="shared" si="9"/>
        <v>-52404.499999999978</v>
      </c>
      <c r="V14" s="86">
        <v>91.655900000000003</v>
      </c>
      <c r="W14" s="85">
        <f t="shared" si="10"/>
        <v>-0.79999999999813554</v>
      </c>
      <c r="X14" s="85">
        <f t="shared" si="11"/>
        <v>-52405.299999999974</v>
      </c>
      <c r="Y14" s="86">
        <v>91.655500000000004</v>
      </c>
      <c r="Z14" s="85">
        <f t="shared" si="12"/>
        <v>-0.39999999999906777</v>
      </c>
      <c r="AA14" s="85">
        <f t="shared" si="13"/>
        <v>-52405.699999999975</v>
      </c>
      <c r="AB14" s="86">
        <v>91.654799999999994</v>
      </c>
      <c r="AC14" s="85">
        <f t="shared" si="14"/>
        <v>-0.70000000000902673</v>
      </c>
      <c r="AD14" s="85">
        <f t="shared" si="15"/>
        <v>-52406.399999999987</v>
      </c>
      <c r="AE14" s="95" t="str">
        <f t="shared" si="16"/>
        <v>6.8.</v>
      </c>
      <c r="AF14" s="87"/>
      <c r="AH14" s="89" t="s">
        <v>168</v>
      </c>
      <c r="AI14" s="77">
        <v>0</v>
      </c>
      <c r="AJ14" s="77">
        <v>-3.1999999999925421</v>
      </c>
    </row>
    <row r="15" spans="3:36" ht="15.6" x14ac:dyDescent="0.25">
      <c r="C15" s="95" t="s">
        <v>169</v>
      </c>
      <c r="D15" s="84">
        <v>144.22949999999997</v>
      </c>
      <c r="E15" s="85">
        <v>0</v>
      </c>
      <c r="F15" s="85">
        <v>0</v>
      </c>
      <c r="G15" s="84">
        <v>144.2268</v>
      </c>
      <c r="H15" s="85">
        <f t="shared" si="0"/>
        <v>-2.6999999999759439</v>
      </c>
      <c r="I15" s="85">
        <f t="shared" si="1"/>
        <v>-2.6999999999759439</v>
      </c>
      <c r="J15" s="84">
        <v>144.2236</v>
      </c>
      <c r="K15" s="85">
        <f t="shared" si="2"/>
        <v>-3.1999999999925421</v>
      </c>
      <c r="L15" s="85">
        <f t="shared" si="3"/>
        <v>-5.899999999968486</v>
      </c>
      <c r="M15" s="84">
        <v>91.7</v>
      </c>
      <c r="N15" s="85">
        <f t="shared" si="4"/>
        <v>-52523.6</v>
      </c>
      <c r="O15" s="85">
        <f t="shared" si="5"/>
        <v>-52529.499999999964</v>
      </c>
      <c r="P15" s="84">
        <v>91.699100000000001</v>
      </c>
      <c r="Q15" s="85">
        <f t="shared" si="6"/>
        <v>-0.90000000000145519</v>
      </c>
      <c r="R15" s="85">
        <f t="shared" si="7"/>
        <v>-52530.399999999965</v>
      </c>
      <c r="S15" s="84">
        <v>91.698300000000003</v>
      </c>
      <c r="T15" s="85">
        <f t="shared" si="8"/>
        <v>-0.79999999999813554</v>
      </c>
      <c r="U15" s="85">
        <f t="shared" si="9"/>
        <v>-52531.199999999961</v>
      </c>
      <c r="V15" s="86">
        <v>91.697800000000001</v>
      </c>
      <c r="W15" s="85">
        <f t="shared" si="10"/>
        <v>-0.50000000000238742</v>
      </c>
      <c r="X15" s="85">
        <f t="shared" si="11"/>
        <v>-52531.699999999961</v>
      </c>
      <c r="Y15" s="86">
        <v>91.697400000000002</v>
      </c>
      <c r="Z15" s="85">
        <f t="shared" si="12"/>
        <v>-0.39999999999906777</v>
      </c>
      <c r="AA15" s="85">
        <f t="shared" si="13"/>
        <v>-52532.099999999962</v>
      </c>
      <c r="AB15" s="86">
        <v>91.696899999999999</v>
      </c>
      <c r="AC15" s="85">
        <f t="shared" si="14"/>
        <v>-0.50000000000238742</v>
      </c>
      <c r="AD15" s="85">
        <f t="shared" si="15"/>
        <v>-52532.599999999962</v>
      </c>
      <c r="AE15" s="95" t="str">
        <f t="shared" si="16"/>
        <v>6.9.</v>
      </c>
      <c r="AF15" s="87"/>
      <c r="AH15" s="89" t="s">
        <v>169</v>
      </c>
      <c r="AI15" s="77">
        <v>0</v>
      </c>
      <c r="AJ15" s="77">
        <v>-2.6999999999759439</v>
      </c>
    </row>
    <row r="16" spans="3:36" ht="15.6" x14ac:dyDescent="0.25">
      <c r="C16" s="95" t="s">
        <v>170</v>
      </c>
      <c r="D16" s="84">
        <v>144.4281</v>
      </c>
      <c r="E16" s="85">
        <v>0</v>
      </c>
      <c r="F16" s="85">
        <v>0</v>
      </c>
      <c r="G16" s="84">
        <v>144.4248</v>
      </c>
      <c r="H16" s="85">
        <f t="shared" si="0"/>
        <v>-3.2999999999958618</v>
      </c>
      <c r="I16" s="85">
        <f t="shared" si="1"/>
        <v>-3.2999999999958618</v>
      </c>
      <c r="J16" s="84">
        <v>144.41990000000001</v>
      </c>
      <c r="K16" s="85">
        <f t="shared" si="2"/>
        <v>-4.8999999999921329</v>
      </c>
      <c r="L16" s="85">
        <f t="shared" si="3"/>
        <v>-8.1999999999879947</v>
      </c>
      <c r="M16" s="84">
        <v>91.746799999999993</v>
      </c>
      <c r="N16" s="85">
        <f t="shared" si="4"/>
        <v>-52673.10000000002</v>
      </c>
      <c r="O16" s="85">
        <f t="shared" si="5"/>
        <v>-52681.30000000001</v>
      </c>
      <c r="P16" s="84">
        <v>91.745999999999995</v>
      </c>
      <c r="Q16" s="85">
        <f t="shared" si="6"/>
        <v>-0.79999999999813554</v>
      </c>
      <c r="R16" s="85">
        <f t="shared" si="7"/>
        <v>-52682.100000000006</v>
      </c>
      <c r="S16" s="84">
        <v>91.745599999999996</v>
      </c>
      <c r="T16" s="85">
        <f t="shared" si="8"/>
        <v>-0.39999999999906777</v>
      </c>
      <c r="U16" s="85">
        <f t="shared" si="9"/>
        <v>-52682.500000000007</v>
      </c>
      <c r="V16" s="86">
        <v>91.745000000000005</v>
      </c>
      <c r="W16" s="85">
        <f t="shared" si="10"/>
        <v>-0.59999999999149622</v>
      </c>
      <c r="X16" s="85">
        <f t="shared" si="11"/>
        <v>-52683.1</v>
      </c>
      <c r="Y16" s="86">
        <v>91.744500000000002</v>
      </c>
      <c r="Z16" s="85">
        <f t="shared" si="12"/>
        <v>-0.50000000000238742</v>
      </c>
      <c r="AA16" s="85">
        <f t="shared" si="13"/>
        <v>-52683.6</v>
      </c>
      <c r="AB16" s="86">
        <v>91.743899999999996</v>
      </c>
      <c r="AC16" s="85">
        <f t="shared" si="14"/>
        <v>-0.60000000000570708</v>
      </c>
      <c r="AD16" s="85">
        <f t="shared" si="15"/>
        <v>-52684.200000000004</v>
      </c>
      <c r="AE16" s="95" t="str">
        <f t="shared" si="16"/>
        <v>6.10.</v>
      </c>
      <c r="AF16" s="87"/>
      <c r="AG16" s="90">
        <f>(I17-I15)/AG19</f>
        <v>-1.1956521739218418E-4</v>
      </c>
      <c r="AH16" s="89" t="s">
        <v>170</v>
      </c>
      <c r="AI16" s="77">
        <v>0</v>
      </c>
      <c r="AJ16" s="77">
        <v>-3.2999999999958618</v>
      </c>
    </row>
    <row r="17" spans="3:36" ht="15.6" x14ac:dyDescent="0.25">
      <c r="C17" s="95" t="s">
        <v>171</v>
      </c>
      <c r="D17" s="84">
        <v>143.29559999999998</v>
      </c>
      <c r="E17" s="85">
        <v>0</v>
      </c>
      <c r="F17" s="85">
        <v>0</v>
      </c>
      <c r="G17" s="84">
        <v>143.29179999999999</v>
      </c>
      <c r="H17" s="85">
        <f t="shared" si="0"/>
        <v>-3.7999999999840384</v>
      </c>
      <c r="I17" s="115">
        <f t="shared" si="1"/>
        <v>-3.7999999999840384</v>
      </c>
      <c r="J17" s="84">
        <v>143.28829999999999</v>
      </c>
      <c r="K17" s="85">
        <f t="shared" si="2"/>
        <v>-3.5000000000025011</v>
      </c>
      <c r="L17" s="85">
        <f t="shared" si="3"/>
        <v>-7.2999999999865395</v>
      </c>
      <c r="M17" s="84">
        <v>91.731999999999999</v>
      </c>
      <c r="N17" s="85">
        <f t="shared" si="4"/>
        <v>-51556.299999999996</v>
      </c>
      <c r="O17" s="85">
        <f t="shared" si="5"/>
        <v>-51563.599999999984</v>
      </c>
      <c r="P17" s="84">
        <v>91.730900000000005</v>
      </c>
      <c r="Q17" s="85">
        <f t="shared" si="6"/>
        <v>-1.0999999999938836</v>
      </c>
      <c r="R17" s="85">
        <f t="shared" si="7"/>
        <v>-51564.699999999975</v>
      </c>
      <c r="S17" s="84">
        <v>91.729900000000001</v>
      </c>
      <c r="T17" s="85">
        <f t="shared" si="8"/>
        <v>-1.0000000000047748</v>
      </c>
      <c r="U17" s="85">
        <f t="shared" si="9"/>
        <v>-51565.699999999983</v>
      </c>
      <c r="V17" s="86">
        <v>91.729200000000006</v>
      </c>
      <c r="W17" s="85">
        <f t="shared" si="10"/>
        <v>-0.69999999999481588</v>
      </c>
      <c r="X17" s="85">
        <f t="shared" si="11"/>
        <v>-51566.39999999998</v>
      </c>
      <c r="Y17" s="86">
        <v>91.728800000000007</v>
      </c>
      <c r="Z17" s="85">
        <f t="shared" si="12"/>
        <v>-0.39999999999906777</v>
      </c>
      <c r="AA17" s="85">
        <f t="shared" si="13"/>
        <v>-51566.799999999981</v>
      </c>
      <c r="AB17" s="86">
        <v>91.728099999999998</v>
      </c>
      <c r="AC17" s="85">
        <f t="shared" si="14"/>
        <v>-0.70000000000902673</v>
      </c>
      <c r="AD17" s="85">
        <f t="shared" si="15"/>
        <v>-51567.499999999993</v>
      </c>
      <c r="AE17" s="95" t="str">
        <f t="shared" si="16"/>
        <v>6.11.</v>
      </c>
      <c r="AF17" s="87"/>
      <c r="AH17" s="89" t="s">
        <v>171</v>
      </c>
      <c r="AI17" s="77">
        <v>0</v>
      </c>
      <c r="AJ17" s="77">
        <v>-3.7999999999840384</v>
      </c>
    </row>
    <row r="18" spans="3:36" ht="15.6" x14ac:dyDescent="0.25">
      <c r="C18" s="95" t="s">
        <v>172</v>
      </c>
      <c r="D18" s="84">
        <v>143.16879999999998</v>
      </c>
      <c r="E18" s="85">
        <v>0</v>
      </c>
      <c r="F18" s="85">
        <v>0</v>
      </c>
      <c r="G18" s="84">
        <v>143.1652</v>
      </c>
      <c r="H18" s="85">
        <f t="shared" si="0"/>
        <v>-3.5999999999773991</v>
      </c>
      <c r="I18" s="85">
        <f t="shared" si="1"/>
        <v>-3.5999999999773991</v>
      </c>
      <c r="J18" s="84">
        <v>143.1635</v>
      </c>
      <c r="K18" s="85">
        <f t="shared" si="2"/>
        <v>-1.6999999999995907</v>
      </c>
      <c r="L18" s="85">
        <f t="shared" si="3"/>
        <v>-5.2999999999769898</v>
      </c>
      <c r="M18" s="84">
        <v>91.621200000000002</v>
      </c>
      <c r="N18" s="85">
        <f t="shared" si="4"/>
        <v>-51542.299999999996</v>
      </c>
      <c r="O18" s="85">
        <f t="shared" si="5"/>
        <v>-51547.599999999969</v>
      </c>
      <c r="P18" s="84">
        <v>91.62</v>
      </c>
      <c r="Q18" s="85">
        <f t="shared" si="6"/>
        <v>-1.1999999999972033</v>
      </c>
      <c r="R18" s="85">
        <f t="shared" si="7"/>
        <v>-51548.799999999967</v>
      </c>
      <c r="S18" s="84">
        <v>91.619100000000003</v>
      </c>
      <c r="T18" s="85">
        <f t="shared" si="8"/>
        <v>-0.90000000000145519</v>
      </c>
      <c r="U18" s="85">
        <f t="shared" si="9"/>
        <v>-51549.699999999968</v>
      </c>
      <c r="V18" s="86">
        <v>91.618300000000005</v>
      </c>
      <c r="W18" s="85">
        <f t="shared" si="10"/>
        <v>-0.79999999999813554</v>
      </c>
      <c r="X18" s="85">
        <f t="shared" si="11"/>
        <v>-51550.499999999964</v>
      </c>
      <c r="Y18" s="86">
        <v>91.617800000000003</v>
      </c>
      <c r="Z18" s="85">
        <f t="shared" si="12"/>
        <v>-0.50000000000238742</v>
      </c>
      <c r="AA18" s="85">
        <f t="shared" si="13"/>
        <v>-51550.999999999964</v>
      </c>
      <c r="AB18" s="86">
        <v>91.617199999999997</v>
      </c>
      <c r="AC18" s="85">
        <f t="shared" si="14"/>
        <v>-0.60000000000570708</v>
      </c>
      <c r="AD18" s="85">
        <f t="shared" si="15"/>
        <v>-51551.599999999969</v>
      </c>
      <c r="AE18" s="95" t="str">
        <f t="shared" si="16"/>
        <v>6.12.</v>
      </c>
      <c r="AF18" s="87"/>
      <c r="AH18" s="89" t="s">
        <v>172</v>
      </c>
      <c r="AI18" s="77">
        <v>0</v>
      </c>
      <c r="AJ18" s="77">
        <v>-3.5999999999773991</v>
      </c>
    </row>
    <row r="19" spans="3:36" ht="15.6" x14ac:dyDescent="0.25">
      <c r="C19" s="95" t="s">
        <v>173</v>
      </c>
      <c r="D19" s="84">
        <v>143.50009999999997</v>
      </c>
      <c r="E19" s="85">
        <v>0</v>
      </c>
      <c r="F19" s="85">
        <v>0</v>
      </c>
      <c r="G19" s="84">
        <v>143.49680000000001</v>
      </c>
      <c r="H19" s="85">
        <f t="shared" si="0"/>
        <v>-3.2999999999674401</v>
      </c>
      <c r="I19" s="85">
        <f t="shared" si="1"/>
        <v>-3.2999999999674401</v>
      </c>
      <c r="J19" s="84">
        <v>143.49430000000001</v>
      </c>
      <c r="K19" s="85">
        <f t="shared" si="2"/>
        <v>-2.4999999999977263</v>
      </c>
      <c r="L19" s="85">
        <f t="shared" si="3"/>
        <v>-5.7999999999651664</v>
      </c>
      <c r="M19" s="84">
        <v>91.581299999999999</v>
      </c>
      <c r="N19" s="85">
        <f t="shared" si="4"/>
        <v>-51913.000000000015</v>
      </c>
      <c r="O19" s="85">
        <f t="shared" si="5"/>
        <v>-51918.799999999981</v>
      </c>
      <c r="P19" s="84">
        <v>91.580200000000005</v>
      </c>
      <c r="Q19" s="85">
        <f t="shared" si="6"/>
        <v>-1.0999999999938836</v>
      </c>
      <c r="R19" s="85">
        <f t="shared" si="7"/>
        <v>-51919.899999999972</v>
      </c>
      <c r="S19" s="84">
        <v>91.579499999999996</v>
      </c>
      <c r="T19" s="85">
        <f t="shared" si="8"/>
        <v>-0.70000000000902673</v>
      </c>
      <c r="U19" s="85">
        <f t="shared" si="9"/>
        <v>-51920.599999999984</v>
      </c>
      <c r="V19" s="86">
        <v>91.578900000000004</v>
      </c>
      <c r="W19" s="85">
        <f t="shared" si="10"/>
        <v>-0.59999999999149622</v>
      </c>
      <c r="X19" s="85">
        <f t="shared" si="11"/>
        <v>-51921.199999999975</v>
      </c>
      <c r="Y19" s="86">
        <v>91.578500000000005</v>
      </c>
      <c r="Z19" s="85">
        <f t="shared" si="12"/>
        <v>-0.39999999999906777</v>
      </c>
      <c r="AA19" s="85">
        <f t="shared" si="13"/>
        <v>-51921.599999999977</v>
      </c>
      <c r="AB19" s="86">
        <v>91.578000000000003</v>
      </c>
      <c r="AC19" s="85">
        <f t="shared" si="14"/>
        <v>-0.50000000000238742</v>
      </c>
      <c r="AD19" s="85">
        <f t="shared" si="15"/>
        <v>-51922.099999999977</v>
      </c>
      <c r="AE19" s="95" t="str">
        <f t="shared" si="16"/>
        <v>6.13.</v>
      </c>
      <c r="AF19" s="87"/>
      <c r="AG19" s="77">
        <v>9200</v>
      </c>
      <c r="AH19" s="89" t="s">
        <v>173</v>
      </c>
      <c r="AI19" s="77">
        <v>0</v>
      </c>
      <c r="AJ19" s="77">
        <v>-3.2999999999674401</v>
      </c>
    </row>
    <row r="20" spans="3:36" ht="15.6" x14ac:dyDescent="0.25">
      <c r="C20" s="95" t="s">
        <v>174</v>
      </c>
      <c r="D20" s="84">
        <v>144.03479999999999</v>
      </c>
      <c r="E20" s="85">
        <v>0</v>
      </c>
      <c r="F20" s="85">
        <v>0</v>
      </c>
      <c r="G20" s="84">
        <v>144.0317</v>
      </c>
      <c r="H20" s="85">
        <f t="shared" si="0"/>
        <v>-3.0999999999892225</v>
      </c>
      <c r="I20" s="85">
        <f t="shared" si="1"/>
        <v>-3.0999999999892225</v>
      </c>
      <c r="J20" s="84">
        <v>144.03129999999999</v>
      </c>
      <c r="K20" s="85">
        <f t="shared" si="2"/>
        <v>-0.40000000001327862</v>
      </c>
      <c r="L20" s="85">
        <f t="shared" si="3"/>
        <v>-3.5000000000025011</v>
      </c>
      <c r="M20" s="84">
        <v>91.644499999999994</v>
      </c>
      <c r="N20" s="85">
        <f t="shared" si="4"/>
        <v>-52386.799999999996</v>
      </c>
      <c r="O20" s="85">
        <f t="shared" si="5"/>
        <v>-52390.299999999996</v>
      </c>
      <c r="P20" s="84">
        <v>91.643600000000006</v>
      </c>
      <c r="Q20" s="85">
        <f t="shared" si="6"/>
        <v>-0.89999999998724434</v>
      </c>
      <c r="R20" s="85">
        <f t="shared" si="7"/>
        <v>-52391.199999999983</v>
      </c>
      <c r="S20" s="84">
        <v>91.6434</v>
      </c>
      <c r="T20" s="85">
        <f t="shared" si="8"/>
        <v>-0.20000000000663931</v>
      </c>
      <c r="U20" s="85">
        <f t="shared" si="9"/>
        <v>-52391.399999999987</v>
      </c>
      <c r="V20" s="86">
        <v>91.642600000000002</v>
      </c>
      <c r="W20" s="85">
        <f t="shared" si="10"/>
        <v>-0.79999999999813554</v>
      </c>
      <c r="X20" s="85">
        <f t="shared" si="11"/>
        <v>-52392.199999999983</v>
      </c>
      <c r="Y20" s="86">
        <v>91.641999999999996</v>
      </c>
      <c r="Z20" s="85">
        <f t="shared" si="12"/>
        <v>-0.60000000000570708</v>
      </c>
      <c r="AA20" s="85">
        <f t="shared" si="13"/>
        <v>-52392.799999999988</v>
      </c>
      <c r="AB20" s="86">
        <v>91.641300000000001</v>
      </c>
      <c r="AC20" s="85">
        <f t="shared" si="14"/>
        <v>-0.69999999999481588</v>
      </c>
      <c r="AD20" s="85">
        <f t="shared" si="15"/>
        <v>-52393.499999999985</v>
      </c>
      <c r="AE20" s="95" t="str">
        <f t="shared" si="16"/>
        <v>6.14.</v>
      </c>
      <c r="AF20" s="87"/>
      <c r="AG20" s="77" t="s">
        <v>217</v>
      </c>
      <c r="AH20" s="89" t="s">
        <v>174</v>
      </c>
      <c r="AI20" s="77">
        <v>0</v>
      </c>
      <c r="AJ20" s="77">
        <v>-3.0999999999892225</v>
      </c>
    </row>
    <row r="21" spans="3:36" ht="15.6" x14ac:dyDescent="0.25">
      <c r="C21" s="95" t="s">
        <v>175</v>
      </c>
      <c r="D21" s="84">
        <v>144.05459999999999</v>
      </c>
      <c r="E21" s="85">
        <v>0</v>
      </c>
      <c r="F21" s="85">
        <v>0</v>
      </c>
      <c r="G21" s="84">
        <v>144.05350000000001</v>
      </c>
      <c r="H21" s="85">
        <f t="shared" si="0"/>
        <v>-1.0999999999796728</v>
      </c>
      <c r="I21" s="85">
        <f t="shared" si="1"/>
        <v>-1.0999999999796728</v>
      </c>
      <c r="J21" s="84">
        <v>144.0531</v>
      </c>
      <c r="K21" s="85">
        <f t="shared" si="2"/>
        <v>-0.40000000001327862</v>
      </c>
      <c r="L21" s="85">
        <f t="shared" si="3"/>
        <v>-1.4999999999929514</v>
      </c>
      <c r="M21" s="84">
        <v>91.707599999999999</v>
      </c>
      <c r="N21" s="85">
        <f t="shared" si="4"/>
        <v>-52345.5</v>
      </c>
      <c r="O21" s="85">
        <f t="shared" si="5"/>
        <v>-52346.999999999993</v>
      </c>
      <c r="P21" s="84">
        <v>91.706999999999994</v>
      </c>
      <c r="Q21" s="85">
        <f t="shared" si="6"/>
        <v>-0.60000000000570708</v>
      </c>
      <c r="R21" s="85">
        <f t="shared" si="7"/>
        <v>-52347.6</v>
      </c>
      <c r="S21" s="84">
        <v>91.706400000000002</v>
      </c>
      <c r="T21" s="85">
        <f t="shared" si="8"/>
        <v>-0.59999999999149622</v>
      </c>
      <c r="U21" s="85">
        <f t="shared" si="9"/>
        <v>-52348.19999999999</v>
      </c>
      <c r="V21" s="86">
        <v>91.705799999999996</v>
      </c>
      <c r="W21" s="85">
        <f t="shared" si="10"/>
        <v>-0.60000000000570708</v>
      </c>
      <c r="X21" s="85">
        <f t="shared" si="11"/>
        <v>-52348.799999999996</v>
      </c>
      <c r="Y21" s="86">
        <v>91.705299999999994</v>
      </c>
      <c r="Z21" s="85">
        <f t="shared" si="12"/>
        <v>-0.50000000000238742</v>
      </c>
      <c r="AA21" s="85">
        <f t="shared" si="13"/>
        <v>-52349.299999999996</v>
      </c>
      <c r="AB21" s="86">
        <v>91.704499999999996</v>
      </c>
      <c r="AC21" s="85">
        <f t="shared" si="14"/>
        <v>-0.79999999999813554</v>
      </c>
      <c r="AD21" s="85">
        <f t="shared" si="15"/>
        <v>-52350.099999999991</v>
      </c>
      <c r="AE21" s="95" t="str">
        <f t="shared" si="16"/>
        <v>6.15.</v>
      </c>
      <c r="AF21" s="87"/>
      <c r="AH21" s="89" t="s">
        <v>175</v>
      </c>
      <c r="AI21" s="77">
        <v>0</v>
      </c>
      <c r="AJ21" s="77">
        <v>-1.0999999999796728</v>
      </c>
    </row>
    <row r="22" spans="3:36" ht="15.6" x14ac:dyDescent="0.25">
      <c r="C22" s="95" t="s">
        <v>176</v>
      </c>
      <c r="D22" s="84">
        <v>143.24599999999998</v>
      </c>
      <c r="E22" s="85">
        <v>0</v>
      </c>
      <c r="F22" s="85">
        <v>0</v>
      </c>
      <c r="G22" s="84">
        <v>143.2433</v>
      </c>
      <c r="H22" s="85">
        <f t="shared" si="0"/>
        <v>-2.6999999999759439</v>
      </c>
      <c r="I22" s="85">
        <f t="shared" si="1"/>
        <v>-2.6999999999759439</v>
      </c>
      <c r="J22" s="84">
        <v>143.2407</v>
      </c>
      <c r="K22" s="85">
        <f t="shared" si="2"/>
        <v>-2.6000000000010459</v>
      </c>
      <c r="L22" s="85">
        <f t="shared" si="3"/>
        <v>-5.2999999999769898</v>
      </c>
      <c r="M22" s="84">
        <v>91.763999999999996</v>
      </c>
      <c r="N22" s="85">
        <f t="shared" si="4"/>
        <v>-51476.700000000012</v>
      </c>
      <c r="O22" s="85">
        <f t="shared" si="5"/>
        <v>-51481.999999999985</v>
      </c>
      <c r="P22" s="84">
        <v>91.763099999999994</v>
      </c>
      <c r="Q22" s="85">
        <f t="shared" si="6"/>
        <v>-0.90000000000145519</v>
      </c>
      <c r="R22" s="85">
        <f t="shared" si="7"/>
        <v>-51482.899999999987</v>
      </c>
      <c r="S22" s="84">
        <v>91.762699999999995</v>
      </c>
      <c r="T22" s="85">
        <f t="shared" si="8"/>
        <v>-0.39999999999906777</v>
      </c>
      <c r="U22" s="85">
        <f t="shared" si="9"/>
        <v>-51483.299999999988</v>
      </c>
      <c r="V22" s="86">
        <v>91.762</v>
      </c>
      <c r="W22" s="85">
        <f t="shared" si="10"/>
        <v>-0.69999999999481588</v>
      </c>
      <c r="X22" s="85">
        <f t="shared" si="11"/>
        <v>-51483.999999999985</v>
      </c>
      <c r="Y22" s="86">
        <v>91.761499999999998</v>
      </c>
      <c r="Z22" s="85">
        <f t="shared" si="12"/>
        <v>-0.50000000000238742</v>
      </c>
      <c r="AA22" s="85">
        <f t="shared" si="13"/>
        <v>-51484.499999999985</v>
      </c>
      <c r="AB22" s="86">
        <v>91.760900000000007</v>
      </c>
      <c r="AC22" s="85">
        <f t="shared" si="14"/>
        <v>-0.59999999999149622</v>
      </c>
      <c r="AD22" s="85">
        <f t="shared" si="15"/>
        <v>-51485.099999999977</v>
      </c>
      <c r="AE22" s="95" t="str">
        <f t="shared" si="16"/>
        <v>6.16.</v>
      </c>
      <c r="AF22" s="87"/>
      <c r="AH22" s="89" t="s">
        <v>176</v>
      </c>
      <c r="AI22" s="77">
        <v>0</v>
      </c>
      <c r="AJ22" s="77">
        <v>-2.6999999999759439</v>
      </c>
    </row>
    <row r="23" spans="3:36" ht="15.6" x14ac:dyDescent="0.25">
      <c r="C23" s="95" t="s">
        <v>177</v>
      </c>
      <c r="D23" s="84">
        <v>144.05099999999999</v>
      </c>
      <c r="E23" s="85">
        <v>0</v>
      </c>
      <c r="F23" s="85">
        <v>0</v>
      </c>
      <c r="G23" s="84">
        <v>144.0488</v>
      </c>
      <c r="H23" s="85">
        <f t="shared" si="0"/>
        <v>-2.1999999999877673</v>
      </c>
      <c r="I23" s="85">
        <f t="shared" si="1"/>
        <v>-2.1999999999877673</v>
      </c>
      <c r="J23" s="84">
        <v>144.04810000000001</v>
      </c>
      <c r="K23" s="85">
        <f t="shared" si="2"/>
        <v>-0.69999999999481588</v>
      </c>
      <c r="L23" s="85">
        <f t="shared" si="3"/>
        <v>-2.8999999999825832</v>
      </c>
      <c r="M23" s="84">
        <v>91.768600000000006</v>
      </c>
      <c r="N23" s="85">
        <f t="shared" si="4"/>
        <v>-52279.5</v>
      </c>
      <c r="O23" s="85">
        <f t="shared" si="5"/>
        <v>-52282.39999999998</v>
      </c>
      <c r="P23" s="84">
        <v>91.767799999999994</v>
      </c>
      <c r="Q23" s="85">
        <f t="shared" si="6"/>
        <v>-0.80000000001234639</v>
      </c>
      <c r="R23" s="85">
        <f t="shared" si="7"/>
        <v>-52283.19999999999</v>
      </c>
      <c r="S23" s="84">
        <v>91.767200000000003</v>
      </c>
      <c r="T23" s="85">
        <f t="shared" si="8"/>
        <v>-0.59999999999149622</v>
      </c>
      <c r="U23" s="85">
        <f t="shared" si="9"/>
        <v>-52283.799999999981</v>
      </c>
      <c r="V23" s="86">
        <v>91.766599999999997</v>
      </c>
      <c r="W23" s="85">
        <f t="shared" si="10"/>
        <v>-0.60000000000570708</v>
      </c>
      <c r="X23" s="85">
        <f t="shared" si="11"/>
        <v>-52284.399999999987</v>
      </c>
      <c r="Y23" s="86">
        <v>91.766000000000005</v>
      </c>
      <c r="Z23" s="85">
        <f t="shared" si="12"/>
        <v>-0.59999999999149622</v>
      </c>
      <c r="AA23" s="85">
        <f t="shared" si="13"/>
        <v>-52284.999999999978</v>
      </c>
      <c r="AB23" s="86">
        <v>91.765500000000003</v>
      </c>
      <c r="AC23" s="85">
        <f t="shared" si="14"/>
        <v>-0.50000000000238742</v>
      </c>
      <c r="AD23" s="85">
        <f t="shared" si="15"/>
        <v>-52285.499999999978</v>
      </c>
      <c r="AE23" s="95" t="str">
        <f t="shared" si="16"/>
        <v>6.17.</v>
      </c>
      <c r="AF23" s="87"/>
      <c r="AH23" s="89" t="s">
        <v>177</v>
      </c>
      <c r="AI23" s="77">
        <v>0</v>
      </c>
      <c r="AJ23" s="77">
        <v>-2.1999999999877673</v>
      </c>
    </row>
    <row r="24" spans="3:36" ht="15.6" x14ac:dyDescent="0.25">
      <c r="C24" s="95" t="s">
        <v>178</v>
      </c>
      <c r="D24" s="84">
        <v>144.27199999999999</v>
      </c>
      <c r="E24" s="85">
        <v>0</v>
      </c>
      <c r="F24" s="85">
        <v>0</v>
      </c>
      <c r="G24" s="84">
        <v>144.26900000000001</v>
      </c>
      <c r="H24" s="85">
        <f t="shared" si="0"/>
        <v>-2.9999999999859028</v>
      </c>
      <c r="I24" s="85">
        <f t="shared" si="1"/>
        <v>-2.9999999999859028</v>
      </c>
      <c r="J24" s="84">
        <v>144.2662</v>
      </c>
      <c r="K24" s="85">
        <f t="shared" si="2"/>
        <v>-2.8000000000076852</v>
      </c>
      <c r="L24" s="85">
        <f t="shared" si="3"/>
        <v>-5.7999999999935881</v>
      </c>
      <c r="M24" s="84">
        <v>91.643699999999995</v>
      </c>
      <c r="N24" s="85">
        <f t="shared" si="4"/>
        <v>-52622.5</v>
      </c>
      <c r="O24" s="85">
        <f t="shared" si="5"/>
        <v>-52628.299999999996</v>
      </c>
      <c r="P24" s="84">
        <v>91.643000000000001</v>
      </c>
      <c r="Q24" s="85">
        <f t="shared" si="6"/>
        <v>-0.69999999999481588</v>
      </c>
      <c r="R24" s="85">
        <f t="shared" si="7"/>
        <v>-52628.999999999993</v>
      </c>
      <c r="S24" s="84">
        <v>91.642399999999995</v>
      </c>
      <c r="T24" s="85">
        <f t="shared" si="8"/>
        <v>-0.60000000000570708</v>
      </c>
      <c r="U24" s="85">
        <f t="shared" si="9"/>
        <v>-52629.599999999999</v>
      </c>
      <c r="V24" s="86">
        <v>91.641999999999996</v>
      </c>
      <c r="W24" s="85">
        <f t="shared" si="10"/>
        <v>-0.39999999999906777</v>
      </c>
      <c r="X24" s="85">
        <f t="shared" si="11"/>
        <v>-52630</v>
      </c>
      <c r="Y24" s="86">
        <v>91.641599999999997</v>
      </c>
      <c r="Z24" s="85">
        <f t="shared" si="12"/>
        <v>-0.39999999999906777</v>
      </c>
      <c r="AA24" s="85">
        <f t="shared" si="13"/>
        <v>-52630.400000000001</v>
      </c>
      <c r="AB24" s="86">
        <v>91.641000000000005</v>
      </c>
      <c r="AC24" s="85">
        <f t="shared" si="14"/>
        <v>-0.59999999999149622</v>
      </c>
      <c r="AD24" s="85">
        <f t="shared" si="15"/>
        <v>-52630.999999999993</v>
      </c>
      <c r="AE24" s="95" t="str">
        <f t="shared" si="16"/>
        <v>6.18.</v>
      </c>
      <c r="AF24" s="87"/>
      <c r="AH24" s="89" t="s">
        <v>178</v>
      </c>
      <c r="AI24" s="77">
        <v>0</v>
      </c>
      <c r="AJ24" s="77">
        <v>-2.9999999999859028</v>
      </c>
    </row>
    <row r="25" spans="3:36" ht="15.6" x14ac:dyDescent="0.25">
      <c r="C25" s="95" t="s">
        <v>179</v>
      </c>
      <c r="D25" s="84">
        <v>144.3622</v>
      </c>
      <c r="E25" s="85">
        <v>0</v>
      </c>
      <c r="F25" s="85">
        <v>0</v>
      </c>
      <c r="G25" s="84">
        <v>144.3595</v>
      </c>
      <c r="H25" s="85">
        <f t="shared" si="0"/>
        <v>-2.7000000000043656</v>
      </c>
      <c r="I25" s="85">
        <f t="shared" si="1"/>
        <v>-2.7000000000043656</v>
      </c>
      <c r="J25" s="84">
        <v>144.35890000000001</v>
      </c>
      <c r="K25" s="85">
        <f t="shared" si="2"/>
        <v>-0.59999999999149622</v>
      </c>
      <c r="L25" s="85">
        <f t="shared" si="3"/>
        <v>-3.2999999999958618</v>
      </c>
      <c r="M25" s="84">
        <v>91.617400000000004</v>
      </c>
      <c r="N25" s="85">
        <f t="shared" si="4"/>
        <v>-52741.5</v>
      </c>
      <c r="O25" s="85">
        <f t="shared" si="5"/>
        <v>-52744.799999999996</v>
      </c>
      <c r="P25" s="84">
        <v>91.616600000000005</v>
      </c>
      <c r="Q25" s="85">
        <f t="shared" si="6"/>
        <v>-0.79999999999813554</v>
      </c>
      <c r="R25" s="85">
        <f t="shared" si="7"/>
        <v>-52745.599999999991</v>
      </c>
      <c r="S25" s="84">
        <v>91.616100000000003</v>
      </c>
      <c r="T25" s="85">
        <f t="shared" si="8"/>
        <v>-0.50000000000238742</v>
      </c>
      <c r="U25" s="85">
        <f t="shared" si="9"/>
        <v>-52746.099999999991</v>
      </c>
      <c r="V25" s="86">
        <v>91.615499999999997</v>
      </c>
      <c r="W25" s="85">
        <f t="shared" si="10"/>
        <v>-0.60000000000570708</v>
      </c>
      <c r="X25" s="85">
        <f t="shared" si="11"/>
        <v>-52746.7</v>
      </c>
      <c r="Y25" s="86">
        <v>91.614900000000006</v>
      </c>
      <c r="Z25" s="85">
        <f t="shared" si="12"/>
        <v>-0.59999999999149622</v>
      </c>
      <c r="AA25" s="85">
        <f t="shared" si="13"/>
        <v>-52747.299999999988</v>
      </c>
      <c r="AB25" s="86">
        <v>91.614400000000003</v>
      </c>
      <c r="AC25" s="85">
        <f t="shared" si="14"/>
        <v>-0.50000000000238742</v>
      </c>
      <c r="AD25" s="85">
        <f t="shared" si="15"/>
        <v>-52747.799999999988</v>
      </c>
      <c r="AE25" s="95" t="str">
        <f t="shared" si="16"/>
        <v>6.19.</v>
      </c>
      <c r="AF25" s="88"/>
      <c r="AH25" s="89" t="s">
        <v>179</v>
      </c>
      <c r="AI25" s="77">
        <v>0</v>
      </c>
      <c r="AJ25" s="77">
        <v>-2.7000000000043656</v>
      </c>
    </row>
    <row r="26" spans="3:36" ht="15.6" x14ac:dyDescent="0.25">
      <c r="C26" s="95" t="s">
        <v>180</v>
      </c>
      <c r="D26" s="84">
        <v>144.25289999999998</v>
      </c>
      <c r="E26" s="85">
        <v>0</v>
      </c>
      <c r="F26" s="85">
        <v>0</v>
      </c>
      <c r="G26" s="84">
        <v>144.24960000000002</v>
      </c>
      <c r="H26" s="85">
        <f t="shared" si="0"/>
        <v>-3.2999999999674401</v>
      </c>
      <c r="I26" s="85">
        <f t="shared" si="1"/>
        <v>-3.2999999999674401</v>
      </c>
      <c r="J26" s="84">
        <v>144.24760000000001</v>
      </c>
      <c r="K26" s="85">
        <f t="shared" si="2"/>
        <v>-2.0000000000095497</v>
      </c>
      <c r="L26" s="85">
        <f t="shared" si="3"/>
        <v>-5.2999999999769898</v>
      </c>
      <c r="M26" s="84">
        <v>91.733500000000006</v>
      </c>
      <c r="N26" s="85">
        <f t="shared" si="4"/>
        <v>-52514.1</v>
      </c>
      <c r="O26" s="85">
        <f t="shared" si="5"/>
        <v>-52519.399999999972</v>
      </c>
      <c r="P26" s="84">
        <v>91.732600000000005</v>
      </c>
      <c r="Q26" s="85">
        <f t="shared" si="6"/>
        <v>-0.90000000000145519</v>
      </c>
      <c r="R26" s="85">
        <f t="shared" si="7"/>
        <v>-52520.299999999974</v>
      </c>
      <c r="S26" s="84">
        <v>91.731800000000007</v>
      </c>
      <c r="T26" s="85">
        <f t="shared" si="8"/>
        <v>-0.79999999999813554</v>
      </c>
      <c r="U26" s="85">
        <f t="shared" si="9"/>
        <v>-52521.099999999969</v>
      </c>
      <c r="V26" s="86">
        <v>91.731300000000005</v>
      </c>
      <c r="W26" s="85">
        <f t="shared" si="10"/>
        <v>-0.50000000000238742</v>
      </c>
      <c r="X26" s="85">
        <f t="shared" si="11"/>
        <v>-52521.599999999969</v>
      </c>
      <c r="Y26" s="86">
        <v>91.7316</v>
      </c>
      <c r="Z26" s="85">
        <f t="shared" si="12"/>
        <v>0.29999999999574811</v>
      </c>
      <c r="AA26" s="85">
        <f t="shared" si="13"/>
        <v>-52521.299999999974</v>
      </c>
      <c r="AB26" s="86">
        <v>91.730999999999995</v>
      </c>
      <c r="AC26" s="85">
        <f t="shared" si="14"/>
        <v>-0.60000000000570708</v>
      </c>
      <c r="AD26" s="85">
        <f t="shared" si="15"/>
        <v>-52521.89999999998</v>
      </c>
      <c r="AE26" s="95" t="str">
        <f t="shared" si="16"/>
        <v>6.20.</v>
      </c>
      <c r="AF26" s="87"/>
      <c r="AH26" s="89" t="s">
        <v>180</v>
      </c>
      <c r="AI26" s="77">
        <v>0</v>
      </c>
      <c r="AJ26" s="77">
        <v>-3.2999999999674401</v>
      </c>
    </row>
    <row r="27" spans="3:36" ht="15.6" x14ac:dyDescent="0.25">
      <c r="C27" s="95" t="s">
        <v>181</v>
      </c>
      <c r="D27" s="84">
        <v>144.21759999999998</v>
      </c>
      <c r="E27" s="85">
        <v>0</v>
      </c>
      <c r="F27" s="85">
        <v>0</v>
      </c>
      <c r="G27" s="84">
        <v>144.2148</v>
      </c>
      <c r="H27" s="85">
        <f t="shared" si="0"/>
        <v>-2.7999999999792635</v>
      </c>
      <c r="I27" s="85">
        <f t="shared" si="1"/>
        <v>-2.7999999999792635</v>
      </c>
      <c r="J27" s="84">
        <v>144.21209999999999</v>
      </c>
      <c r="K27" s="85">
        <f t="shared" si="2"/>
        <v>-2.7000000000043656</v>
      </c>
      <c r="L27" s="85">
        <f t="shared" si="3"/>
        <v>-5.4999999999836291</v>
      </c>
      <c r="M27" s="84">
        <v>91.738699999999994</v>
      </c>
      <c r="N27" s="85">
        <f t="shared" si="4"/>
        <v>-52473.4</v>
      </c>
      <c r="O27" s="85">
        <f t="shared" si="5"/>
        <v>-52478.899999999987</v>
      </c>
      <c r="P27" s="84">
        <v>91.737799999999993</v>
      </c>
      <c r="Q27" s="85">
        <f t="shared" si="6"/>
        <v>-0.90000000000145519</v>
      </c>
      <c r="R27" s="85">
        <f t="shared" si="7"/>
        <v>-52479.799999999988</v>
      </c>
      <c r="S27" s="84">
        <v>91.736900000000006</v>
      </c>
      <c r="T27" s="85">
        <f t="shared" si="8"/>
        <v>-0.89999999998724434</v>
      </c>
      <c r="U27" s="85">
        <f t="shared" si="9"/>
        <v>-52480.699999999975</v>
      </c>
      <c r="V27" s="86">
        <v>91.736099999999993</v>
      </c>
      <c r="W27" s="85">
        <f t="shared" si="10"/>
        <v>-0.80000000001234639</v>
      </c>
      <c r="X27" s="85">
        <f t="shared" si="11"/>
        <v>-52481.499999999985</v>
      </c>
      <c r="Y27" s="86">
        <v>91.736000000000004</v>
      </c>
      <c r="Z27" s="85">
        <f t="shared" si="12"/>
        <v>-9.9999999989108801E-2</v>
      </c>
      <c r="AA27" s="85">
        <f t="shared" si="13"/>
        <v>-52481.599999999977</v>
      </c>
      <c r="AB27" s="86">
        <v>91.735299999999995</v>
      </c>
      <c r="AC27" s="85">
        <f t="shared" si="14"/>
        <v>-0.70000000000902673</v>
      </c>
      <c r="AD27" s="85">
        <f t="shared" si="15"/>
        <v>-52482.299999999988</v>
      </c>
      <c r="AE27" s="95" t="str">
        <f t="shared" si="16"/>
        <v>6.21.</v>
      </c>
      <c r="AF27" s="87"/>
      <c r="AG27" s="90"/>
      <c r="AH27" s="89" t="s">
        <v>181</v>
      </c>
      <c r="AI27" s="77">
        <v>0</v>
      </c>
      <c r="AJ27" s="77">
        <v>-2.7999999999792635</v>
      </c>
    </row>
    <row r="28" spans="3:36" ht="15.6" x14ac:dyDescent="0.25">
      <c r="C28" s="95" t="s">
        <v>182</v>
      </c>
      <c r="D28" s="84">
        <v>144.29909999999998</v>
      </c>
      <c r="E28" s="85">
        <v>0</v>
      </c>
      <c r="F28" s="85">
        <v>0</v>
      </c>
      <c r="G28" s="84">
        <v>144.2971</v>
      </c>
      <c r="H28" s="85">
        <f t="shared" si="0"/>
        <v>-1.999999999981128</v>
      </c>
      <c r="I28" s="85">
        <f t="shared" si="1"/>
        <v>-1.999999999981128</v>
      </c>
      <c r="J28" s="84">
        <v>144.2946</v>
      </c>
      <c r="K28" s="85">
        <f t="shared" si="2"/>
        <v>-2.4999999999977263</v>
      </c>
      <c r="L28" s="85">
        <f t="shared" si="3"/>
        <v>-4.4999999999788542</v>
      </c>
      <c r="M28" s="84">
        <v>91.728300000000004</v>
      </c>
      <c r="N28" s="85">
        <f t="shared" si="4"/>
        <v>-52566.299999999996</v>
      </c>
      <c r="O28" s="85">
        <f t="shared" si="5"/>
        <v>-52570.799999999974</v>
      </c>
      <c r="P28" s="84">
        <v>91.727000000000004</v>
      </c>
      <c r="Q28" s="85">
        <f t="shared" si="6"/>
        <v>-1.300000000000523</v>
      </c>
      <c r="R28" s="85">
        <f t="shared" si="7"/>
        <v>-52572.099999999977</v>
      </c>
      <c r="S28" s="84">
        <v>91.725999999999999</v>
      </c>
      <c r="T28" s="85">
        <f t="shared" si="8"/>
        <v>-1.0000000000047748</v>
      </c>
      <c r="U28" s="85">
        <f t="shared" si="9"/>
        <v>-52573.099999999984</v>
      </c>
      <c r="V28" s="86">
        <v>91.725399999999993</v>
      </c>
      <c r="W28" s="85">
        <f t="shared" si="10"/>
        <v>-0.60000000000570708</v>
      </c>
      <c r="X28" s="85">
        <f t="shared" si="11"/>
        <v>-52573.69999999999</v>
      </c>
      <c r="Y28" s="86">
        <v>91.725700000000003</v>
      </c>
      <c r="Z28" s="85">
        <f t="shared" si="12"/>
        <v>0.30000000000995897</v>
      </c>
      <c r="AA28" s="85">
        <f t="shared" si="13"/>
        <v>-52573.39999999998</v>
      </c>
      <c r="AB28" s="86">
        <v>91.725300000000004</v>
      </c>
      <c r="AC28" s="85">
        <f t="shared" si="14"/>
        <v>-0.39999999999906777</v>
      </c>
      <c r="AD28" s="85">
        <f t="shared" si="15"/>
        <v>-52573.799999999981</v>
      </c>
      <c r="AE28" s="95" t="str">
        <f t="shared" si="16"/>
        <v>6.22.</v>
      </c>
      <c r="AF28" s="87"/>
      <c r="AH28" s="89" t="s">
        <v>182</v>
      </c>
      <c r="AI28" s="77">
        <v>0</v>
      </c>
      <c r="AJ28" s="77">
        <v>-1.999999999981128</v>
      </c>
    </row>
    <row r="29" spans="3:36" ht="15.6" x14ac:dyDescent="0.25">
      <c r="C29" s="95" t="s">
        <v>183</v>
      </c>
      <c r="D29" s="84">
        <v>144.27169999999998</v>
      </c>
      <c r="E29" s="85">
        <v>0</v>
      </c>
      <c r="F29" s="85">
        <v>0</v>
      </c>
      <c r="G29" s="84">
        <v>144.26920000000001</v>
      </c>
      <c r="H29" s="85">
        <f t="shared" si="0"/>
        <v>-2.4999999999693046</v>
      </c>
      <c r="I29" s="85">
        <f t="shared" si="1"/>
        <v>-2.4999999999693046</v>
      </c>
      <c r="J29" s="84">
        <v>144.26609999999999</v>
      </c>
      <c r="K29" s="85">
        <f t="shared" si="2"/>
        <v>-3.1000000000176442</v>
      </c>
      <c r="L29" s="85">
        <f t="shared" si="3"/>
        <v>-5.5999999999869488</v>
      </c>
      <c r="M29" s="84">
        <v>91.781400000000005</v>
      </c>
      <c r="N29" s="85">
        <f t="shared" si="4"/>
        <v>-52484.69999999999</v>
      </c>
      <c r="O29" s="85">
        <f t="shared" si="5"/>
        <v>-52490.299999999974</v>
      </c>
      <c r="P29" s="84">
        <v>91.780199999999994</v>
      </c>
      <c r="Q29" s="85">
        <f t="shared" si="6"/>
        <v>-1.2000000000114142</v>
      </c>
      <c r="R29" s="85">
        <f t="shared" si="7"/>
        <v>-52491.499999999985</v>
      </c>
      <c r="S29" s="84">
        <v>91.779499999999999</v>
      </c>
      <c r="T29" s="85">
        <f t="shared" si="8"/>
        <v>-0.69999999999481588</v>
      </c>
      <c r="U29" s="85">
        <f t="shared" si="9"/>
        <v>-52492.199999999983</v>
      </c>
      <c r="V29" s="86">
        <v>91.778800000000004</v>
      </c>
      <c r="W29" s="85">
        <f t="shared" si="10"/>
        <v>-0.69999999999481588</v>
      </c>
      <c r="X29" s="85">
        <f t="shared" si="11"/>
        <v>-52492.89999999998</v>
      </c>
      <c r="Y29" s="86">
        <v>91.778300000000002</v>
      </c>
      <c r="Z29" s="85">
        <f t="shared" si="12"/>
        <v>-0.50000000000238742</v>
      </c>
      <c r="AA29" s="85">
        <f t="shared" si="13"/>
        <v>-52493.39999999998</v>
      </c>
      <c r="AB29" s="86">
        <v>91.777799999999999</v>
      </c>
      <c r="AC29" s="85">
        <f t="shared" si="14"/>
        <v>-0.50000000000238742</v>
      </c>
      <c r="AD29" s="85">
        <f t="shared" si="15"/>
        <v>-52493.89999999998</v>
      </c>
      <c r="AE29" s="95" t="str">
        <f t="shared" si="16"/>
        <v>6.23.</v>
      </c>
      <c r="AF29" s="87"/>
      <c r="AH29" s="89" t="s">
        <v>183</v>
      </c>
      <c r="AI29" s="77">
        <v>0</v>
      </c>
      <c r="AJ29" s="77">
        <v>-2.4999999999693046</v>
      </c>
    </row>
    <row r="30" spans="3:36" ht="15.6" x14ac:dyDescent="0.25">
      <c r="C30" s="95" t="s">
        <v>184</v>
      </c>
      <c r="D30" s="84">
        <v>144.29259999999999</v>
      </c>
      <c r="E30" s="85">
        <v>0</v>
      </c>
      <c r="F30" s="85">
        <v>0</v>
      </c>
      <c r="G30" s="84">
        <v>144.28989999999999</v>
      </c>
      <c r="H30" s="85">
        <f t="shared" si="0"/>
        <v>-2.7000000000043656</v>
      </c>
      <c r="I30" s="85">
        <f t="shared" si="1"/>
        <v>-2.7000000000043656</v>
      </c>
      <c r="J30" s="84">
        <v>144.28620000000001</v>
      </c>
      <c r="K30" s="85">
        <f t="shared" si="2"/>
        <v>-3.6999999999807187</v>
      </c>
      <c r="L30" s="85">
        <f t="shared" si="3"/>
        <v>-6.3999999999850843</v>
      </c>
      <c r="M30" s="84">
        <v>91.6614</v>
      </c>
      <c r="N30" s="85">
        <f t="shared" si="4"/>
        <v>-52624.80000000001</v>
      </c>
      <c r="O30" s="85">
        <f t="shared" si="5"/>
        <v>-52631.199999999997</v>
      </c>
      <c r="P30" s="84">
        <v>91.660499999999999</v>
      </c>
      <c r="Q30" s="85">
        <f t="shared" si="6"/>
        <v>-0.90000000000145519</v>
      </c>
      <c r="R30" s="85">
        <f t="shared" si="7"/>
        <v>-52632.1</v>
      </c>
      <c r="S30" s="84">
        <v>91.6601</v>
      </c>
      <c r="T30" s="85">
        <f t="shared" si="8"/>
        <v>-0.39999999999906777</v>
      </c>
      <c r="U30" s="85">
        <f t="shared" si="9"/>
        <v>-52632.5</v>
      </c>
      <c r="V30" s="86">
        <v>91.659499999999994</v>
      </c>
      <c r="W30" s="85">
        <f t="shared" si="10"/>
        <v>-0.60000000000570708</v>
      </c>
      <c r="X30" s="85">
        <f t="shared" si="11"/>
        <v>-52633.100000000006</v>
      </c>
      <c r="Y30" s="86">
        <v>91.659099999999995</v>
      </c>
      <c r="Z30" s="85">
        <f t="shared" si="12"/>
        <v>-0.39999999999906777</v>
      </c>
      <c r="AA30" s="85">
        <f t="shared" si="13"/>
        <v>-52633.500000000007</v>
      </c>
      <c r="AB30" s="86">
        <v>91.658500000000004</v>
      </c>
      <c r="AC30" s="85">
        <f t="shared" si="14"/>
        <v>-0.59999999999149622</v>
      </c>
      <c r="AD30" s="85">
        <f t="shared" si="15"/>
        <v>-52634.1</v>
      </c>
      <c r="AE30" s="95" t="str">
        <f t="shared" si="16"/>
        <v>6.24.</v>
      </c>
      <c r="AF30" s="87"/>
      <c r="AH30" s="89" t="s">
        <v>184</v>
      </c>
      <c r="AI30" s="77">
        <v>0</v>
      </c>
      <c r="AJ30" s="77">
        <v>-2.7000000000043656</v>
      </c>
    </row>
    <row r="31" spans="3:36" ht="15.6" x14ac:dyDescent="0.25">
      <c r="C31" s="95" t="s">
        <v>185</v>
      </c>
      <c r="D31" s="84">
        <v>144.28889999999998</v>
      </c>
      <c r="E31" s="85">
        <v>0</v>
      </c>
      <c r="F31" s="85">
        <v>0</v>
      </c>
      <c r="G31" s="84">
        <v>144.2861</v>
      </c>
      <c r="H31" s="85">
        <f t="shared" si="0"/>
        <v>-2.7999999999792635</v>
      </c>
      <c r="I31" s="85">
        <f t="shared" si="1"/>
        <v>-2.7999999999792635</v>
      </c>
      <c r="J31" s="84">
        <v>144.285</v>
      </c>
      <c r="K31" s="85">
        <f t="shared" si="2"/>
        <v>-1.1000000000080945</v>
      </c>
      <c r="L31" s="85">
        <f t="shared" si="3"/>
        <v>-3.899999999987358</v>
      </c>
      <c r="M31" s="84">
        <v>91.664299999999997</v>
      </c>
      <c r="N31" s="85">
        <f t="shared" si="4"/>
        <v>-52620.7</v>
      </c>
      <c r="O31" s="85">
        <f t="shared" si="5"/>
        <v>-52624.599999999984</v>
      </c>
      <c r="P31" s="84">
        <v>91.663200000000003</v>
      </c>
      <c r="Q31" s="85">
        <f t="shared" si="6"/>
        <v>-1.0999999999938836</v>
      </c>
      <c r="R31" s="85">
        <f t="shared" si="7"/>
        <v>-52625.699999999975</v>
      </c>
      <c r="S31" s="84">
        <v>91.662700000000001</v>
      </c>
      <c r="T31" s="85">
        <f t="shared" si="8"/>
        <v>-0.50000000000238742</v>
      </c>
      <c r="U31" s="85">
        <f t="shared" si="9"/>
        <v>-52626.199999999975</v>
      </c>
      <c r="V31" s="86">
        <v>91.662000000000006</v>
      </c>
      <c r="W31" s="85">
        <f t="shared" si="10"/>
        <v>-0.69999999999481588</v>
      </c>
      <c r="X31" s="85">
        <f t="shared" si="11"/>
        <v>-52626.899999999972</v>
      </c>
      <c r="Y31" s="86">
        <v>91.661500000000004</v>
      </c>
      <c r="Z31" s="85">
        <f t="shared" si="12"/>
        <v>-0.50000000000238742</v>
      </c>
      <c r="AA31" s="85">
        <f t="shared" si="13"/>
        <v>-52627.399999999972</v>
      </c>
      <c r="AB31" s="86">
        <v>91.661100000000005</v>
      </c>
      <c r="AC31" s="85">
        <f t="shared" si="14"/>
        <v>-0.39999999999906777</v>
      </c>
      <c r="AD31" s="85">
        <f t="shared" si="15"/>
        <v>-52627.799999999974</v>
      </c>
      <c r="AE31" s="95" t="str">
        <f t="shared" si="16"/>
        <v>6.25.</v>
      </c>
      <c r="AF31" s="87"/>
      <c r="AH31" s="89" t="s">
        <v>185</v>
      </c>
      <c r="AI31" s="77">
        <v>0</v>
      </c>
      <c r="AJ31" s="77">
        <v>-2.7999999999792635</v>
      </c>
    </row>
    <row r="32" spans="3:36" ht="15.6" x14ac:dyDescent="0.25">
      <c r="C32" s="95" t="s">
        <v>186</v>
      </c>
      <c r="D32" s="84">
        <v>144.26009999999999</v>
      </c>
      <c r="E32" s="85">
        <v>0</v>
      </c>
      <c r="F32" s="85">
        <v>0</v>
      </c>
      <c r="G32" s="84">
        <v>144.25839999999999</v>
      </c>
      <c r="H32" s="85">
        <f t="shared" si="0"/>
        <v>-1.6999999999995907</v>
      </c>
      <c r="I32" s="85">
        <f t="shared" si="1"/>
        <v>-1.6999999999995907</v>
      </c>
      <c r="J32" s="84">
        <v>144.2577</v>
      </c>
      <c r="K32" s="85">
        <f t="shared" si="2"/>
        <v>-0.69999999999481588</v>
      </c>
      <c r="L32" s="85">
        <f t="shared" si="3"/>
        <v>-2.3999999999944066</v>
      </c>
      <c r="M32" s="84">
        <v>91.683999999999997</v>
      </c>
      <c r="N32" s="85">
        <f t="shared" si="4"/>
        <v>-52573.700000000004</v>
      </c>
      <c r="O32" s="85">
        <f t="shared" si="5"/>
        <v>-52576.1</v>
      </c>
      <c r="P32" s="84">
        <v>91.683099999999996</v>
      </c>
      <c r="Q32" s="85">
        <f t="shared" si="6"/>
        <v>-0.90000000000145519</v>
      </c>
      <c r="R32" s="85">
        <f t="shared" si="7"/>
        <v>-52577</v>
      </c>
      <c r="S32" s="84">
        <v>91.682500000000005</v>
      </c>
      <c r="T32" s="85">
        <f t="shared" si="8"/>
        <v>-0.59999999999149622</v>
      </c>
      <c r="U32" s="85">
        <f t="shared" si="9"/>
        <v>-52577.599999999991</v>
      </c>
      <c r="V32" s="86">
        <v>91.681899999999999</v>
      </c>
      <c r="W32" s="85">
        <f t="shared" si="10"/>
        <v>-0.60000000000570708</v>
      </c>
      <c r="X32" s="85">
        <f t="shared" si="11"/>
        <v>-52578.2</v>
      </c>
      <c r="Y32" s="86">
        <v>91.6815</v>
      </c>
      <c r="Z32" s="85">
        <f t="shared" si="12"/>
        <v>-0.39999999999906777</v>
      </c>
      <c r="AA32" s="85">
        <f t="shared" si="13"/>
        <v>-52578.6</v>
      </c>
      <c r="AB32" s="86">
        <v>91.680999999999997</v>
      </c>
      <c r="AC32" s="85">
        <f t="shared" si="14"/>
        <v>-0.50000000000238742</v>
      </c>
      <c r="AD32" s="85">
        <f t="shared" si="15"/>
        <v>-52579.1</v>
      </c>
      <c r="AE32" s="95" t="str">
        <f t="shared" si="16"/>
        <v>6.26.</v>
      </c>
      <c r="AF32" s="87"/>
      <c r="AH32" s="89" t="s">
        <v>186</v>
      </c>
      <c r="AI32" s="77">
        <v>0</v>
      </c>
      <c r="AJ32" s="77">
        <v>-1.6999999999995907</v>
      </c>
    </row>
    <row r="33" spans="3:36" ht="15.6" x14ac:dyDescent="0.25">
      <c r="C33" s="95" t="s">
        <v>187</v>
      </c>
      <c r="D33" s="84">
        <v>144.40429999999998</v>
      </c>
      <c r="E33" s="85">
        <v>0</v>
      </c>
      <c r="F33" s="85">
        <v>0</v>
      </c>
      <c r="G33" s="84">
        <v>144.40219999999999</v>
      </c>
      <c r="H33" s="85">
        <f t="shared" si="0"/>
        <v>-2.0999999999844476</v>
      </c>
      <c r="I33" s="85">
        <f t="shared" si="1"/>
        <v>-2.0999999999844476</v>
      </c>
      <c r="J33" s="84">
        <v>144.399</v>
      </c>
      <c r="K33" s="85">
        <f t="shared" si="2"/>
        <v>-3.1999999999925421</v>
      </c>
      <c r="L33" s="85">
        <f t="shared" si="3"/>
        <v>-5.2999999999769898</v>
      </c>
      <c r="M33" s="84">
        <v>91.74</v>
      </c>
      <c r="N33" s="85">
        <f t="shared" si="4"/>
        <v>-52659.000000000007</v>
      </c>
      <c r="O33" s="85">
        <f t="shared" si="5"/>
        <v>-52664.299999999981</v>
      </c>
      <c r="P33" s="84">
        <v>91.739000000000004</v>
      </c>
      <c r="Q33" s="85">
        <f t="shared" si="6"/>
        <v>-0.99999999999056399</v>
      </c>
      <c r="R33" s="85">
        <f t="shared" si="7"/>
        <v>-52665.299999999974</v>
      </c>
      <c r="S33" s="84">
        <v>91.738200000000006</v>
      </c>
      <c r="T33" s="85">
        <f t="shared" si="8"/>
        <v>-0.79999999999813554</v>
      </c>
      <c r="U33" s="85">
        <f t="shared" si="9"/>
        <v>-52666.099999999969</v>
      </c>
      <c r="V33" s="86">
        <v>91.737499999999997</v>
      </c>
      <c r="W33" s="85">
        <f t="shared" si="10"/>
        <v>-0.70000000000902673</v>
      </c>
      <c r="X33" s="85">
        <f t="shared" si="11"/>
        <v>-52666.799999999981</v>
      </c>
      <c r="Y33" s="86">
        <v>91.736999999999995</v>
      </c>
      <c r="Z33" s="85">
        <f t="shared" si="12"/>
        <v>-0.50000000000238742</v>
      </c>
      <c r="AA33" s="85">
        <f t="shared" si="13"/>
        <v>-52667.299999999981</v>
      </c>
      <c r="AB33" s="86">
        <v>91.7363</v>
      </c>
      <c r="AC33" s="85">
        <f t="shared" si="14"/>
        <v>-0.69999999999481588</v>
      </c>
      <c r="AD33" s="85">
        <f t="shared" si="15"/>
        <v>-52667.999999999978</v>
      </c>
      <c r="AE33" s="95" t="str">
        <f t="shared" si="16"/>
        <v>6.27.</v>
      </c>
      <c r="AF33" s="87"/>
      <c r="AH33" s="89" t="s">
        <v>187</v>
      </c>
      <c r="AI33" s="77">
        <v>0</v>
      </c>
      <c r="AJ33" s="77">
        <v>-2.0999999999844476</v>
      </c>
    </row>
    <row r="34" spans="3:36" ht="15.6" x14ac:dyDescent="0.25">
      <c r="C34" s="95" t="s">
        <v>188</v>
      </c>
      <c r="D34" s="84">
        <v>144.52359999999999</v>
      </c>
      <c r="E34" s="85">
        <v>0</v>
      </c>
      <c r="F34" s="85">
        <v>0</v>
      </c>
      <c r="G34" s="84">
        <v>144.52170000000001</v>
      </c>
      <c r="H34" s="85">
        <f t="shared" si="0"/>
        <v>-1.8999999999778083</v>
      </c>
      <c r="I34" s="85">
        <f t="shared" si="1"/>
        <v>-1.8999999999778083</v>
      </c>
      <c r="J34" s="84">
        <v>144.51589999999999</v>
      </c>
      <c r="K34" s="85">
        <f t="shared" si="2"/>
        <v>-5.8000000000220098</v>
      </c>
      <c r="L34" s="85">
        <f t="shared" si="3"/>
        <v>-7.6999999999998181</v>
      </c>
      <c r="M34" s="84">
        <v>92.74</v>
      </c>
      <c r="N34" s="85">
        <f t="shared" si="4"/>
        <v>-51775.899999999994</v>
      </c>
      <c r="O34" s="85">
        <f t="shared" si="5"/>
        <v>-51783.599999999991</v>
      </c>
      <c r="P34" s="84">
        <v>92.739000000000004</v>
      </c>
      <c r="Q34" s="85">
        <f t="shared" si="6"/>
        <v>-0.99999999999056399</v>
      </c>
      <c r="R34" s="85">
        <f t="shared" si="7"/>
        <v>-51784.599999999984</v>
      </c>
      <c r="S34" s="84">
        <v>92.738200000000006</v>
      </c>
      <c r="T34" s="85">
        <f t="shared" si="8"/>
        <v>-0.79999999999813554</v>
      </c>
      <c r="U34" s="85">
        <f t="shared" si="9"/>
        <v>-51785.39999999998</v>
      </c>
      <c r="V34" s="86">
        <v>92.737499999999997</v>
      </c>
      <c r="W34" s="85">
        <f t="shared" si="10"/>
        <v>-0.70000000000902673</v>
      </c>
      <c r="X34" s="85">
        <f t="shared" si="11"/>
        <v>-51786.099999999991</v>
      </c>
      <c r="Y34" s="86">
        <v>92.736999999999995</v>
      </c>
      <c r="Z34" s="85">
        <f t="shared" si="12"/>
        <v>-0.50000000000238742</v>
      </c>
      <c r="AA34" s="85">
        <f t="shared" si="13"/>
        <v>-51786.599999999991</v>
      </c>
      <c r="AB34" s="86">
        <v>92.7363</v>
      </c>
      <c r="AC34" s="85">
        <f t="shared" si="14"/>
        <v>-0.69999999999481588</v>
      </c>
      <c r="AD34" s="85">
        <f t="shared" si="15"/>
        <v>-51787.299999999988</v>
      </c>
      <c r="AE34" s="95" t="str">
        <f t="shared" si="16"/>
        <v>6.28.</v>
      </c>
      <c r="AH34" s="89" t="s">
        <v>188</v>
      </c>
      <c r="AI34" s="77">
        <v>0</v>
      </c>
      <c r="AJ34" s="77">
        <v>-1.8999999999778083</v>
      </c>
    </row>
    <row r="35" spans="3:36" ht="15.6" x14ac:dyDescent="0.25">
      <c r="C35" s="95" t="s">
        <v>189</v>
      </c>
      <c r="D35" s="84">
        <v>144.4374</v>
      </c>
      <c r="E35" s="85">
        <v>0</v>
      </c>
      <c r="F35" s="85">
        <v>0</v>
      </c>
      <c r="G35" s="84">
        <v>144.43520000000001</v>
      </c>
      <c r="H35" s="85">
        <f t="shared" si="0"/>
        <v>-2.1999999999877673</v>
      </c>
      <c r="I35" s="85">
        <f t="shared" si="1"/>
        <v>-2.1999999999877673</v>
      </c>
      <c r="J35" s="84">
        <v>144.43199999999999</v>
      </c>
      <c r="K35" s="85">
        <f t="shared" si="2"/>
        <v>-3.2000000000209639</v>
      </c>
      <c r="L35" s="85">
        <f t="shared" si="3"/>
        <v>-5.4000000000087311</v>
      </c>
      <c r="M35" s="84">
        <v>93.74</v>
      </c>
      <c r="N35" s="85">
        <f t="shared" si="4"/>
        <v>-50691.999999999993</v>
      </c>
      <c r="O35" s="85">
        <f t="shared" si="5"/>
        <v>-50697.4</v>
      </c>
      <c r="P35" s="84">
        <v>93.739000000000004</v>
      </c>
      <c r="Q35" s="85">
        <f t="shared" si="6"/>
        <v>-0.99999999999056399</v>
      </c>
      <c r="R35" s="85">
        <f t="shared" si="7"/>
        <v>-50698.399999999994</v>
      </c>
      <c r="S35" s="84">
        <v>93.738200000000006</v>
      </c>
      <c r="T35" s="85">
        <f t="shared" si="8"/>
        <v>-0.79999999999813554</v>
      </c>
      <c r="U35" s="85">
        <f t="shared" si="9"/>
        <v>-50699.19999999999</v>
      </c>
      <c r="V35" s="86">
        <v>93.737499999999997</v>
      </c>
      <c r="W35" s="85">
        <f t="shared" si="10"/>
        <v>-0.70000000000902673</v>
      </c>
      <c r="X35" s="85">
        <f t="shared" si="11"/>
        <v>-50699.9</v>
      </c>
      <c r="Y35" s="86">
        <v>93.736999999999995</v>
      </c>
      <c r="Z35" s="85">
        <f t="shared" si="12"/>
        <v>-0.50000000000238742</v>
      </c>
      <c r="AA35" s="85">
        <f t="shared" si="13"/>
        <v>-50700.4</v>
      </c>
      <c r="AB35" s="86">
        <v>93.7363</v>
      </c>
      <c r="AC35" s="85">
        <f t="shared" si="14"/>
        <v>-0.69999999999481588</v>
      </c>
      <c r="AD35" s="85">
        <f t="shared" si="15"/>
        <v>-50701.1</v>
      </c>
      <c r="AE35" s="95" t="str">
        <f t="shared" si="16"/>
        <v>6.29.</v>
      </c>
      <c r="AH35" s="89" t="s">
        <v>189</v>
      </c>
      <c r="AI35" s="77">
        <v>0</v>
      </c>
      <c r="AJ35" s="77">
        <v>-2.1999999999877673</v>
      </c>
    </row>
    <row r="36" spans="3:36" ht="15.6" x14ac:dyDescent="0.25">
      <c r="C36" s="95" t="s">
        <v>190</v>
      </c>
      <c r="D36" s="84">
        <v>144.56909999999999</v>
      </c>
      <c r="E36" s="85">
        <v>0</v>
      </c>
      <c r="F36" s="85">
        <v>0</v>
      </c>
      <c r="G36" s="84">
        <v>144.56630000000001</v>
      </c>
      <c r="H36" s="85">
        <f t="shared" si="0"/>
        <v>-2.7999999999792635</v>
      </c>
      <c r="I36" s="85">
        <f t="shared" si="1"/>
        <v>-2.7999999999792635</v>
      </c>
      <c r="J36" s="84">
        <v>144.56389999999999</v>
      </c>
      <c r="K36" s="85">
        <f t="shared" si="2"/>
        <v>-2.4000000000228283</v>
      </c>
      <c r="L36" s="85">
        <f t="shared" si="3"/>
        <v>-5.2000000000020918</v>
      </c>
      <c r="M36" s="84">
        <v>94.74</v>
      </c>
      <c r="N36" s="85">
        <f t="shared" si="4"/>
        <v>-49823.899999999994</v>
      </c>
      <c r="O36" s="85">
        <f t="shared" si="5"/>
        <v>-49829.1</v>
      </c>
      <c r="P36" s="84">
        <v>94.739000000000004</v>
      </c>
      <c r="Q36" s="85">
        <f t="shared" si="6"/>
        <v>-0.99999999999056399</v>
      </c>
      <c r="R36" s="85">
        <f t="shared" si="7"/>
        <v>-49830.099999999991</v>
      </c>
      <c r="S36" s="84">
        <v>94.738200000000006</v>
      </c>
      <c r="T36" s="85">
        <f t="shared" si="8"/>
        <v>-0.79999999999813554</v>
      </c>
      <c r="U36" s="85">
        <f t="shared" si="9"/>
        <v>-49830.899999999987</v>
      </c>
      <c r="V36" s="86">
        <v>94.737499999999997</v>
      </c>
      <c r="W36" s="85">
        <f t="shared" si="10"/>
        <v>-0.70000000000902673</v>
      </c>
      <c r="X36" s="85">
        <f t="shared" si="11"/>
        <v>-49831.6</v>
      </c>
      <c r="Y36" s="86">
        <v>94.736999999999995</v>
      </c>
      <c r="Z36" s="85">
        <f t="shared" si="12"/>
        <v>-0.50000000000238742</v>
      </c>
      <c r="AA36" s="85">
        <f t="shared" si="13"/>
        <v>-49832.1</v>
      </c>
      <c r="AB36" s="86">
        <v>94.7363</v>
      </c>
      <c r="AC36" s="85">
        <f t="shared" si="14"/>
        <v>-0.69999999999481588</v>
      </c>
      <c r="AD36" s="85">
        <f t="shared" si="15"/>
        <v>-49832.799999999996</v>
      </c>
      <c r="AE36" s="95" t="str">
        <f t="shared" si="16"/>
        <v>6.30.</v>
      </c>
      <c r="AH36" s="89" t="s">
        <v>190</v>
      </c>
      <c r="AI36" s="77">
        <v>0</v>
      </c>
      <c r="AJ36" s="77">
        <v>-2.7999999999792635</v>
      </c>
    </row>
    <row r="37" spans="3:36" ht="15.6" x14ac:dyDescent="0.25">
      <c r="C37" s="95" t="s">
        <v>191</v>
      </c>
      <c r="D37" s="84">
        <v>144.5247</v>
      </c>
      <c r="E37" s="85">
        <v>0</v>
      </c>
      <c r="F37" s="85">
        <v>0</v>
      </c>
      <c r="G37" s="84">
        <v>144.5222</v>
      </c>
      <c r="H37" s="85">
        <f t="shared" si="0"/>
        <v>-2.4999999999977263</v>
      </c>
      <c r="I37" s="85">
        <f t="shared" si="1"/>
        <v>-2.4999999999977263</v>
      </c>
      <c r="J37" s="84">
        <v>144.51849999999999</v>
      </c>
      <c r="K37" s="85">
        <f t="shared" si="2"/>
        <v>-3.7000000000091404</v>
      </c>
      <c r="L37" s="85">
        <f t="shared" si="3"/>
        <v>-6.2000000000068667</v>
      </c>
      <c r="M37" s="84">
        <v>95.74</v>
      </c>
      <c r="N37" s="85">
        <f t="shared" si="4"/>
        <v>-48778.499999999993</v>
      </c>
      <c r="O37" s="85">
        <f t="shared" si="5"/>
        <v>-48784.7</v>
      </c>
      <c r="P37" s="84">
        <v>95.739000000000004</v>
      </c>
      <c r="Q37" s="85">
        <f t="shared" si="6"/>
        <v>-0.99999999999056399</v>
      </c>
      <c r="R37" s="85">
        <f t="shared" si="7"/>
        <v>-48785.69999999999</v>
      </c>
      <c r="S37" s="84">
        <v>95.738200000000006</v>
      </c>
      <c r="T37" s="85">
        <f t="shared" si="8"/>
        <v>-0.79999999999813554</v>
      </c>
      <c r="U37" s="85">
        <f t="shared" si="9"/>
        <v>-48786.499999999985</v>
      </c>
      <c r="V37" s="86">
        <v>95.737499999999997</v>
      </c>
      <c r="W37" s="85">
        <f t="shared" si="10"/>
        <v>-0.70000000000902673</v>
      </c>
      <c r="X37" s="85">
        <f t="shared" si="11"/>
        <v>-48787.199999999997</v>
      </c>
      <c r="Y37" s="86">
        <v>95.736999999999995</v>
      </c>
      <c r="Z37" s="85">
        <f t="shared" si="12"/>
        <v>-0.50000000000238742</v>
      </c>
      <c r="AA37" s="85">
        <f t="shared" si="13"/>
        <v>-48787.7</v>
      </c>
      <c r="AB37" s="86">
        <v>95.7363</v>
      </c>
      <c r="AC37" s="85">
        <f t="shared" si="14"/>
        <v>-0.69999999999481588</v>
      </c>
      <c r="AD37" s="85">
        <f t="shared" si="15"/>
        <v>-48788.399999999994</v>
      </c>
      <c r="AE37" s="95" t="str">
        <f t="shared" si="16"/>
        <v>6.31.</v>
      </c>
      <c r="AH37" s="89" t="s">
        <v>191</v>
      </c>
      <c r="AI37" s="77">
        <v>0</v>
      </c>
      <c r="AJ37" s="77">
        <v>-2.4999999999977263</v>
      </c>
    </row>
    <row r="38" spans="3:36" ht="15.6" x14ac:dyDescent="0.25">
      <c r="C38" s="95" t="s">
        <v>192</v>
      </c>
      <c r="D38" s="84">
        <v>144.57229999999998</v>
      </c>
      <c r="E38" s="85">
        <v>0</v>
      </c>
      <c r="F38" s="85">
        <v>0</v>
      </c>
      <c r="G38" s="84">
        <v>144.56970000000001</v>
      </c>
      <c r="H38" s="85">
        <f t="shared" si="0"/>
        <v>-2.5999999999726242</v>
      </c>
      <c r="I38" s="85">
        <f t="shared" si="1"/>
        <v>-2.5999999999726242</v>
      </c>
      <c r="J38" s="84">
        <v>144.56739999999999</v>
      </c>
      <c r="K38" s="85">
        <f t="shared" si="2"/>
        <v>-2.3000000000195087</v>
      </c>
      <c r="L38" s="85">
        <f t="shared" si="3"/>
        <v>-4.8999999999921329</v>
      </c>
      <c r="M38" s="84">
        <v>96.74</v>
      </c>
      <c r="N38" s="85">
        <f t="shared" si="4"/>
        <v>-47827.399999999994</v>
      </c>
      <c r="O38" s="85">
        <f t="shared" si="5"/>
        <v>-47832.299999999988</v>
      </c>
      <c r="P38" s="84">
        <v>96.739000000000004</v>
      </c>
      <c r="Q38" s="85">
        <f t="shared" si="6"/>
        <v>-0.99999999999056399</v>
      </c>
      <c r="R38" s="85">
        <f t="shared" si="7"/>
        <v>-47833.299999999981</v>
      </c>
      <c r="S38" s="84">
        <v>96.738200000000006</v>
      </c>
      <c r="T38" s="85">
        <f t="shared" si="8"/>
        <v>-0.79999999999813554</v>
      </c>
      <c r="U38" s="85">
        <f t="shared" si="9"/>
        <v>-47834.099999999977</v>
      </c>
      <c r="V38" s="86">
        <v>96.737499999999997</v>
      </c>
      <c r="W38" s="85">
        <f t="shared" si="10"/>
        <v>-0.70000000000902673</v>
      </c>
      <c r="X38" s="85">
        <f t="shared" si="11"/>
        <v>-47834.799999999988</v>
      </c>
      <c r="Y38" s="86">
        <v>96.736999999999995</v>
      </c>
      <c r="Z38" s="85">
        <f t="shared" si="12"/>
        <v>-0.50000000000238742</v>
      </c>
      <c r="AA38" s="85">
        <f t="shared" si="13"/>
        <v>-47835.299999999988</v>
      </c>
      <c r="AB38" s="86">
        <v>96.7363</v>
      </c>
      <c r="AC38" s="85">
        <f t="shared" si="14"/>
        <v>-0.69999999999481588</v>
      </c>
      <c r="AD38" s="85">
        <f t="shared" si="15"/>
        <v>-47835.999999999985</v>
      </c>
      <c r="AE38" s="95" t="str">
        <f t="shared" si="16"/>
        <v>6.32.</v>
      </c>
      <c r="AH38" s="89" t="s">
        <v>192</v>
      </c>
      <c r="AI38" s="77">
        <v>0</v>
      </c>
      <c r="AJ38" s="77">
        <v>-2.5999999999726242</v>
      </c>
    </row>
    <row r="39" spans="3:36" ht="15.6" x14ac:dyDescent="0.25">
      <c r="C39" s="95" t="s">
        <v>193</v>
      </c>
      <c r="D39" s="84">
        <v>144.58579999999998</v>
      </c>
      <c r="E39" s="85">
        <v>0</v>
      </c>
      <c r="F39" s="85">
        <v>0</v>
      </c>
      <c r="G39" s="84">
        <v>144.58340000000001</v>
      </c>
      <c r="H39" s="85">
        <f t="shared" si="0"/>
        <v>-2.3999999999659849</v>
      </c>
      <c r="I39" s="85">
        <f t="shared" si="1"/>
        <v>-2.3999999999659849</v>
      </c>
      <c r="J39" s="84">
        <v>144.578</v>
      </c>
      <c r="K39" s="85">
        <f t="shared" si="2"/>
        <v>-5.4000000000087311</v>
      </c>
      <c r="L39" s="85">
        <f t="shared" si="3"/>
        <v>-7.799999999974716</v>
      </c>
      <c r="M39" s="84">
        <v>97.74</v>
      </c>
      <c r="N39" s="85">
        <f t="shared" si="4"/>
        <v>-46838.000000000007</v>
      </c>
      <c r="O39" s="85">
        <f t="shared" si="5"/>
        <v>-46845.799999999981</v>
      </c>
      <c r="P39" s="84">
        <v>97.739000000000004</v>
      </c>
      <c r="Q39" s="85">
        <f t="shared" si="6"/>
        <v>-0.99999999999056399</v>
      </c>
      <c r="R39" s="85">
        <f t="shared" si="7"/>
        <v>-46846.799999999974</v>
      </c>
      <c r="S39" s="84">
        <v>97.738200000000006</v>
      </c>
      <c r="T39" s="85">
        <f t="shared" si="8"/>
        <v>-0.79999999999813554</v>
      </c>
      <c r="U39" s="85">
        <f t="shared" si="9"/>
        <v>-46847.599999999969</v>
      </c>
      <c r="V39" s="86">
        <v>97.737499999999997</v>
      </c>
      <c r="W39" s="85">
        <f t="shared" si="10"/>
        <v>-0.70000000000902673</v>
      </c>
      <c r="X39" s="85">
        <f t="shared" si="11"/>
        <v>-46848.299999999981</v>
      </c>
      <c r="Y39" s="86">
        <v>97.736999999999995</v>
      </c>
      <c r="Z39" s="85">
        <f t="shared" si="12"/>
        <v>-0.50000000000238742</v>
      </c>
      <c r="AA39" s="85">
        <f t="shared" si="13"/>
        <v>-46848.799999999981</v>
      </c>
      <c r="AB39" s="86">
        <v>97.7363</v>
      </c>
      <c r="AC39" s="85">
        <f t="shared" si="14"/>
        <v>-0.69999999999481588</v>
      </c>
      <c r="AD39" s="85">
        <f t="shared" si="15"/>
        <v>-46849.499999999978</v>
      </c>
      <c r="AE39" s="95" t="str">
        <f t="shared" si="16"/>
        <v>6.33.</v>
      </c>
      <c r="AH39" s="89" t="s">
        <v>193</v>
      </c>
      <c r="AI39" s="77">
        <v>0</v>
      </c>
      <c r="AJ39" s="77">
        <v>-2.3999999999659849</v>
      </c>
    </row>
    <row r="40" spans="3:36" ht="15.6" x14ac:dyDescent="0.25">
      <c r="C40" s="95" t="s">
        <v>194</v>
      </c>
      <c r="D40" s="84">
        <v>144.63069999999999</v>
      </c>
      <c r="E40" s="85">
        <v>0</v>
      </c>
      <c r="F40" s="85">
        <v>0</v>
      </c>
      <c r="G40" s="84">
        <v>144.6284</v>
      </c>
      <c r="H40" s="85">
        <f t="shared" si="0"/>
        <v>-2.299999999991087</v>
      </c>
      <c r="I40" s="85">
        <f t="shared" si="1"/>
        <v>-2.299999999991087</v>
      </c>
      <c r="J40" s="84">
        <v>144.62360000000001</v>
      </c>
      <c r="K40" s="85">
        <f t="shared" si="2"/>
        <v>-4.7999999999888132</v>
      </c>
      <c r="L40" s="85">
        <f t="shared" si="3"/>
        <v>-7.0999999999799002</v>
      </c>
      <c r="M40" s="84">
        <v>98.74</v>
      </c>
      <c r="N40" s="85">
        <f t="shared" si="4"/>
        <v>-45883.600000000013</v>
      </c>
      <c r="O40" s="85">
        <f t="shared" si="5"/>
        <v>-45890.69999999999</v>
      </c>
      <c r="P40" s="84">
        <v>98.739000000000004</v>
      </c>
      <c r="Q40" s="85">
        <f t="shared" si="6"/>
        <v>-0.99999999999056399</v>
      </c>
      <c r="R40" s="85">
        <f t="shared" si="7"/>
        <v>-45891.699999999983</v>
      </c>
      <c r="S40" s="84">
        <v>98.738200000000006</v>
      </c>
      <c r="T40" s="85">
        <f t="shared" si="8"/>
        <v>-0.79999999999813554</v>
      </c>
      <c r="U40" s="85">
        <f t="shared" si="9"/>
        <v>-45892.499999999978</v>
      </c>
      <c r="V40" s="86">
        <v>98.737499999999997</v>
      </c>
      <c r="W40" s="85">
        <f t="shared" si="10"/>
        <v>-0.70000000000902673</v>
      </c>
      <c r="X40" s="85">
        <f t="shared" si="11"/>
        <v>-45893.19999999999</v>
      </c>
      <c r="Y40" s="86">
        <v>98.736999999999995</v>
      </c>
      <c r="Z40" s="85">
        <f t="shared" si="12"/>
        <v>-0.50000000000238742</v>
      </c>
      <c r="AA40" s="85">
        <f t="shared" si="13"/>
        <v>-45893.69999999999</v>
      </c>
      <c r="AB40" s="86">
        <v>98.7363</v>
      </c>
      <c r="AC40" s="85">
        <f t="shared" si="14"/>
        <v>-0.69999999999481588</v>
      </c>
      <c r="AD40" s="85">
        <f t="shared" si="15"/>
        <v>-45894.399999999987</v>
      </c>
      <c r="AE40" s="95" t="str">
        <f t="shared" si="16"/>
        <v>6.34.</v>
      </c>
      <c r="AH40" s="89" t="s">
        <v>194</v>
      </c>
      <c r="AI40" s="77">
        <v>0</v>
      </c>
      <c r="AJ40" s="77">
        <v>-2.299999999991087</v>
      </c>
    </row>
    <row r="41" spans="3:36" ht="15.6" x14ac:dyDescent="0.25">
      <c r="C41" s="95" t="s">
        <v>195</v>
      </c>
      <c r="D41" s="84">
        <v>144.5701</v>
      </c>
      <c r="E41" s="85">
        <v>0</v>
      </c>
      <c r="F41" s="85">
        <v>0</v>
      </c>
      <c r="G41" s="84">
        <v>144.56790000000001</v>
      </c>
      <c r="H41" s="85">
        <f t="shared" si="0"/>
        <v>-2.1999999999877673</v>
      </c>
      <c r="I41" s="85">
        <f t="shared" si="1"/>
        <v>-2.1999999999877673</v>
      </c>
      <c r="J41" s="84">
        <v>144.5643</v>
      </c>
      <c r="K41" s="85">
        <f t="shared" si="2"/>
        <v>-3.6000000000058208</v>
      </c>
      <c r="L41" s="85">
        <f t="shared" si="3"/>
        <v>-5.7999999999935881</v>
      </c>
      <c r="M41" s="84">
        <v>99.74</v>
      </c>
      <c r="N41" s="85">
        <f t="shared" si="4"/>
        <v>-44824.30000000001</v>
      </c>
      <c r="O41" s="85">
        <f t="shared" si="5"/>
        <v>-44830.100000000006</v>
      </c>
      <c r="P41" s="84">
        <v>99.739000000000004</v>
      </c>
      <c r="Q41" s="85">
        <f t="shared" si="6"/>
        <v>-0.99999999999056399</v>
      </c>
      <c r="R41" s="85">
        <f t="shared" si="7"/>
        <v>-44831.1</v>
      </c>
      <c r="S41" s="84">
        <v>99.738200000000006</v>
      </c>
      <c r="T41" s="85">
        <f t="shared" si="8"/>
        <v>-0.79999999999813554</v>
      </c>
      <c r="U41" s="85">
        <f t="shared" si="9"/>
        <v>-44831.899999999994</v>
      </c>
      <c r="V41" s="86">
        <v>99.737499999999997</v>
      </c>
      <c r="W41" s="85">
        <f t="shared" si="10"/>
        <v>-0.70000000000902673</v>
      </c>
      <c r="X41" s="85">
        <f t="shared" si="11"/>
        <v>-44832.600000000006</v>
      </c>
      <c r="Y41" s="86">
        <v>99.736999999999995</v>
      </c>
      <c r="Z41" s="85">
        <f t="shared" si="12"/>
        <v>-0.50000000000238742</v>
      </c>
      <c r="AA41" s="85">
        <f t="shared" si="13"/>
        <v>-44833.100000000006</v>
      </c>
      <c r="AB41" s="86">
        <v>99.7363</v>
      </c>
      <c r="AC41" s="85">
        <f t="shared" si="14"/>
        <v>-0.69999999999481588</v>
      </c>
      <c r="AD41" s="85">
        <f t="shared" si="15"/>
        <v>-44833.8</v>
      </c>
      <c r="AE41" s="95" t="str">
        <f t="shared" si="16"/>
        <v>6.35.</v>
      </c>
      <c r="AH41" s="89" t="s">
        <v>195</v>
      </c>
      <c r="AI41" s="77">
        <v>0</v>
      </c>
      <c r="AJ41" s="77">
        <v>-2.1999999999877673</v>
      </c>
    </row>
    <row r="42" spans="3:36" ht="15.6" x14ac:dyDescent="0.25">
      <c r="C42" s="95" t="s">
        <v>196</v>
      </c>
      <c r="D42" s="84">
        <v>144.48819999999998</v>
      </c>
      <c r="E42" s="85">
        <v>0</v>
      </c>
      <c r="F42" s="85">
        <v>0</v>
      </c>
      <c r="G42" s="84">
        <v>144.48609999999999</v>
      </c>
      <c r="H42" s="85">
        <f t="shared" si="0"/>
        <v>-2.0999999999844476</v>
      </c>
      <c r="I42" s="85">
        <f t="shared" si="1"/>
        <v>-2.0999999999844476</v>
      </c>
      <c r="J42" s="84">
        <v>144.48249999999999</v>
      </c>
      <c r="K42" s="85">
        <f t="shared" si="2"/>
        <v>-3.6000000000058208</v>
      </c>
      <c r="L42" s="85">
        <f t="shared" si="3"/>
        <v>-5.6999999999902684</v>
      </c>
      <c r="M42" s="84">
        <v>100.74</v>
      </c>
      <c r="N42" s="85">
        <f t="shared" si="4"/>
        <v>-43742.499999999993</v>
      </c>
      <c r="O42" s="85">
        <f t="shared" si="5"/>
        <v>-43748.199999999983</v>
      </c>
      <c r="P42" s="84">
        <v>100.739</v>
      </c>
      <c r="Q42" s="85">
        <f t="shared" si="6"/>
        <v>-0.99999999999056399</v>
      </c>
      <c r="R42" s="85">
        <f t="shared" si="7"/>
        <v>-43749.199999999975</v>
      </c>
      <c r="S42" s="84">
        <v>100.73820000000001</v>
      </c>
      <c r="T42" s="85">
        <f t="shared" si="8"/>
        <v>-0.79999999999813554</v>
      </c>
      <c r="U42" s="85">
        <f t="shared" si="9"/>
        <v>-43749.999999999971</v>
      </c>
      <c r="V42" s="86">
        <v>100.7375</v>
      </c>
      <c r="W42" s="85">
        <f t="shared" si="10"/>
        <v>-0.70000000000902673</v>
      </c>
      <c r="X42" s="85">
        <f t="shared" si="11"/>
        <v>-43750.699999999983</v>
      </c>
      <c r="Y42" s="86">
        <v>100.73699999999999</v>
      </c>
      <c r="Z42" s="85">
        <f t="shared" si="12"/>
        <v>-0.50000000000238742</v>
      </c>
      <c r="AA42" s="85">
        <f t="shared" si="13"/>
        <v>-43751.199999999983</v>
      </c>
      <c r="AB42" s="86">
        <v>100.7363</v>
      </c>
      <c r="AC42" s="85">
        <f t="shared" si="14"/>
        <v>-0.69999999999481588</v>
      </c>
      <c r="AD42" s="85">
        <f t="shared" si="15"/>
        <v>-43751.89999999998</v>
      </c>
      <c r="AE42" s="95" t="str">
        <f t="shared" si="16"/>
        <v>6.36.</v>
      </c>
      <c r="AH42" s="89" t="s">
        <v>196</v>
      </c>
      <c r="AI42" s="77">
        <v>0</v>
      </c>
      <c r="AJ42" s="77">
        <v>-2.0999999999844476</v>
      </c>
    </row>
    <row r="43" spans="3:36" ht="15.6" x14ac:dyDescent="0.25">
      <c r="C43" s="95" t="s">
        <v>197</v>
      </c>
      <c r="D43" s="84">
        <v>144.631</v>
      </c>
      <c r="E43" s="85">
        <v>0</v>
      </c>
      <c r="F43" s="85">
        <v>0</v>
      </c>
      <c r="G43" s="84">
        <v>144.6285</v>
      </c>
      <c r="H43" s="85">
        <f t="shared" si="0"/>
        <v>-2.4999999999977263</v>
      </c>
      <c r="I43" s="85">
        <f t="shared" si="1"/>
        <v>-2.4999999999977263</v>
      </c>
      <c r="J43" s="84">
        <v>144.62459999999999</v>
      </c>
      <c r="K43" s="85">
        <f t="shared" si="2"/>
        <v>-3.9000000000157797</v>
      </c>
      <c r="L43" s="85">
        <f t="shared" si="3"/>
        <v>-6.400000000013506</v>
      </c>
      <c r="M43" s="84">
        <v>101.74</v>
      </c>
      <c r="N43" s="85">
        <f t="shared" si="4"/>
        <v>-42884.599999999991</v>
      </c>
      <c r="O43" s="85">
        <f t="shared" si="5"/>
        <v>-42891.000000000007</v>
      </c>
      <c r="P43" s="84">
        <v>101.739</v>
      </c>
      <c r="Q43" s="85">
        <f t="shared" si="6"/>
        <v>-0.99999999999056399</v>
      </c>
      <c r="R43" s="85">
        <f t="shared" si="7"/>
        <v>-42892</v>
      </c>
      <c r="S43" s="84">
        <v>101.73820000000001</v>
      </c>
      <c r="T43" s="85">
        <f t="shared" si="8"/>
        <v>-0.79999999999813554</v>
      </c>
      <c r="U43" s="85">
        <f t="shared" si="9"/>
        <v>-42892.799999999996</v>
      </c>
      <c r="V43" s="86">
        <v>101.7375</v>
      </c>
      <c r="W43" s="85">
        <f t="shared" si="10"/>
        <v>-0.70000000000902673</v>
      </c>
      <c r="X43" s="85">
        <f t="shared" si="11"/>
        <v>-42893.500000000007</v>
      </c>
      <c r="Y43" s="86">
        <v>101.73699999999999</v>
      </c>
      <c r="Z43" s="85">
        <f t="shared" si="12"/>
        <v>-0.50000000000238742</v>
      </c>
      <c r="AA43" s="85">
        <f t="shared" si="13"/>
        <v>-42894.000000000007</v>
      </c>
      <c r="AB43" s="86">
        <v>101.7363</v>
      </c>
      <c r="AC43" s="85">
        <f t="shared" si="14"/>
        <v>-0.69999999999481588</v>
      </c>
      <c r="AD43" s="85">
        <f t="shared" si="15"/>
        <v>-42894.700000000004</v>
      </c>
      <c r="AE43" s="95" t="str">
        <f t="shared" si="16"/>
        <v>6.37.</v>
      </c>
      <c r="AH43" s="89" t="s">
        <v>197</v>
      </c>
      <c r="AI43" s="77">
        <v>0</v>
      </c>
      <c r="AJ43" s="77">
        <v>-2.4999999999977263</v>
      </c>
    </row>
    <row r="44" spans="3:36" ht="15.6" x14ac:dyDescent="0.25">
      <c r="C44" s="95" t="s">
        <v>198</v>
      </c>
      <c r="D44" s="84">
        <v>144.64099999999999</v>
      </c>
      <c r="E44" s="85">
        <v>0</v>
      </c>
      <c r="F44" s="85">
        <v>0</v>
      </c>
      <c r="G44" s="84">
        <v>144.63820000000001</v>
      </c>
      <c r="H44" s="85">
        <f t="shared" si="0"/>
        <v>-2.7999999999792635</v>
      </c>
      <c r="I44" s="85">
        <f t="shared" si="1"/>
        <v>-2.7999999999792635</v>
      </c>
      <c r="J44" s="84">
        <v>144.6362</v>
      </c>
      <c r="K44" s="85">
        <f t="shared" si="2"/>
        <v>-2.0000000000095497</v>
      </c>
      <c r="L44" s="85">
        <f t="shared" si="3"/>
        <v>-4.7999999999888132</v>
      </c>
      <c r="M44" s="84">
        <v>102.74</v>
      </c>
      <c r="N44" s="85">
        <f t="shared" si="4"/>
        <v>-41896.200000000004</v>
      </c>
      <c r="O44" s="85">
        <f t="shared" si="5"/>
        <v>-41900.999999999993</v>
      </c>
      <c r="P44" s="84">
        <v>102.739</v>
      </c>
      <c r="Q44" s="85">
        <f t="shared" si="6"/>
        <v>-0.99999999999056399</v>
      </c>
      <c r="R44" s="85">
        <f t="shared" si="7"/>
        <v>-41901.999999999985</v>
      </c>
      <c r="S44" s="84">
        <v>102.73820000000001</v>
      </c>
      <c r="T44" s="85">
        <f t="shared" si="8"/>
        <v>-0.79999999999813554</v>
      </c>
      <c r="U44" s="85">
        <f t="shared" si="9"/>
        <v>-41902.799999999981</v>
      </c>
      <c r="V44" s="86">
        <v>102.7375</v>
      </c>
      <c r="W44" s="85">
        <f t="shared" si="10"/>
        <v>-0.70000000000902673</v>
      </c>
      <c r="X44" s="85">
        <f t="shared" si="11"/>
        <v>-41903.499999999993</v>
      </c>
      <c r="Y44" s="86">
        <v>102.73699999999999</v>
      </c>
      <c r="Z44" s="85">
        <f t="shared" si="12"/>
        <v>-0.50000000000238742</v>
      </c>
      <c r="AA44" s="85">
        <f t="shared" si="13"/>
        <v>-41903.999999999993</v>
      </c>
      <c r="AB44" s="86">
        <v>102.7363</v>
      </c>
      <c r="AC44" s="85">
        <f t="shared" si="14"/>
        <v>-0.69999999999481588</v>
      </c>
      <c r="AD44" s="85">
        <f t="shared" si="15"/>
        <v>-41904.69999999999</v>
      </c>
      <c r="AE44" s="95" t="str">
        <f t="shared" si="16"/>
        <v>6.38.</v>
      </c>
      <c r="AH44" s="89" t="s">
        <v>198</v>
      </c>
      <c r="AI44" s="77">
        <v>0</v>
      </c>
      <c r="AJ44" s="77">
        <v>-2.7999999999792635</v>
      </c>
    </row>
    <row r="45" spans="3:36" ht="15.6" x14ac:dyDescent="0.25">
      <c r="C45" s="95" t="s">
        <v>199</v>
      </c>
      <c r="D45" s="84">
        <v>144.74449999999999</v>
      </c>
      <c r="E45" s="85">
        <v>0</v>
      </c>
      <c r="F45" s="85">
        <v>0</v>
      </c>
      <c r="G45" s="84">
        <v>144.7415</v>
      </c>
      <c r="H45" s="85">
        <f t="shared" si="0"/>
        <v>-2.9999999999859028</v>
      </c>
      <c r="I45" s="85">
        <f t="shared" si="1"/>
        <v>-2.9999999999859028</v>
      </c>
      <c r="J45" s="84">
        <v>144.74109999999999</v>
      </c>
      <c r="K45" s="85">
        <f t="shared" si="2"/>
        <v>-0.40000000001327862</v>
      </c>
      <c r="L45" s="85">
        <f t="shared" si="3"/>
        <v>-3.3999999999991815</v>
      </c>
      <c r="M45" s="84">
        <v>103.74</v>
      </c>
      <c r="N45" s="85">
        <f t="shared" si="4"/>
        <v>-41001.099999999991</v>
      </c>
      <c r="O45" s="85">
        <f t="shared" si="5"/>
        <v>-41004.499999999993</v>
      </c>
      <c r="P45" s="84">
        <v>103.739</v>
      </c>
      <c r="Q45" s="85">
        <f t="shared" si="6"/>
        <v>-0.99999999999056399</v>
      </c>
      <c r="R45" s="85">
        <f t="shared" si="7"/>
        <v>-41005.499999999985</v>
      </c>
      <c r="S45" s="84">
        <v>103.73820000000001</v>
      </c>
      <c r="T45" s="85">
        <f t="shared" si="8"/>
        <v>-0.79999999999813554</v>
      </c>
      <c r="U45" s="85">
        <f t="shared" si="9"/>
        <v>-41006.299999999981</v>
      </c>
      <c r="V45" s="86">
        <v>103.7375</v>
      </c>
      <c r="W45" s="85">
        <f t="shared" si="10"/>
        <v>-0.70000000000902673</v>
      </c>
      <c r="X45" s="85">
        <f t="shared" si="11"/>
        <v>-41006.999999999993</v>
      </c>
      <c r="Y45" s="86">
        <v>103.73699999999999</v>
      </c>
      <c r="Z45" s="85">
        <f t="shared" si="12"/>
        <v>-0.50000000000238742</v>
      </c>
      <c r="AA45" s="85">
        <f t="shared" si="13"/>
        <v>-41007.499999999993</v>
      </c>
      <c r="AB45" s="86">
        <v>103.7363</v>
      </c>
      <c r="AC45" s="85">
        <f t="shared" si="14"/>
        <v>-0.69999999999481588</v>
      </c>
      <c r="AD45" s="85">
        <f t="shared" si="15"/>
        <v>-41008.19999999999</v>
      </c>
      <c r="AE45" s="95" t="str">
        <f t="shared" si="16"/>
        <v>6.39.</v>
      </c>
      <c r="AH45" s="89" t="s">
        <v>199</v>
      </c>
      <c r="AI45" s="77">
        <v>0</v>
      </c>
      <c r="AJ45" s="77">
        <v>-2.9999999999859028</v>
      </c>
    </row>
    <row r="46" spans="3:36" ht="15.6" x14ac:dyDescent="0.25">
      <c r="C46" s="95" t="s">
        <v>200</v>
      </c>
      <c r="D46" s="84">
        <v>144.67769999999999</v>
      </c>
      <c r="E46" s="85">
        <v>0</v>
      </c>
      <c r="F46" s="85">
        <v>0</v>
      </c>
      <c r="G46" s="84">
        <v>144.6746</v>
      </c>
      <c r="H46" s="85">
        <f t="shared" si="0"/>
        <v>-3.0999999999892225</v>
      </c>
      <c r="I46" s="85">
        <f t="shared" si="1"/>
        <v>-3.0999999999892225</v>
      </c>
      <c r="J46" s="84">
        <v>144.67089999999999</v>
      </c>
      <c r="K46" s="85">
        <f t="shared" si="2"/>
        <v>-3.7000000000091404</v>
      </c>
      <c r="L46" s="85">
        <f t="shared" si="3"/>
        <v>-6.7999999999983629</v>
      </c>
      <c r="M46" s="84">
        <v>104.74</v>
      </c>
      <c r="N46" s="85">
        <f t="shared" si="4"/>
        <v>-39930.899999999994</v>
      </c>
      <c r="O46" s="85">
        <f t="shared" si="5"/>
        <v>-39937.69999999999</v>
      </c>
      <c r="P46" s="84">
        <v>104.739</v>
      </c>
      <c r="Q46" s="85">
        <f t="shared" si="6"/>
        <v>-0.99999999999056399</v>
      </c>
      <c r="R46" s="85">
        <f t="shared" si="7"/>
        <v>-39938.699999999983</v>
      </c>
      <c r="S46" s="84">
        <v>104.73820000000001</v>
      </c>
      <c r="T46" s="85">
        <f t="shared" si="8"/>
        <v>-0.79999999999813554</v>
      </c>
      <c r="U46" s="85">
        <f t="shared" si="9"/>
        <v>-39939.499999999978</v>
      </c>
      <c r="V46" s="86">
        <v>104.7375</v>
      </c>
      <c r="W46" s="85">
        <f t="shared" si="10"/>
        <v>-0.70000000000902673</v>
      </c>
      <c r="X46" s="85">
        <f t="shared" si="11"/>
        <v>-39940.19999999999</v>
      </c>
      <c r="Y46" s="86">
        <v>104.73699999999999</v>
      </c>
      <c r="Z46" s="85">
        <f t="shared" si="12"/>
        <v>-0.50000000000238742</v>
      </c>
      <c r="AA46" s="85">
        <f t="shared" si="13"/>
        <v>-39940.69999999999</v>
      </c>
      <c r="AB46" s="86">
        <v>104.7363</v>
      </c>
      <c r="AC46" s="85">
        <f t="shared" si="14"/>
        <v>-0.69999999999481588</v>
      </c>
      <c r="AD46" s="85">
        <f t="shared" si="15"/>
        <v>-39941.399999999987</v>
      </c>
      <c r="AE46" s="95" t="str">
        <f t="shared" si="16"/>
        <v>6.40.</v>
      </c>
      <c r="AH46" s="89" t="s">
        <v>200</v>
      </c>
      <c r="AI46" s="77">
        <v>0</v>
      </c>
      <c r="AJ46" s="77">
        <v>-3.0999999999892225</v>
      </c>
    </row>
    <row r="47" spans="3:36" ht="15.6" x14ac:dyDescent="0.25">
      <c r="C47" s="95" t="s">
        <v>201</v>
      </c>
      <c r="D47" s="84">
        <v>144.63799999999998</v>
      </c>
      <c r="E47" s="85">
        <v>0</v>
      </c>
      <c r="F47" s="85">
        <v>0</v>
      </c>
      <c r="G47" s="84">
        <v>144.6353</v>
      </c>
      <c r="H47" s="85">
        <f t="shared" si="0"/>
        <v>-2.6999999999759439</v>
      </c>
      <c r="I47" s="85">
        <f t="shared" si="1"/>
        <v>-2.6999999999759439</v>
      </c>
      <c r="J47" s="84">
        <v>144.6317</v>
      </c>
      <c r="K47" s="85">
        <f t="shared" si="2"/>
        <v>-3.6000000000058208</v>
      </c>
      <c r="L47" s="85">
        <f t="shared" si="3"/>
        <v>-6.2999999999817646</v>
      </c>
      <c r="M47" s="84">
        <v>105.74</v>
      </c>
      <c r="N47" s="85">
        <f t="shared" si="4"/>
        <v>-38891.699999999997</v>
      </c>
      <c r="O47" s="85">
        <f t="shared" si="5"/>
        <v>-38897.999999999978</v>
      </c>
      <c r="P47" s="84">
        <v>105.739</v>
      </c>
      <c r="Q47" s="85">
        <f t="shared" si="6"/>
        <v>-0.99999999999056399</v>
      </c>
      <c r="R47" s="85">
        <f t="shared" si="7"/>
        <v>-38898.999999999971</v>
      </c>
      <c r="S47" s="84">
        <v>105.73820000000001</v>
      </c>
      <c r="T47" s="85">
        <f t="shared" si="8"/>
        <v>-0.79999999999813554</v>
      </c>
      <c r="U47" s="85">
        <f t="shared" si="9"/>
        <v>-38899.799999999967</v>
      </c>
      <c r="V47" s="86">
        <v>105.7375</v>
      </c>
      <c r="W47" s="85">
        <f t="shared" si="10"/>
        <v>-0.70000000000902673</v>
      </c>
      <c r="X47" s="85">
        <f t="shared" si="11"/>
        <v>-38900.499999999978</v>
      </c>
      <c r="Y47" s="86">
        <v>105.73699999999999</v>
      </c>
      <c r="Z47" s="85">
        <f t="shared" si="12"/>
        <v>-0.50000000000238742</v>
      </c>
      <c r="AA47" s="85">
        <f t="shared" si="13"/>
        <v>-38900.999999999978</v>
      </c>
      <c r="AB47" s="86">
        <v>105.7363</v>
      </c>
      <c r="AC47" s="85">
        <f t="shared" si="14"/>
        <v>-0.69999999999481588</v>
      </c>
      <c r="AD47" s="85">
        <f t="shared" si="15"/>
        <v>-38901.699999999975</v>
      </c>
      <c r="AE47" s="95" t="str">
        <f t="shared" si="16"/>
        <v>6.41.</v>
      </c>
      <c r="AH47" s="89" t="s">
        <v>201</v>
      </c>
      <c r="AI47" s="77">
        <v>0</v>
      </c>
      <c r="AJ47" s="77">
        <v>-2.6999999999759439</v>
      </c>
    </row>
    <row r="48" spans="3:36" x14ac:dyDescent="0.25">
      <c r="C48" s="116"/>
    </row>
    <row r="49" spans="3:3" x14ac:dyDescent="0.25">
      <c r="C49" s="116"/>
    </row>
    <row r="50" spans="3:3" x14ac:dyDescent="0.25">
      <c r="C50" s="116"/>
    </row>
    <row r="51" spans="3:3" x14ac:dyDescent="0.25">
      <c r="C51" s="116"/>
    </row>
    <row r="52" spans="3:3" x14ac:dyDescent="0.25">
      <c r="C52" s="116"/>
    </row>
    <row r="53" spans="3:3" x14ac:dyDescent="0.25">
      <c r="C53" s="116"/>
    </row>
    <row r="54" spans="3:3" x14ac:dyDescent="0.25">
      <c r="C54" s="116"/>
    </row>
    <row r="55" spans="3:3" x14ac:dyDescent="0.25">
      <c r="C55" s="116"/>
    </row>
    <row r="56" spans="3:3" x14ac:dyDescent="0.25">
      <c r="C56" s="116"/>
    </row>
    <row r="57" spans="3:3" x14ac:dyDescent="0.25">
      <c r="C57" s="116"/>
    </row>
    <row r="58" spans="3:3" x14ac:dyDescent="0.25">
      <c r="C58" s="116"/>
    </row>
    <row r="59" spans="3:3" x14ac:dyDescent="0.25">
      <c r="C59" s="116"/>
    </row>
    <row r="60" spans="3:3" x14ac:dyDescent="0.25">
      <c r="C60" s="116"/>
    </row>
    <row r="61" spans="3:3" x14ac:dyDescent="0.25">
      <c r="C61" s="116"/>
    </row>
    <row r="62" spans="3:3" x14ac:dyDescent="0.25">
      <c r="C62" s="116"/>
    </row>
    <row r="63" spans="3:3" x14ac:dyDescent="0.25">
      <c r="C63" s="116"/>
    </row>
    <row r="64" spans="3:3" x14ac:dyDescent="0.25">
      <c r="C64" s="116"/>
    </row>
    <row r="65" spans="3:3" x14ac:dyDescent="0.25">
      <c r="C65" s="116"/>
    </row>
    <row r="66" spans="3:3" x14ac:dyDescent="0.25">
      <c r="C66" s="116"/>
    </row>
    <row r="67" spans="3:3" x14ac:dyDescent="0.25">
      <c r="C67" s="116"/>
    </row>
    <row r="68" spans="3:3" x14ac:dyDescent="0.25">
      <c r="C68" s="116"/>
    </row>
    <row r="69" spans="3:3" x14ac:dyDescent="0.25">
      <c r="C69" s="116"/>
    </row>
    <row r="70" spans="3:3" x14ac:dyDescent="0.25">
      <c r="C70" s="116"/>
    </row>
    <row r="71" spans="3:3" x14ac:dyDescent="0.25">
      <c r="C71" s="116"/>
    </row>
    <row r="72" spans="3:3" x14ac:dyDescent="0.25">
      <c r="C72" s="116"/>
    </row>
    <row r="73" spans="3:3" x14ac:dyDescent="0.25">
      <c r="C73" s="116"/>
    </row>
    <row r="74" spans="3:3" x14ac:dyDescent="0.25">
      <c r="C74" s="116"/>
    </row>
  </sheetData>
  <mergeCells count="13">
    <mergeCell ref="C3:AE3"/>
    <mergeCell ref="C4:AE4"/>
    <mergeCell ref="AE5:AE6"/>
    <mergeCell ref="C5:C6"/>
    <mergeCell ref="D5:F5"/>
    <mergeCell ref="G5:I5"/>
    <mergeCell ref="J5:L5"/>
    <mergeCell ref="M5:O5"/>
    <mergeCell ref="P5:R5"/>
    <mergeCell ref="S5:U5"/>
    <mergeCell ref="V5:X5"/>
    <mergeCell ref="Y5:AA5"/>
    <mergeCell ref="AB5:AD5"/>
  </mergeCells>
  <phoneticPr fontId="29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2:AJ50"/>
  <sheetViews>
    <sheetView topLeftCell="C1" zoomScale="85" zoomScaleNormal="85" workbookViewId="0">
      <selection activeCell="AE2" sqref="C2:AE25"/>
    </sheetView>
  </sheetViews>
  <sheetFormatPr defaultColWidth="9.109375" defaultRowHeight="13.8" x14ac:dyDescent="0.25"/>
  <cols>
    <col min="1" max="2" width="9.109375" style="77"/>
    <col min="3" max="3" width="7.6640625" style="77" customWidth="1"/>
    <col min="4" max="4" width="14.77734375" style="74" customWidth="1"/>
    <col min="5" max="5" width="14.77734375" style="77" customWidth="1"/>
    <col min="6" max="7" width="14.77734375" style="74" customWidth="1"/>
    <col min="8" max="8" width="14.77734375" style="77" customWidth="1"/>
    <col min="9" max="9" width="14.77734375" style="74" customWidth="1"/>
    <col min="10" max="10" width="10.6640625" style="74" hidden="1" customWidth="1"/>
    <col min="11" max="11" width="10.6640625" style="77" hidden="1" customWidth="1"/>
    <col min="12" max="13" width="10.6640625" style="74" hidden="1" customWidth="1"/>
    <col min="14" max="14" width="10.6640625" style="77" hidden="1" customWidth="1"/>
    <col min="15" max="21" width="10.6640625" style="74" hidden="1" customWidth="1"/>
    <col min="22" max="22" width="10.6640625" style="75" hidden="1" customWidth="1"/>
    <col min="23" max="24" width="10.6640625" style="74" hidden="1" customWidth="1"/>
    <col min="25" max="25" width="10.6640625" style="75" hidden="1" customWidth="1"/>
    <col min="26" max="27" width="10.6640625" style="74" hidden="1" customWidth="1"/>
    <col min="28" max="28" width="10.6640625" style="75" hidden="1" customWidth="1"/>
    <col min="29" max="30" width="10.6640625" style="74" hidden="1" customWidth="1"/>
    <col min="31" max="32" width="7.6640625" style="74" customWidth="1"/>
    <col min="33" max="33" width="11.33203125" style="77" customWidth="1"/>
    <col min="34" max="34" width="9.109375" style="77"/>
    <col min="35" max="38" width="10.33203125" style="77" bestFit="1" customWidth="1"/>
    <col min="39" max="39" width="12.5546875" style="77" customWidth="1"/>
    <col min="40" max="40" width="10.88671875" style="77" bestFit="1" customWidth="1"/>
    <col min="41" max="41" width="10.109375" style="77" bestFit="1" customWidth="1"/>
    <col min="42" max="43" width="10.33203125" style="77" bestFit="1" customWidth="1"/>
    <col min="44" max="44" width="10.33203125" style="77" customWidth="1"/>
    <col min="45" max="16384" width="9.109375" style="77"/>
  </cols>
  <sheetData>
    <row r="2" spans="3:36" x14ac:dyDescent="0.25">
      <c r="C2" s="74"/>
      <c r="E2" s="74"/>
      <c r="H2" s="74"/>
      <c r="K2" s="74"/>
      <c r="N2" s="74"/>
      <c r="AE2" s="76" t="s">
        <v>218</v>
      </c>
      <c r="AF2" s="76"/>
    </row>
    <row r="3" spans="3:36" x14ac:dyDescent="0.25">
      <c r="C3" s="168" t="s">
        <v>51</v>
      </c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22"/>
    </row>
    <row r="4" spans="3:36" x14ac:dyDescent="0.25">
      <c r="C4" s="169" t="s">
        <v>239</v>
      </c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79"/>
      <c r="AG4" s="80"/>
    </row>
    <row r="5" spans="3:36" ht="19.95" customHeight="1" x14ac:dyDescent="0.25">
      <c r="C5" s="166" t="s">
        <v>1</v>
      </c>
      <c r="D5" s="132" t="s">
        <v>219</v>
      </c>
      <c r="E5" s="133"/>
      <c r="F5" s="134"/>
      <c r="G5" s="132" t="s">
        <v>249</v>
      </c>
      <c r="H5" s="133"/>
      <c r="I5" s="134"/>
      <c r="J5" s="132" t="s">
        <v>248</v>
      </c>
      <c r="K5" s="133"/>
      <c r="L5" s="134"/>
      <c r="M5" s="163" t="s">
        <v>52</v>
      </c>
      <c r="N5" s="164"/>
      <c r="O5" s="165"/>
      <c r="P5" s="163" t="s">
        <v>53</v>
      </c>
      <c r="Q5" s="164"/>
      <c r="R5" s="165"/>
      <c r="S5" s="163" t="s">
        <v>54</v>
      </c>
      <c r="T5" s="164"/>
      <c r="U5" s="165"/>
      <c r="V5" s="163" t="s">
        <v>55</v>
      </c>
      <c r="W5" s="164"/>
      <c r="X5" s="165"/>
      <c r="Y5" s="163" t="s">
        <v>56</v>
      </c>
      <c r="Z5" s="164"/>
      <c r="AA5" s="165"/>
      <c r="AB5" s="163" t="s">
        <v>57</v>
      </c>
      <c r="AC5" s="164"/>
      <c r="AD5" s="165"/>
      <c r="AE5" s="166" t="s">
        <v>1</v>
      </c>
      <c r="AF5" s="81"/>
      <c r="AI5" s="77" t="s">
        <v>240</v>
      </c>
    </row>
    <row r="6" spans="3:36" ht="34.950000000000003" customHeight="1" x14ac:dyDescent="0.25">
      <c r="C6" s="167"/>
      <c r="D6" s="82" t="s">
        <v>2</v>
      </c>
      <c r="E6" s="11" t="s">
        <v>3</v>
      </c>
      <c r="F6" s="11" t="s">
        <v>4</v>
      </c>
      <c r="G6" s="82" t="s">
        <v>2</v>
      </c>
      <c r="H6" s="11" t="s">
        <v>3</v>
      </c>
      <c r="I6" s="11" t="s">
        <v>4</v>
      </c>
      <c r="J6" s="82" t="s">
        <v>2</v>
      </c>
      <c r="K6" s="11" t="s">
        <v>3</v>
      </c>
      <c r="L6" s="11" t="s">
        <v>4</v>
      </c>
      <c r="M6" s="82" t="s">
        <v>2</v>
      </c>
      <c r="N6" s="11" t="s">
        <v>3</v>
      </c>
      <c r="O6" s="11" t="s">
        <v>4</v>
      </c>
      <c r="P6" s="82" t="s">
        <v>2</v>
      </c>
      <c r="Q6" s="11" t="s">
        <v>3</v>
      </c>
      <c r="R6" s="11" t="s">
        <v>4</v>
      </c>
      <c r="S6" s="82" t="s">
        <v>2</v>
      </c>
      <c r="T6" s="11" t="s">
        <v>3</v>
      </c>
      <c r="U6" s="11" t="s">
        <v>4</v>
      </c>
      <c r="V6" s="10" t="s">
        <v>2</v>
      </c>
      <c r="W6" s="11" t="s">
        <v>3</v>
      </c>
      <c r="X6" s="11" t="s">
        <v>4</v>
      </c>
      <c r="Y6" s="10" t="s">
        <v>2</v>
      </c>
      <c r="Z6" s="11" t="s">
        <v>3</v>
      </c>
      <c r="AA6" s="11" t="s">
        <v>4</v>
      </c>
      <c r="AB6" s="10" t="s">
        <v>2</v>
      </c>
      <c r="AC6" s="11" t="s">
        <v>3</v>
      </c>
      <c r="AD6" s="11" t="s">
        <v>4</v>
      </c>
      <c r="AE6" s="167"/>
      <c r="AF6" s="81"/>
      <c r="AI6" s="83">
        <v>45897</v>
      </c>
      <c r="AJ6" s="83"/>
    </row>
    <row r="7" spans="3:36" ht="15.6" x14ac:dyDescent="0.25">
      <c r="C7" s="95" t="s">
        <v>220</v>
      </c>
      <c r="D7" s="84">
        <v>142.2627</v>
      </c>
      <c r="E7" s="85">
        <v>0</v>
      </c>
      <c r="F7" s="85">
        <v>0</v>
      </c>
      <c r="G7" s="84">
        <v>142.26009999999999</v>
      </c>
      <c r="H7" s="85">
        <f>(G7-D7)*1000</f>
        <v>-2.6000000000010459</v>
      </c>
      <c r="I7" s="85">
        <f>F7+H7</f>
        <v>-2.6000000000010459</v>
      </c>
      <c r="J7" s="84">
        <v>91.495000000000005</v>
      </c>
      <c r="K7" s="85">
        <f>(J7-G7)*1000</f>
        <v>-50765.099999999991</v>
      </c>
      <c r="L7" s="85">
        <f>I7+K7</f>
        <v>-50767.69999999999</v>
      </c>
      <c r="M7" s="84">
        <v>91.493499999999997</v>
      </c>
      <c r="N7" s="85">
        <f>(M7-J7)*1000</f>
        <v>-1.5000000000071623</v>
      </c>
      <c r="O7" s="85">
        <f>L7+N7</f>
        <v>-50769.2</v>
      </c>
      <c r="P7" s="84">
        <v>91.492599999999996</v>
      </c>
      <c r="Q7" s="85">
        <f>(P7-M7)*1000</f>
        <v>-0.90000000000145519</v>
      </c>
      <c r="R7" s="85">
        <f>O7+Q7</f>
        <v>-50770.1</v>
      </c>
      <c r="S7" s="84">
        <v>91.491699999999994</v>
      </c>
      <c r="T7" s="85">
        <f>(S7-P7)*1000</f>
        <v>-0.90000000000145519</v>
      </c>
      <c r="U7" s="85">
        <f>R7+T7</f>
        <v>-50771</v>
      </c>
      <c r="V7" s="86">
        <v>91.490899999999996</v>
      </c>
      <c r="W7" s="85">
        <f>(V7-S7)*1000</f>
        <v>-0.79999999999813554</v>
      </c>
      <c r="X7" s="85">
        <f>U7+W7</f>
        <v>-50771.799999999996</v>
      </c>
      <c r="Y7" s="86">
        <v>91.490499999999997</v>
      </c>
      <c r="Z7" s="85">
        <f>(Y7-V7)*1000</f>
        <v>-0.39999999999906777</v>
      </c>
      <c r="AA7" s="85">
        <f>X7+Z7</f>
        <v>-50772.2</v>
      </c>
      <c r="AB7" s="86">
        <v>91.49</v>
      </c>
      <c r="AC7" s="85">
        <f>(AB7-Y7)*1000</f>
        <v>-0.50000000000238742</v>
      </c>
      <c r="AD7" s="85">
        <f>AA7+AC7</f>
        <v>-50772.7</v>
      </c>
      <c r="AE7" s="95" t="str">
        <f>C7</f>
        <v>2.1.</v>
      </c>
      <c r="AF7" s="87"/>
      <c r="AH7" s="89" t="s">
        <v>161</v>
      </c>
      <c r="AI7" s="77">
        <v>0</v>
      </c>
    </row>
    <row r="8" spans="3:36" ht="15.6" x14ac:dyDescent="0.25">
      <c r="C8" s="95" t="s">
        <v>221</v>
      </c>
      <c r="D8" s="84">
        <v>142.2722</v>
      </c>
      <c r="E8" s="85">
        <v>0</v>
      </c>
      <c r="F8" s="85">
        <v>0</v>
      </c>
      <c r="G8" s="84">
        <v>142.26899999999998</v>
      </c>
      <c r="H8" s="85">
        <f t="shared" ref="H8:H25" si="0">(G8-D8)*1000</f>
        <v>-3.2000000000209639</v>
      </c>
      <c r="I8" s="85">
        <f t="shared" ref="I8:I25" si="1">F8+H8</f>
        <v>-3.2000000000209639</v>
      </c>
      <c r="J8" s="84">
        <v>91.559600000000003</v>
      </c>
      <c r="K8" s="85">
        <f t="shared" ref="K8:K25" si="2">(J8-G8)*1000</f>
        <v>-50709.399999999972</v>
      </c>
      <c r="L8" s="85">
        <f t="shared" ref="L8:L25" si="3">I8+K8</f>
        <v>-50712.599999999991</v>
      </c>
      <c r="M8" s="84">
        <v>91.558499999999995</v>
      </c>
      <c r="N8" s="85">
        <f t="shared" ref="N8:N25" si="4">(M8-J8)*1000</f>
        <v>-1.1000000000080945</v>
      </c>
      <c r="O8" s="85">
        <f t="shared" ref="O8:O25" si="5">L8+N8</f>
        <v>-50713.7</v>
      </c>
      <c r="P8" s="84">
        <v>91.5578</v>
      </c>
      <c r="Q8" s="85">
        <f t="shared" ref="Q8:Q25" si="6">(P8-M8)*1000</f>
        <v>-0.69999999999481588</v>
      </c>
      <c r="R8" s="85">
        <f t="shared" ref="R8:R25" si="7">O8+Q8</f>
        <v>-50714.399999999994</v>
      </c>
      <c r="S8" s="84">
        <v>91.557100000000005</v>
      </c>
      <c r="T8" s="85">
        <f t="shared" ref="T8:T25" si="8">(S8-P8)*1000</f>
        <v>-0.69999999999481588</v>
      </c>
      <c r="U8" s="85">
        <f t="shared" ref="U8:U25" si="9">R8+T8</f>
        <v>-50715.099999999991</v>
      </c>
      <c r="V8" s="86">
        <v>91.5565</v>
      </c>
      <c r="W8" s="85">
        <f t="shared" ref="W8:W25" si="10">(V8-S8)*1000</f>
        <v>-0.60000000000570708</v>
      </c>
      <c r="X8" s="85">
        <f t="shared" ref="X8:X25" si="11">U8+W8</f>
        <v>-50715.7</v>
      </c>
      <c r="Y8" s="86">
        <v>91.555899999999994</v>
      </c>
      <c r="Z8" s="85">
        <f t="shared" ref="Z8:Z25" si="12">(Y8-V8)*1000</f>
        <v>-0.60000000000570708</v>
      </c>
      <c r="AA8" s="85">
        <f t="shared" ref="AA8:AA25" si="13">X8+Z8</f>
        <v>-50716.3</v>
      </c>
      <c r="AB8" s="86">
        <v>91.555599999999998</v>
      </c>
      <c r="AC8" s="85">
        <f t="shared" ref="AC8:AC25" si="14">(AB8-Y8)*1000</f>
        <v>-0.29999999999574811</v>
      </c>
      <c r="AD8" s="85">
        <f t="shared" ref="AD8:AD25" si="15">AA8+AC8</f>
        <v>-50716.6</v>
      </c>
      <c r="AE8" s="95" t="str">
        <f t="shared" ref="AE8:AE25" si="16">C8</f>
        <v>2.2.</v>
      </c>
      <c r="AF8" s="87"/>
      <c r="AH8" s="89" t="s">
        <v>162</v>
      </c>
      <c r="AI8" s="77">
        <v>0</v>
      </c>
    </row>
    <row r="9" spans="3:36" ht="15.6" x14ac:dyDescent="0.25">
      <c r="C9" s="95" t="s">
        <v>222</v>
      </c>
      <c r="D9" s="84">
        <v>142.22210000000001</v>
      </c>
      <c r="E9" s="85">
        <v>0</v>
      </c>
      <c r="F9" s="85">
        <v>0</v>
      </c>
      <c r="G9" s="84">
        <v>142.21879999999999</v>
      </c>
      <c r="H9" s="85">
        <f t="shared" si="0"/>
        <v>-3.3000000000242835</v>
      </c>
      <c r="I9" s="85">
        <f t="shared" si="1"/>
        <v>-3.3000000000242835</v>
      </c>
      <c r="J9" s="84">
        <v>91.598399999999998</v>
      </c>
      <c r="K9" s="85">
        <f t="shared" si="2"/>
        <v>-50620.399999999987</v>
      </c>
      <c r="L9" s="85">
        <f t="shared" si="3"/>
        <v>-50623.700000000012</v>
      </c>
      <c r="M9" s="84">
        <v>91.597099999999998</v>
      </c>
      <c r="N9" s="85">
        <f t="shared" si="4"/>
        <v>-1.300000000000523</v>
      </c>
      <c r="O9" s="85">
        <f t="shared" si="5"/>
        <v>-50625.000000000015</v>
      </c>
      <c r="P9" s="84">
        <v>91.596299999999999</v>
      </c>
      <c r="Q9" s="85">
        <f t="shared" si="6"/>
        <v>-0.79999999999813554</v>
      </c>
      <c r="R9" s="85">
        <f t="shared" si="7"/>
        <v>-50625.80000000001</v>
      </c>
      <c r="S9" s="84">
        <v>91.595500000000001</v>
      </c>
      <c r="T9" s="85">
        <f t="shared" si="8"/>
        <v>-0.79999999999813554</v>
      </c>
      <c r="U9" s="85">
        <f t="shared" si="9"/>
        <v>-50626.600000000006</v>
      </c>
      <c r="V9" s="86">
        <v>91.594800000000006</v>
      </c>
      <c r="W9" s="85">
        <f t="shared" si="10"/>
        <v>-0.69999999999481588</v>
      </c>
      <c r="X9" s="85">
        <f t="shared" si="11"/>
        <v>-50627.3</v>
      </c>
      <c r="Y9" s="86">
        <v>91.594099999999997</v>
      </c>
      <c r="Z9" s="85">
        <f t="shared" si="12"/>
        <v>-0.70000000000902673</v>
      </c>
      <c r="AA9" s="85">
        <f t="shared" si="13"/>
        <v>-50628.000000000015</v>
      </c>
      <c r="AB9" s="86">
        <v>91.593699999999998</v>
      </c>
      <c r="AC9" s="85">
        <f t="shared" si="14"/>
        <v>-0.39999999999906777</v>
      </c>
      <c r="AD9" s="85">
        <f t="shared" si="15"/>
        <v>-50628.400000000016</v>
      </c>
      <c r="AE9" s="95" t="str">
        <f t="shared" si="16"/>
        <v>2.3.</v>
      </c>
      <c r="AF9" s="87"/>
      <c r="AH9" s="89" t="s">
        <v>163</v>
      </c>
      <c r="AI9" s="77">
        <v>0</v>
      </c>
    </row>
    <row r="10" spans="3:36" ht="15.6" x14ac:dyDescent="0.25">
      <c r="C10" s="95" t="s">
        <v>223</v>
      </c>
      <c r="D10" s="84">
        <v>142.3518</v>
      </c>
      <c r="E10" s="85">
        <v>0</v>
      </c>
      <c r="F10" s="85">
        <v>0</v>
      </c>
      <c r="G10" s="84">
        <v>142.34859999999998</v>
      </c>
      <c r="H10" s="85">
        <f t="shared" si="0"/>
        <v>-3.2000000000209639</v>
      </c>
      <c r="I10" s="85">
        <f t="shared" si="1"/>
        <v>-3.2000000000209639</v>
      </c>
      <c r="J10" s="84">
        <v>91.763000000000005</v>
      </c>
      <c r="K10" s="85">
        <f t="shared" si="2"/>
        <v>-50585.599999999969</v>
      </c>
      <c r="L10" s="85">
        <f t="shared" si="3"/>
        <v>-50588.799999999988</v>
      </c>
      <c r="M10" s="84">
        <v>91.761200000000002</v>
      </c>
      <c r="N10" s="85">
        <f t="shared" si="4"/>
        <v>-1.8000000000029104</v>
      </c>
      <c r="O10" s="85">
        <f t="shared" si="5"/>
        <v>-50590.599999999991</v>
      </c>
      <c r="P10" s="84">
        <v>91.760300000000001</v>
      </c>
      <c r="Q10" s="85">
        <f t="shared" si="6"/>
        <v>-0.90000000000145519</v>
      </c>
      <c r="R10" s="85">
        <f t="shared" si="7"/>
        <v>-50591.499999999993</v>
      </c>
      <c r="S10" s="84">
        <v>91.759500000000003</v>
      </c>
      <c r="T10" s="85">
        <f t="shared" si="8"/>
        <v>-0.79999999999813554</v>
      </c>
      <c r="U10" s="85">
        <f t="shared" si="9"/>
        <v>-50592.299999999988</v>
      </c>
      <c r="V10" s="86">
        <v>91.759</v>
      </c>
      <c r="W10" s="85">
        <f t="shared" si="10"/>
        <v>-0.50000000000238742</v>
      </c>
      <c r="X10" s="85">
        <f t="shared" si="11"/>
        <v>-50592.799999999988</v>
      </c>
      <c r="Y10" s="86">
        <v>91.758700000000005</v>
      </c>
      <c r="Z10" s="85">
        <f t="shared" si="12"/>
        <v>-0.29999999999574811</v>
      </c>
      <c r="AA10" s="85">
        <f t="shared" si="13"/>
        <v>-50593.099999999984</v>
      </c>
      <c r="AB10" s="86">
        <v>91.758099999999999</v>
      </c>
      <c r="AC10" s="85">
        <f t="shared" si="14"/>
        <v>-0.60000000000570708</v>
      </c>
      <c r="AD10" s="85">
        <f t="shared" si="15"/>
        <v>-50593.69999999999</v>
      </c>
      <c r="AE10" s="95" t="str">
        <f t="shared" si="16"/>
        <v>2.4.</v>
      </c>
      <c r="AF10" s="87"/>
      <c r="AH10" s="89" t="s">
        <v>164</v>
      </c>
      <c r="AI10" s="77">
        <v>0</v>
      </c>
    </row>
    <row r="11" spans="3:36" ht="15.6" x14ac:dyDescent="0.25">
      <c r="C11" s="95" t="s">
        <v>224</v>
      </c>
      <c r="D11" s="84">
        <v>142.3287</v>
      </c>
      <c r="E11" s="85">
        <v>0</v>
      </c>
      <c r="F11" s="85">
        <v>0</v>
      </c>
      <c r="G11" s="84">
        <v>142.32629999999997</v>
      </c>
      <c r="H11" s="85">
        <f t="shared" si="0"/>
        <v>-2.4000000000228283</v>
      </c>
      <c r="I11" s="85">
        <f t="shared" si="1"/>
        <v>-2.4000000000228283</v>
      </c>
      <c r="J11" s="84">
        <v>91.641999999999996</v>
      </c>
      <c r="K11" s="85">
        <f t="shared" si="2"/>
        <v>-50684.299999999981</v>
      </c>
      <c r="L11" s="85">
        <f t="shared" si="3"/>
        <v>-50686.700000000004</v>
      </c>
      <c r="M11" s="84">
        <v>91.6404</v>
      </c>
      <c r="N11" s="85">
        <f t="shared" si="4"/>
        <v>-1.5999999999962711</v>
      </c>
      <c r="O11" s="85">
        <f t="shared" si="5"/>
        <v>-50688.3</v>
      </c>
      <c r="P11" s="84">
        <v>91.639399999999995</v>
      </c>
      <c r="Q11" s="85">
        <f t="shared" si="6"/>
        <v>-1.0000000000047748</v>
      </c>
      <c r="R11" s="85">
        <f t="shared" si="7"/>
        <v>-50689.30000000001</v>
      </c>
      <c r="S11" s="84">
        <v>91.638900000000007</v>
      </c>
      <c r="T11" s="85">
        <f t="shared" si="8"/>
        <v>-0.49999999998817657</v>
      </c>
      <c r="U11" s="85">
        <f t="shared" si="9"/>
        <v>-50689.799999999996</v>
      </c>
      <c r="V11" s="86">
        <v>91.638099999999994</v>
      </c>
      <c r="W11" s="85">
        <f t="shared" si="10"/>
        <v>-0.80000000001234639</v>
      </c>
      <c r="X11" s="85">
        <f t="shared" si="11"/>
        <v>-50690.600000000006</v>
      </c>
      <c r="Y11" s="86">
        <v>91.638000000000005</v>
      </c>
      <c r="Z11" s="85">
        <f t="shared" si="12"/>
        <v>-9.9999999989108801E-2</v>
      </c>
      <c r="AA11" s="85">
        <f t="shared" si="13"/>
        <v>-50690.7</v>
      </c>
      <c r="AB11" s="86">
        <v>91.637100000000004</v>
      </c>
      <c r="AC11" s="85">
        <f t="shared" si="14"/>
        <v>-0.90000000000145519</v>
      </c>
      <c r="AD11" s="85">
        <f t="shared" si="15"/>
        <v>-50691.6</v>
      </c>
      <c r="AE11" s="95" t="str">
        <f t="shared" si="16"/>
        <v>2.5.</v>
      </c>
      <c r="AF11" s="87"/>
      <c r="AH11" s="89" t="s">
        <v>165</v>
      </c>
      <c r="AI11" s="77">
        <v>0</v>
      </c>
    </row>
    <row r="12" spans="3:36" ht="15.6" x14ac:dyDescent="0.25">
      <c r="C12" s="95" t="s">
        <v>225</v>
      </c>
      <c r="D12" s="84">
        <v>142.35480000000001</v>
      </c>
      <c r="E12" s="85">
        <v>0</v>
      </c>
      <c r="F12" s="85">
        <v>0</v>
      </c>
      <c r="G12" s="84">
        <v>142.35209999999998</v>
      </c>
      <c r="H12" s="85">
        <f t="shared" si="0"/>
        <v>-2.7000000000327873</v>
      </c>
      <c r="I12" s="85">
        <f t="shared" si="1"/>
        <v>-2.7000000000327873</v>
      </c>
      <c r="J12" s="84">
        <v>91.668099999999995</v>
      </c>
      <c r="K12" s="85">
        <f t="shared" si="2"/>
        <v>-50683.999999999985</v>
      </c>
      <c r="L12" s="85">
        <f t="shared" si="3"/>
        <v>-50686.700000000019</v>
      </c>
      <c r="M12" s="84">
        <v>91.666300000000007</v>
      </c>
      <c r="N12" s="85">
        <f t="shared" si="4"/>
        <v>-1.7999999999886995</v>
      </c>
      <c r="O12" s="85">
        <f t="shared" si="5"/>
        <v>-50688.500000000007</v>
      </c>
      <c r="P12" s="84">
        <v>91.665199999999999</v>
      </c>
      <c r="Q12" s="85">
        <f t="shared" si="6"/>
        <v>-1.1000000000080945</v>
      </c>
      <c r="R12" s="85">
        <f t="shared" si="7"/>
        <v>-50689.600000000013</v>
      </c>
      <c r="S12" s="84">
        <v>91.664299999999997</v>
      </c>
      <c r="T12" s="85">
        <f t="shared" si="8"/>
        <v>-0.90000000000145519</v>
      </c>
      <c r="U12" s="85">
        <f t="shared" si="9"/>
        <v>-50690.500000000015</v>
      </c>
      <c r="V12" s="86">
        <v>91.663600000000002</v>
      </c>
      <c r="W12" s="85">
        <f t="shared" si="10"/>
        <v>-0.69999999999481588</v>
      </c>
      <c r="X12" s="85">
        <f t="shared" si="11"/>
        <v>-50691.200000000012</v>
      </c>
      <c r="Y12" s="86">
        <v>91.663200000000003</v>
      </c>
      <c r="Z12" s="85">
        <f t="shared" si="12"/>
        <v>-0.39999999999906777</v>
      </c>
      <c r="AA12" s="85">
        <f t="shared" si="13"/>
        <v>-50691.600000000013</v>
      </c>
      <c r="AB12" s="86">
        <v>91.662400000000005</v>
      </c>
      <c r="AC12" s="85">
        <f t="shared" si="14"/>
        <v>-0.79999999999813554</v>
      </c>
      <c r="AD12" s="85">
        <f t="shared" si="15"/>
        <v>-50692.400000000009</v>
      </c>
      <c r="AE12" s="95" t="str">
        <f t="shared" si="16"/>
        <v>2.6.</v>
      </c>
      <c r="AF12" s="87"/>
      <c r="AH12" s="89" t="s">
        <v>166</v>
      </c>
      <c r="AI12" s="77">
        <v>0</v>
      </c>
    </row>
    <row r="13" spans="3:36" ht="15.6" x14ac:dyDescent="0.25">
      <c r="C13" s="95" t="s">
        <v>226</v>
      </c>
      <c r="D13" s="84">
        <v>142.3717</v>
      </c>
      <c r="E13" s="85">
        <v>0</v>
      </c>
      <c r="F13" s="85">
        <v>0</v>
      </c>
      <c r="G13" s="84">
        <v>142.36839999999998</v>
      </c>
      <c r="H13" s="85">
        <f t="shared" si="0"/>
        <v>-3.3000000000242835</v>
      </c>
      <c r="I13" s="85">
        <f t="shared" si="1"/>
        <v>-3.3000000000242835</v>
      </c>
      <c r="J13" s="84">
        <v>91.620999999999995</v>
      </c>
      <c r="K13" s="85">
        <f t="shared" si="2"/>
        <v>-50747.399999999987</v>
      </c>
      <c r="L13" s="85">
        <f t="shared" si="3"/>
        <v>-50750.700000000012</v>
      </c>
      <c r="M13" s="84">
        <v>91.619100000000003</v>
      </c>
      <c r="N13" s="85">
        <f t="shared" si="4"/>
        <v>-1.8999999999920192</v>
      </c>
      <c r="O13" s="85">
        <f t="shared" si="5"/>
        <v>-50752.600000000006</v>
      </c>
      <c r="P13" s="84">
        <v>91.618399999999994</v>
      </c>
      <c r="Q13" s="85">
        <f t="shared" si="6"/>
        <v>-0.70000000000902673</v>
      </c>
      <c r="R13" s="85">
        <f t="shared" si="7"/>
        <v>-50753.300000000017</v>
      </c>
      <c r="S13" s="84">
        <v>91.617599999999996</v>
      </c>
      <c r="T13" s="85">
        <f t="shared" si="8"/>
        <v>-0.79999999999813554</v>
      </c>
      <c r="U13" s="85">
        <f t="shared" si="9"/>
        <v>-50754.100000000013</v>
      </c>
      <c r="V13" s="86">
        <v>91.617000000000004</v>
      </c>
      <c r="W13" s="85">
        <f t="shared" si="10"/>
        <v>-0.59999999999149622</v>
      </c>
      <c r="X13" s="85">
        <f t="shared" si="11"/>
        <v>-50754.700000000004</v>
      </c>
      <c r="Y13" s="86">
        <v>91.616500000000002</v>
      </c>
      <c r="Z13" s="85">
        <f t="shared" si="12"/>
        <v>-0.50000000000238742</v>
      </c>
      <c r="AA13" s="85">
        <f t="shared" si="13"/>
        <v>-50755.200000000004</v>
      </c>
      <c r="AB13" s="86">
        <v>91.615899999999996</v>
      </c>
      <c r="AC13" s="85">
        <f t="shared" si="14"/>
        <v>-0.60000000000570708</v>
      </c>
      <c r="AD13" s="85">
        <f t="shared" si="15"/>
        <v>-50755.80000000001</v>
      </c>
      <c r="AE13" s="95" t="str">
        <f t="shared" si="16"/>
        <v>2.7.</v>
      </c>
      <c r="AF13" s="87"/>
      <c r="AH13" s="89" t="s">
        <v>167</v>
      </c>
      <c r="AI13" s="77">
        <v>0</v>
      </c>
    </row>
    <row r="14" spans="3:36" ht="15.6" x14ac:dyDescent="0.25">
      <c r="C14" s="95" t="s">
        <v>227</v>
      </c>
      <c r="D14" s="84">
        <v>142.29820000000001</v>
      </c>
      <c r="E14" s="85">
        <v>0</v>
      </c>
      <c r="F14" s="85">
        <v>0</v>
      </c>
      <c r="G14" s="84">
        <v>142.29459999999997</v>
      </c>
      <c r="H14" s="85">
        <f t="shared" si="0"/>
        <v>-3.6000000000342425</v>
      </c>
      <c r="I14" s="85">
        <f t="shared" si="1"/>
        <v>-3.6000000000342425</v>
      </c>
      <c r="J14" s="84">
        <v>91.66</v>
      </c>
      <c r="K14" s="85">
        <f t="shared" si="2"/>
        <v>-50634.599999999977</v>
      </c>
      <c r="L14" s="85">
        <f t="shared" si="3"/>
        <v>-50638.200000000012</v>
      </c>
      <c r="M14" s="84">
        <v>91.658199999999994</v>
      </c>
      <c r="N14" s="85">
        <f t="shared" si="4"/>
        <v>-1.8000000000029104</v>
      </c>
      <c r="O14" s="85">
        <f t="shared" si="5"/>
        <v>-50640.000000000015</v>
      </c>
      <c r="P14" s="84">
        <v>91.657300000000006</v>
      </c>
      <c r="Q14" s="85">
        <f t="shared" si="6"/>
        <v>-0.89999999998724434</v>
      </c>
      <c r="R14" s="85">
        <f t="shared" si="7"/>
        <v>-50640.9</v>
      </c>
      <c r="S14" s="84">
        <v>91.656700000000001</v>
      </c>
      <c r="T14" s="85">
        <f t="shared" si="8"/>
        <v>-0.60000000000570708</v>
      </c>
      <c r="U14" s="85">
        <f t="shared" si="9"/>
        <v>-50641.500000000007</v>
      </c>
      <c r="V14" s="86">
        <v>91.655900000000003</v>
      </c>
      <c r="W14" s="85">
        <f t="shared" si="10"/>
        <v>-0.79999999999813554</v>
      </c>
      <c r="X14" s="85">
        <f t="shared" si="11"/>
        <v>-50642.3</v>
      </c>
      <c r="Y14" s="86">
        <v>91.655500000000004</v>
      </c>
      <c r="Z14" s="85">
        <f t="shared" si="12"/>
        <v>-0.39999999999906777</v>
      </c>
      <c r="AA14" s="85">
        <f t="shared" si="13"/>
        <v>-50642.700000000004</v>
      </c>
      <c r="AB14" s="86">
        <v>91.654799999999994</v>
      </c>
      <c r="AC14" s="85">
        <f t="shared" si="14"/>
        <v>-0.70000000000902673</v>
      </c>
      <c r="AD14" s="85">
        <f t="shared" si="15"/>
        <v>-50643.400000000016</v>
      </c>
      <c r="AE14" s="95" t="str">
        <f t="shared" si="16"/>
        <v>2.8.</v>
      </c>
      <c r="AF14" s="87"/>
      <c r="AH14" s="89" t="s">
        <v>168</v>
      </c>
      <c r="AI14" s="77">
        <v>0</v>
      </c>
    </row>
    <row r="15" spans="3:36" ht="15.6" x14ac:dyDescent="0.25">
      <c r="C15" s="95" t="s">
        <v>228</v>
      </c>
      <c r="D15" s="84">
        <v>142.38750000000002</v>
      </c>
      <c r="E15" s="85">
        <v>0</v>
      </c>
      <c r="F15" s="85">
        <v>0</v>
      </c>
      <c r="G15" s="84">
        <v>142.38339999999999</v>
      </c>
      <c r="H15" s="85">
        <f t="shared" si="0"/>
        <v>-4.100000000022419</v>
      </c>
      <c r="I15" s="85">
        <f t="shared" si="1"/>
        <v>-4.100000000022419</v>
      </c>
      <c r="J15" s="84">
        <v>91.701400000000007</v>
      </c>
      <c r="K15" s="85">
        <f t="shared" si="2"/>
        <v>-50681.999999999985</v>
      </c>
      <c r="L15" s="85">
        <f t="shared" si="3"/>
        <v>-50686.100000000006</v>
      </c>
      <c r="M15" s="84">
        <v>91.7</v>
      </c>
      <c r="N15" s="85">
        <f t="shared" si="4"/>
        <v>-1.4000000000038426</v>
      </c>
      <c r="O15" s="85">
        <f t="shared" si="5"/>
        <v>-50687.500000000007</v>
      </c>
      <c r="P15" s="84">
        <v>91.699100000000001</v>
      </c>
      <c r="Q15" s="85">
        <f t="shared" si="6"/>
        <v>-0.90000000000145519</v>
      </c>
      <c r="R15" s="85">
        <f t="shared" si="7"/>
        <v>-50688.400000000009</v>
      </c>
      <c r="S15" s="84">
        <v>91.698300000000003</v>
      </c>
      <c r="T15" s="85">
        <f t="shared" si="8"/>
        <v>-0.79999999999813554</v>
      </c>
      <c r="U15" s="85">
        <f t="shared" si="9"/>
        <v>-50689.200000000004</v>
      </c>
      <c r="V15" s="86">
        <v>91.697800000000001</v>
      </c>
      <c r="W15" s="85">
        <f t="shared" si="10"/>
        <v>-0.50000000000238742</v>
      </c>
      <c r="X15" s="85">
        <f t="shared" si="11"/>
        <v>-50689.700000000004</v>
      </c>
      <c r="Y15" s="86">
        <v>91.697400000000002</v>
      </c>
      <c r="Z15" s="85">
        <f t="shared" si="12"/>
        <v>-0.39999999999906777</v>
      </c>
      <c r="AA15" s="85">
        <f t="shared" si="13"/>
        <v>-50690.100000000006</v>
      </c>
      <c r="AB15" s="86">
        <v>91.696899999999999</v>
      </c>
      <c r="AC15" s="85">
        <f t="shared" si="14"/>
        <v>-0.50000000000238742</v>
      </c>
      <c r="AD15" s="85">
        <f t="shared" si="15"/>
        <v>-50690.600000000006</v>
      </c>
      <c r="AE15" s="95" t="str">
        <f t="shared" si="16"/>
        <v>2.9.</v>
      </c>
      <c r="AF15" s="87"/>
      <c r="AH15" s="89" t="s">
        <v>169</v>
      </c>
      <c r="AI15" s="77">
        <v>0</v>
      </c>
    </row>
    <row r="16" spans="3:36" ht="15.6" x14ac:dyDescent="0.25">
      <c r="C16" s="95" t="s">
        <v>229</v>
      </c>
      <c r="D16" s="84">
        <v>142.28120000000001</v>
      </c>
      <c r="E16" s="85">
        <v>0</v>
      </c>
      <c r="F16" s="85">
        <v>0</v>
      </c>
      <c r="G16" s="84">
        <v>142.27799999999999</v>
      </c>
      <c r="H16" s="85">
        <f t="shared" si="0"/>
        <v>-3.2000000000209639</v>
      </c>
      <c r="I16" s="85">
        <f t="shared" si="1"/>
        <v>-3.2000000000209639</v>
      </c>
      <c r="J16" s="84">
        <v>91.7483</v>
      </c>
      <c r="K16" s="85">
        <f t="shared" si="2"/>
        <v>-50529.69999999999</v>
      </c>
      <c r="L16" s="85">
        <f t="shared" si="3"/>
        <v>-50532.900000000009</v>
      </c>
      <c r="M16" s="84">
        <v>91.746799999999993</v>
      </c>
      <c r="N16" s="85">
        <f t="shared" si="4"/>
        <v>-1.5000000000071623</v>
      </c>
      <c r="O16" s="85">
        <f t="shared" si="5"/>
        <v>-50534.400000000016</v>
      </c>
      <c r="P16" s="84">
        <v>91.745999999999995</v>
      </c>
      <c r="Q16" s="85">
        <f t="shared" si="6"/>
        <v>-0.79999999999813554</v>
      </c>
      <c r="R16" s="85">
        <f t="shared" si="7"/>
        <v>-50535.200000000012</v>
      </c>
      <c r="S16" s="84">
        <v>91.745599999999996</v>
      </c>
      <c r="T16" s="85">
        <f t="shared" si="8"/>
        <v>-0.39999999999906777</v>
      </c>
      <c r="U16" s="85">
        <f t="shared" si="9"/>
        <v>-50535.600000000013</v>
      </c>
      <c r="V16" s="86">
        <v>91.745000000000005</v>
      </c>
      <c r="W16" s="85">
        <f t="shared" si="10"/>
        <v>-0.59999999999149622</v>
      </c>
      <c r="X16" s="85">
        <f t="shared" si="11"/>
        <v>-50536.200000000004</v>
      </c>
      <c r="Y16" s="86">
        <v>91.744500000000002</v>
      </c>
      <c r="Z16" s="85">
        <f t="shared" si="12"/>
        <v>-0.50000000000238742</v>
      </c>
      <c r="AA16" s="85">
        <f t="shared" si="13"/>
        <v>-50536.700000000004</v>
      </c>
      <c r="AB16" s="86">
        <v>91.743899999999996</v>
      </c>
      <c r="AC16" s="85">
        <f t="shared" si="14"/>
        <v>-0.60000000000570708</v>
      </c>
      <c r="AD16" s="85">
        <f t="shared" si="15"/>
        <v>-50537.30000000001</v>
      </c>
      <c r="AE16" s="95" t="str">
        <f t="shared" si="16"/>
        <v>2.10.</v>
      </c>
      <c r="AF16" s="87"/>
      <c r="AG16" s="90">
        <f>(I17-I15)/AG19</f>
        <v>4.3478260867919232E-5</v>
      </c>
      <c r="AH16" s="89" t="s">
        <v>170</v>
      </c>
      <c r="AI16" s="77">
        <v>0</v>
      </c>
    </row>
    <row r="17" spans="3:35" ht="15.6" x14ac:dyDescent="0.25">
      <c r="C17" s="95" t="s">
        <v>230</v>
      </c>
      <c r="D17" s="84">
        <v>142.51320000000001</v>
      </c>
      <c r="E17" s="85">
        <v>0</v>
      </c>
      <c r="F17" s="85">
        <v>0</v>
      </c>
      <c r="G17" s="84">
        <v>142.50949999999997</v>
      </c>
      <c r="H17" s="85">
        <f t="shared" si="0"/>
        <v>-3.7000000000375621</v>
      </c>
      <c r="I17" s="115">
        <f t="shared" si="1"/>
        <v>-3.7000000000375621</v>
      </c>
      <c r="J17" s="84">
        <v>91.733999999999995</v>
      </c>
      <c r="K17" s="85">
        <f t="shared" si="2"/>
        <v>-50775.499999999978</v>
      </c>
      <c r="L17" s="85">
        <f t="shared" si="3"/>
        <v>-50779.200000000019</v>
      </c>
      <c r="M17" s="84">
        <v>91.731999999999999</v>
      </c>
      <c r="N17" s="85">
        <f t="shared" si="4"/>
        <v>-1.9999999999953388</v>
      </c>
      <c r="O17" s="85">
        <f t="shared" si="5"/>
        <v>-50781.200000000012</v>
      </c>
      <c r="P17" s="84">
        <v>91.730900000000005</v>
      </c>
      <c r="Q17" s="85">
        <f t="shared" si="6"/>
        <v>-1.0999999999938836</v>
      </c>
      <c r="R17" s="85">
        <f t="shared" si="7"/>
        <v>-50782.3</v>
      </c>
      <c r="S17" s="84">
        <v>91.729900000000001</v>
      </c>
      <c r="T17" s="85">
        <f t="shared" si="8"/>
        <v>-1.0000000000047748</v>
      </c>
      <c r="U17" s="85">
        <f t="shared" si="9"/>
        <v>-50783.30000000001</v>
      </c>
      <c r="V17" s="86">
        <v>91.729200000000006</v>
      </c>
      <c r="W17" s="85">
        <f t="shared" si="10"/>
        <v>-0.69999999999481588</v>
      </c>
      <c r="X17" s="85">
        <f t="shared" si="11"/>
        <v>-50784.000000000007</v>
      </c>
      <c r="Y17" s="86">
        <v>91.728800000000007</v>
      </c>
      <c r="Z17" s="85">
        <f t="shared" si="12"/>
        <v>-0.39999999999906777</v>
      </c>
      <c r="AA17" s="85">
        <f t="shared" si="13"/>
        <v>-50784.400000000009</v>
      </c>
      <c r="AB17" s="86">
        <v>91.728099999999998</v>
      </c>
      <c r="AC17" s="85">
        <f t="shared" si="14"/>
        <v>-0.70000000000902673</v>
      </c>
      <c r="AD17" s="85">
        <f t="shared" si="15"/>
        <v>-50785.10000000002</v>
      </c>
      <c r="AE17" s="95" t="str">
        <f t="shared" si="16"/>
        <v>2.11.</v>
      </c>
      <c r="AF17" s="87"/>
      <c r="AH17" s="89" t="s">
        <v>171</v>
      </c>
      <c r="AI17" s="77">
        <v>0</v>
      </c>
    </row>
    <row r="18" spans="3:35" ht="15.6" x14ac:dyDescent="0.25">
      <c r="C18" s="95" t="s">
        <v>231</v>
      </c>
      <c r="D18" s="84">
        <v>142.58320000000001</v>
      </c>
      <c r="E18" s="85">
        <v>0</v>
      </c>
      <c r="F18" s="85">
        <v>0</v>
      </c>
      <c r="G18" s="84">
        <v>142.5788</v>
      </c>
      <c r="H18" s="85">
        <f t="shared" si="0"/>
        <v>-4.4000000000039563</v>
      </c>
      <c r="I18" s="85">
        <f t="shared" si="1"/>
        <v>-4.4000000000039563</v>
      </c>
      <c r="J18" s="84">
        <v>91.622900000000001</v>
      </c>
      <c r="K18" s="85">
        <f t="shared" si="2"/>
        <v>-50955.9</v>
      </c>
      <c r="L18" s="85">
        <f t="shared" si="3"/>
        <v>-50960.3</v>
      </c>
      <c r="M18" s="84">
        <v>91.621200000000002</v>
      </c>
      <c r="N18" s="85">
        <f t="shared" si="4"/>
        <v>-1.6999999999995907</v>
      </c>
      <c r="O18" s="85">
        <f t="shared" si="5"/>
        <v>-50962</v>
      </c>
      <c r="P18" s="84">
        <v>91.62</v>
      </c>
      <c r="Q18" s="85">
        <f t="shared" si="6"/>
        <v>-1.1999999999972033</v>
      </c>
      <c r="R18" s="85">
        <f t="shared" si="7"/>
        <v>-50963.199999999997</v>
      </c>
      <c r="S18" s="84">
        <v>91.619100000000003</v>
      </c>
      <c r="T18" s="85">
        <f t="shared" si="8"/>
        <v>-0.90000000000145519</v>
      </c>
      <c r="U18" s="85">
        <f t="shared" si="9"/>
        <v>-50964.1</v>
      </c>
      <c r="V18" s="86">
        <v>91.618300000000005</v>
      </c>
      <c r="W18" s="85">
        <f t="shared" si="10"/>
        <v>-0.79999999999813554</v>
      </c>
      <c r="X18" s="85">
        <f t="shared" si="11"/>
        <v>-50964.899999999994</v>
      </c>
      <c r="Y18" s="86">
        <v>91.617800000000003</v>
      </c>
      <c r="Z18" s="85">
        <f t="shared" si="12"/>
        <v>-0.50000000000238742</v>
      </c>
      <c r="AA18" s="85">
        <f t="shared" si="13"/>
        <v>-50965.399999999994</v>
      </c>
      <c r="AB18" s="86">
        <v>91.617199999999997</v>
      </c>
      <c r="AC18" s="85">
        <f t="shared" si="14"/>
        <v>-0.60000000000570708</v>
      </c>
      <c r="AD18" s="85">
        <f t="shared" si="15"/>
        <v>-50966</v>
      </c>
      <c r="AE18" s="95" t="str">
        <f t="shared" si="16"/>
        <v>2.12.</v>
      </c>
      <c r="AF18" s="87"/>
      <c r="AH18" s="89" t="s">
        <v>172</v>
      </c>
      <c r="AI18" s="77">
        <v>0</v>
      </c>
    </row>
    <row r="19" spans="3:35" ht="15.6" x14ac:dyDescent="0.25">
      <c r="C19" s="95" t="s">
        <v>232</v>
      </c>
      <c r="D19" s="84">
        <v>142.60220000000001</v>
      </c>
      <c r="E19" s="85">
        <v>0</v>
      </c>
      <c r="F19" s="85">
        <v>0</v>
      </c>
      <c r="G19" s="84">
        <v>142.5992</v>
      </c>
      <c r="H19" s="85">
        <f t="shared" si="0"/>
        <v>-3.0000000000143245</v>
      </c>
      <c r="I19" s="85">
        <f t="shared" si="1"/>
        <v>-3.0000000000143245</v>
      </c>
      <c r="J19" s="84">
        <v>91.582899999999995</v>
      </c>
      <c r="K19" s="85">
        <f t="shared" si="2"/>
        <v>-51016.3</v>
      </c>
      <c r="L19" s="85">
        <f t="shared" si="3"/>
        <v>-51019.300000000017</v>
      </c>
      <c r="M19" s="84">
        <v>91.581299999999999</v>
      </c>
      <c r="N19" s="85">
        <f t="shared" si="4"/>
        <v>-1.5999999999962711</v>
      </c>
      <c r="O19" s="85">
        <f t="shared" si="5"/>
        <v>-51020.900000000016</v>
      </c>
      <c r="P19" s="84">
        <v>91.580200000000005</v>
      </c>
      <c r="Q19" s="85">
        <f t="shared" si="6"/>
        <v>-1.0999999999938836</v>
      </c>
      <c r="R19" s="85">
        <f t="shared" si="7"/>
        <v>-51022.000000000007</v>
      </c>
      <c r="S19" s="84">
        <v>91.579499999999996</v>
      </c>
      <c r="T19" s="85">
        <f t="shared" si="8"/>
        <v>-0.70000000000902673</v>
      </c>
      <c r="U19" s="85">
        <f t="shared" si="9"/>
        <v>-51022.700000000019</v>
      </c>
      <c r="V19" s="86">
        <v>91.578900000000004</v>
      </c>
      <c r="W19" s="85">
        <f t="shared" si="10"/>
        <v>-0.59999999999149622</v>
      </c>
      <c r="X19" s="85">
        <f t="shared" si="11"/>
        <v>-51023.30000000001</v>
      </c>
      <c r="Y19" s="86">
        <v>91.578500000000005</v>
      </c>
      <c r="Z19" s="85">
        <f t="shared" si="12"/>
        <v>-0.39999999999906777</v>
      </c>
      <c r="AA19" s="85">
        <f t="shared" si="13"/>
        <v>-51023.700000000012</v>
      </c>
      <c r="AB19" s="86">
        <v>91.578000000000003</v>
      </c>
      <c r="AC19" s="85">
        <f t="shared" si="14"/>
        <v>-0.50000000000238742</v>
      </c>
      <c r="AD19" s="85">
        <f t="shared" si="15"/>
        <v>-51024.200000000012</v>
      </c>
      <c r="AE19" s="95" t="str">
        <f t="shared" si="16"/>
        <v>2.13.</v>
      </c>
      <c r="AF19" s="87"/>
      <c r="AG19" s="77">
        <v>9200</v>
      </c>
      <c r="AH19" s="89" t="s">
        <v>173</v>
      </c>
      <c r="AI19" s="77">
        <v>0</v>
      </c>
    </row>
    <row r="20" spans="3:35" ht="15.6" x14ac:dyDescent="0.25">
      <c r="C20" s="95" t="s">
        <v>233</v>
      </c>
      <c r="D20" s="84">
        <v>142.5547</v>
      </c>
      <c r="E20" s="85">
        <v>0</v>
      </c>
      <c r="F20" s="85">
        <v>0</v>
      </c>
      <c r="G20" s="84">
        <v>142.55229999999997</v>
      </c>
      <c r="H20" s="85">
        <f t="shared" si="0"/>
        <v>-2.4000000000228283</v>
      </c>
      <c r="I20" s="85">
        <f t="shared" si="1"/>
        <v>-2.4000000000228283</v>
      </c>
      <c r="J20" s="84">
        <v>91.646600000000007</v>
      </c>
      <c r="K20" s="85">
        <f t="shared" si="2"/>
        <v>-50905.699999999968</v>
      </c>
      <c r="L20" s="85">
        <f t="shared" si="3"/>
        <v>-50908.099999999991</v>
      </c>
      <c r="M20" s="84">
        <v>91.644499999999994</v>
      </c>
      <c r="N20" s="85">
        <f t="shared" si="4"/>
        <v>-2.1000000000128694</v>
      </c>
      <c r="O20" s="85">
        <f t="shared" si="5"/>
        <v>-50910.200000000004</v>
      </c>
      <c r="P20" s="84">
        <v>91.643600000000006</v>
      </c>
      <c r="Q20" s="85">
        <f t="shared" si="6"/>
        <v>-0.89999999998724434</v>
      </c>
      <c r="R20" s="85">
        <f t="shared" si="7"/>
        <v>-50911.099999999991</v>
      </c>
      <c r="S20" s="84">
        <v>91.6434</v>
      </c>
      <c r="T20" s="85">
        <f t="shared" si="8"/>
        <v>-0.20000000000663931</v>
      </c>
      <c r="U20" s="85">
        <f t="shared" si="9"/>
        <v>-50911.299999999996</v>
      </c>
      <c r="V20" s="86">
        <v>91.642600000000002</v>
      </c>
      <c r="W20" s="85">
        <f t="shared" si="10"/>
        <v>-0.79999999999813554</v>
      </c>
      <c r="X20" s="85">
        <f t="shared" si="11"/>
        <v>-50912.099999999991</v>
      </c>
      <c r="Y20" s="86">
        <v>91.641999999999996</v>
      </c>
      <c r="Z20" s="85">
        <f t="shared" si="12"/>
        <v>-0.60000000000570708</v>
      </c>
      <c r="AA20" s="85">
        <f t="shared" si="13"/>
        <v>-50912.7</v>
      </c>
      <c r="AB20" s="86">
        <v>91.641300000000001</v>
      </c>
      <c r="AC20" s="85">
        <f t="shared" si="14"/>
        <v>-0.69999999999481588</v>
      </c>
      <c r="AD20" s="85">
        <f t="shared" si="15"/>
        <v>-50913.399999999994</v>
      </c>
      <c r="AE20" s="95" t="str">
        <f t="shared" si="16"/>
        <v>2.14.</v>
      </c>
      <c r="AF20" s="87"/>
      <c r="AG20" s="77" t="s">
        <v>217</v>
      </c>
      <c r="AH20" s="89" t="s">
        <v>174</v>
      </c>
      <c r="AI20" s="77">
        <v>0</v>
      </c>
    </row>
    <row r="21" spans="3:35" ht="15.6" x14ac:dyDescent="0.25">
      <c r="C21" s="95" t="s">
        <v>234</v>
      </c>
      <c r="D21" s="84">
        <v>142.51580000000001</v>
      </c>
      <c r="E21" s="85">
        <v>0</v>
      </c>
      <c r="F21" s="85">
        <v>0</v>
      </c>
      <c r="G21" s="84">
        <v>142.51299999999998</v>
      </c>
      <c r="H21" s="85">
        <f t="shared" si="0"/>
        <v>-2.8000000000361069</v>
      </c>
      <c r="I21" s="85">
        <f t="shared" si="1"/>
        <v>-2.8000000000361069</v>
      </c>
      <c r="J21" s="84">
        <v>91.709400000000002</v>
      </c>
      <c r="K21" s="85">
        <f t="shared" si="2"/>
        <v>-50803.599999999977</v>
      </c>
      <c r="L21" s="85">
        <f t="shared" si="3"/>
        <v>-50806.400000000016</v>
      </c>
      <c r="M21" s="84">
        <v>91.707599999999999</v>
      </c>
      <c r="N21" s="85">
        <f t="shared" si="4"/>
        <v>-1.8000000000029104</v>
      </c>
      <c r="O21" s="85">
        <f t="shared" si="5"/>
        <v>-50808.200000000019</v>
      </c>
      <c r="P21" s="84">
        <v>91.706999999999994</v>
      </c>
      <c r="Q21" s="85">
        <f t="shared" si="6"/>
        <v>-0.60000000000570708</v>
      </c>
      <c r="R21" s="85">
        <f t="shared" si="7"/>
        <v>-50808.800000000025</v>
      </c>
      <c r="S21" s="84">
        <v>91.706400000000002</v>
      </c>
      <c r="T21" s="85">
        <f t="shared" si="8"/>
        <v>-0.59999999999149622</v>
      </c>
      <c r="U21" s="85">
        <f t="shared" si="9"/>
        <v>-50809.400000000016</v>
      </c>
      <c r="V21" s="86">
        <v>91.705799999999996</v>
      </c>
      <c r="W21" s="85">
        <f t="shared" si="10"/>
        <v>-0.60000000000570708</v>
      </c>
      <c r="X21" s="85">
        <f t="shared" si="11"/>
        <v>-50810.000000000022</v>
      </c>
      <c r="Y21" s="86">
        <v>91.705299999999994</v>
      </c>
      <c r="Z21" s="85">
        <f t="shared" si="12"/>
        <v>-0.50000000000238742</v>
      </c>
      <c r="AA21" s="85">
        <f t="shared" si="13"/>
        <v>-50810.500000000022</v>
      </c>
      <c r="AB21" s="86">
        <v>91.704499999999996</v>
      </c>
      <c r="AC21" s="85">
        <f t="shared" si="14"/>
        <v>-0.79999999999813554</v>
      </c>
      <c r="AD21" s="85">
        <f t="shared" si="15"/>
        <v>-50811.300000000017</v>
      </c>
      <c r="AE21" s="95" t="str">
        <f t="shared" si="16"/>
        <v>2.15.</v>
      </c>
      <c r="AF21" s="87"/>
      <c r="AH21" s="89" t="s">
        <v>175</v>
      </c>
      <c r="AI21" s="77">
        <v>0</v>
      </c>
    </row>
    <row r="22" spans="3:35" ht="15.6" x14ac:dyDescent="0.25">
      <c r="C22" s="95" t="s">
        <v>235</v>
      </c>
      <c r="D22" s="84">
        <v>142.43040000000002</v>
      </c>
      <c r="E22" s="85">
        <v>0</v>
      </c>
      <c r="F22" s="85">
        <v>0</v>
      </c>
      <c r="G22" s="84">
        <v>142.42689999999999</v>
      </c>
      <c r="H22" s="85">
        <f t="shared" si="0"/>
        <v>-3.5000000000309228</v>
      </c>
      <c r="I22" s="85">
        <f t="shared" si="1"/>
        <v>-3.5000000000309228</v>
      </c>
      <c r="J22" s="84">
        <v>91.765900000000002</v>
      </c>
      <c r="K22" s="85">
        <f t="shared" si="2"/>
        <v>-50660.999999999985</v>
      </c>
      <c r="L22" s="85">
        <f t="shared" si="3"/>
        <v>-50664.500000000015</v>
      </c>
      <c r="M22" s="84">
        <v>91.763999999999996</v>
      </c>
      <c r="N22" s="85">
        <f t="shared" si="4"/>
        <v>-1.90000000000623</v>
      </c>
      <c r="O22" s="85">
        <f t="shared" si="5"/>
        <v>-50666.400000000023</v>
      </c>
      <c r="P22" s="84">
        <v>91.763099999999994</v>
      </c>
      <c r="Q22" s="85">
        <f t="shared" si="6"/>
        <v>-0.90000000000145519</v>
      </c>
      <c r="R22" s="85">
        <f t="shared" si="7"/>
        <v>-50667.300000000025</v>
      </c>
      <c r="S22" s="84">
        <v>91.762699999999995</v>
      </c>
      <c r="T22" s="85">
        <f t="shared" si="8"/>
        <v>-0.39999999999906777</v>
      </c>
      <c r="U22" s="85">
        <f t="shared" si="9"/>
        <v>-50667.700000000026</v>
      </c>
      <c r="V22" s="86">
        <v>91.762</v>
      </c>
      <c r="W22" s="85">
        <f t="shared" si="10"/>
        <v>-0.69999999999481588</v>
      </c>
      <c r="X22" s="85">
        <f t="shared" si="11"/>
        <v>-50668.400000000023</v>
      </c>
      <c r="Y22" s="86">
        <v>91.761499999999998</v>
      </c>
      <c r="Z22" s="85">
        <f t="shared" si="12"/>
        <v>-0.50000000000238742</v>
      </c>
      <c r="AA22" s="85">
        <f t="shared" si="13"/>
        <v>-50668.900000000023</v>
      </c>
      <c r="AB22" s="86">
        <v>91.760900000000007</v>
      </c>
      <c r="AC22" s="85">
        <f t="shared" si="14"/>
        <v>-0.59999999999149622</v>
      </c>
      <c r="AD22" s="85">
        <f t="shared" si="15"/>
        <v>-50669.500000000015</v>
      </c>
      <c r="AE22" s="95" t="str">
        <f t="shared" si="16"/>
        <v>2.16.</v>
      </c>
      <c r="AF22" s="87"/>
      <c r="AH22" s="89" t="s">
        <v>176</v>
      </c>
      <c r="AI22" s="77">
        <v>0</v>
      </c>
    </row>
    <row r="23" spans="3:35" ht="15.6" x14ac:dyDescent="0.25">
      <c r="C23" s="95" t="s">
        <v>236</v>
      </c>
      <c r="D23" s="84">
        <v>142.5626</v>
      </c>
      <c r="E23" s="85">
        <v>0</v>
      </c>
      <c r="F23" s="85">
        <v>0</v>
      </c>
      <c r="G23" s="84">
        <v>142.55859999999998</v>
      </c>
      <c r="H23" s="85">
        <f t="shared" si="0"/>
        <v>-4.0000000000190994</v>
      </c>
      <c r="I23" s="85">
        <f t="shared" si="1"/>
        <v>-4.0000000000190994</v>
      </c>
      <c r="J23" s="84">
        <v>91.770399999999995</v>
      </c>
      <c r="K23" s="85">
        <f t="shared" si="2"/>
        <v>-50788.19999999999</v>
      </c>
      <c r="L23" s="85">
        <f t="shared" si="3"/>
        <v>-50792.200000000012</v>
      </c>
      <c r="M23" s="84">
        <v>91.768600000000006</v>
      </c>
      <c r="N23" s="85">
        <f t="shared" si="4"/>
        <v>-1.7999999999886995</v>
      </c>
      <c r="O23" s="85">
        <f t="shared" si="5"/>
        <v>-50794</v>
      </c>
      <c r="P23" s="84">
        <v>91.767799999999994</v>
      </c>
      <c r="Q23" s="85">
        <f t="shared" si="6"/>
        <v>-0.80000000001234639</v>
      </c>
      <c r="R23" s="85">
        <f t="shared" si="7"/>
        <v>-50794.80000000001</v>
      </c>
      <c r="S23" s="84">
        <v>91.767200000000003</v>
      </c>
      <c r="T23" s="85">
        <f t="shared" si="8"/>
        <v>-0.59999999999149622</v>
      </c>
      <c r="U23" s="85">
        <f t="shared" si="9"/>
        <v>-50795.4</v>
      </c>
      <c r="V23" s="86">
        <v>91.766599999999997</v>
      </c>
      <c r="W23" s="85">
        <f t="shared" si="10"/>
        <v>-0.60000000000570708</v>
      </c>
      <c r="X23" s="85">
        <f t="shared" si="11"/>
        <v>-50796.000000000007</v>
      </c>
      <c r="Y23" s="86">
        <v>91.766000000000005</v>
      </c>
      <c r="Z23" s="85">
        <f t="shared" si="12"/>
        <v>-0.59999999999149622</v>
      </c>
      <c r="AA23" s="85">
        <f t="shared" si="13"/>
        <v>-50796.6</v>
      </c>
      <c r="AB23" s="86">
        <v>91.765500000000003</v>
      </c>
      <c r="AC23" s="85">
        <f t="shared" si="14"/>
        <v>-0.50000000000238742</v>
      </c>
      <c r="AD23" s="85">
        <f t="shared" si="15"/>
        <v>-50797.1</v>
      </c>
      <c r="AE23" s="95" t="str">
        <f t="shared" si="16"/>
        <v>2.17.</v>
      </c>
      <c r="AF23" s="87"/>
      <c r="AH23" s="89" t="s">
        <v>177</v>
      </c>
      <c r="AI23" s="77">
        <v>0</v>
      </c>
    </row>
    <row r="24" spans="3:35" ht="15.6" x14ac:dyDescent="0.25">
      <c r="C24" s="95" t="s">
        <v>237</v>
      </c>
      <c r="D24" s="84">
        <v>142.63220000000001</v>
      </c>
      <c r="E24" s="85">
        <v>0</v>
      </c>
      <c r="F24" s="85">
        <v>0</v>
      </c>
      <c r="G24" s="84">
        <v>142.63029999999998</v>
      </c>
      <c r="H24" s="85">
        <f t="shared" si="0"/>
        <v>-1.9000000000346517</v>
      </c>
      <c r="I24" s="85">
        <f t="shared" si="1"/>
        <v>-1.9000000000346517</v>
      </c>
      <c r="J24" s="84">
        <v>91.645099999999999</v>
      </c>
      <c r="K24" s="85">
        <f t="shared" si="2"/>
        <v>-50985.199999999975</v>
      </c>
      <c r="L24" s="85">
        <f t="shared" si="3"/>
        <v>-50987.100000000013</v>
      </c>
      <c r="M24" s="84">
        <v>91.643699999999995</v>
      </c>
      <c r="N24" s="85">
        <f t="shared" si="4"/>
        <v>-1.4000000000038426</v>
      </c>
      <c r="O24" s="85">
        <f t="shared" si="5"/>
        <v>-50988.500000000015</v>
      </c>
      <c r="P24" s="84">
        <v>91.643000000000001</v>
      </c>
      <c r="Q24" s="85">
        <f t="shared" si="6"/>
        <v>-0.69999999999481588</v>
      </c>
      <c r="R24" s="85">
        <f t="shared" si="7"/>
        <v>-50989.200000000012</v>
      </c>
      <c r="S24" s="84">
        <v>91.642399999999995</v>
      </c>
      <c r="T24" s="85">
        <f t="shared" si="8"/>
        <v>-0.60000000000570708</v>
      </c>
      <c r="U24" s="85">
        <f t="shared" si="9"/>
        <v>-50989.800000000017</v>
      </c>
      <c r="V24" s="86">
        <v>91.641999999999996</v>
      </c>
      <c r="W24" s="85">
        <f t="shared" si="10"/>
        <v>-0.39999999999906777</v>
      </c>
      <c r="X24" s="85">
        <f t="shared" si="11"/>
        <v>-50990.200000000019</v>
      </c>
      <c r="Y24" s="86">
        <v>91.641599999999997</v>
      </c>
      <c r="Z24" s="85">
        <f t="shared" si="12"/>
        <v>-0.39999999999906777</v>
      </c>
      <c r="AA24" s="85">
        <f t="shared" si="13"/>
        <v>-50990.60000000002</v>
      </c>
      <c r="AB24" s="86">
        <v>91.641000000000005</v>
      </c>
      <c r="AC24" s="85">
        <f t="shared" si="14"/>
        <v>-0.59999999999149622</v>
      </c>
      <c r="AD24" s="85">
        <f t="shared" si="15"/>
        <v>-50991.200000000012</v>
      </c>
      <c r="AE24" s="95" t="str">
        <f t="shared" si="16"/>
        <v>2.18.</v>
      </c>
      <c r="AF24" s="87"/>
      <c r="AH24" s="89" t="s">
        <v>178</v>
      </c>
      <c r="AI24" s="77">
        <v>0</v>
      </c>
    </row>
    <row r="25" spans="3:35" ht="15.6" x14ac:dyDescent="0.25">
      <c r="C25" s="95" t="s">
        <v>238</v>
      </c>
      <c r="D25" s="84">
        <v>142.50320000000002</v>
      </c>
      <c r="E25" s="85">
        <v>0</v>
      </c>
      <c r="F25" s="85">
        <v>0</v>
      </c>
      <c r="G25" s="84">
        <v>142.50099999999998</v>
      </c>
      <c r="H25" s="85">
        <f t="shared" si="0"/>
        <v>-2.2000000000446107</v>
      </c>
      <c r="I25" s="85">
        <f t="shared" si="1"/>
        <v>-2.2000000000446107</v>
      </c>
      <c r="J25" s="84">
        <v>91.619</v>
      </c>
      <c r="K25" s="85">
        <f t="shared" si="2"/>
        <v>-50881.999999999978</v>
      </c>
      <c r="L25" s="85">
        <f t="shared" si="3"/>
        <v>-50884.200000000026</v>
      </c>
      <c r="M25" s="84">
        <v>91.617400000000004</v>
      </c>
      <c r="N25" s="85">
        <f t="shared" si="4"/>
        <v>-1.5999999999962711</v>
      </c>
      <c r="O25" s="85">
        <f t="shared" si="5"/>
        <v>-50885.800000000025</v>
      </c>
      <c r="P25" s="84">
        <v>91.616600000000005</v>
      </c>
      <c r="Q25" s="85">
        <f t="shared" si="6"/>
        <v>-0.79999999999813554</v>
      </c>
      <c r="R25" s="85">
        <f t="shared" si="7"/>
        <v>-50886.60000000002</v>
      </c>
      <c r="S25" s="84">
        <v>91.616100000000003</v>
      </c>
      <c r="T25" s="85">
        <f t="shared" si="8"/>
        <v>-0.50000000000238742</v>
      </c>
      <c r="U25" s="85">
        <f t="shared" si="9"/>
        <v>-50887.10000000002</v>
      </c>
      <c r="V25" s="86">
        <v>91.615499999999997</v>
      </c>
      <c r="W25" s="85">
        <f t="shared" si="10"/>
        <v>-0.60000000000570708</v>
      </c>
      <c r="X25" s="85">
        <f t="shared" si="11"/>
        <v>-50887.700000000026</v>
      </c>
      <c r="Y25" s="86">
        <v>91.614900000000006</v>
      </c>
      <c r="Z25" s="85">
        <f t="shared" si="12"/>
        <v>-0.59999999999149622</v>
      </c>
      <c r="AA25" s="85">
        <f t="shared" si="13"/>
        <v>-50888.300000000017</v>
      </c>
      <c r="AB25" s="86">
        <v>91.614400000000003</v>
      </c>
      <c r="AC25" s="85">
        <f t="shared" si="14"/>
        <v>-0.50000000000238742</v>
      </c>
      <c r="AD25" s="85">
        <f t="shared" si="15"/>
        <v>-50888.800000000017</v>
      </c>
      <c r="AE25" s="95" t="str">
        <f t="shared" si="16"/>
        <v>2.19.</v>
      </c>
      <c r="AF25" s="88"/>
      <c r="AH25" s="89" t="s">
        <v>179</v>
      </c>
      <c r="AI25" s="77">
        <v>0</v>
      </c>
    </row>
    <row r="26" spans="3:35" x14ac:dyDescent="0.25">
      <c r="C26" s="116"/>
    </row>
    <row r="27" spans="3:35" x14ac:dyDescent="0.25">
      <c r="C27" s="116"/>
    </row>
    <row r="28" spans="3:35" x14ac:dyDescent="0.25">
      <c r="C28" s="116"/>
    </row>
    <row r="29" spans="3:35" x14ac:dyDescent="0.25">
      <c r="C29" s="116"/>
    </row>
    <row r="30" spans="3:35" x14ac:dyDescent="0.25">
      <c r="C30" s="116"/>
    </row>
    <row r="31" spans="3:35" x14ac:dyDescent="0.25">
      <c r="C31" s="116"/>
    </row>
    <row r="32" spans="3:35" x14ac:dyDescent="0.25">
      <c r="C32" s="116"/>
    </row>
    <row r="33" spans="3:3" x14ac:dyDescent="0.25">
      <c r="C33" s="116"/>
    </row>
    <row r="34" spans="3:3" x14ac:dyDescent="0.25">
      <c r="C34" s="116"/>
    </row>
    <row r="35" spans="3:3" x14ac:dyDescent="0.25">
      <c r="C35" s="116"/>
    </row>
    <row r="36" spans="3:3" x14ac:dyDescent="0.25">
      <c r="C36" s="116"/>
    </row>
    <row r="37" spans="3:3" x14ac:dyDescent="0.25">
      <c r="C37" s="116"/>
    </row>
    <row r="38" spans="3:3" x14ac:dyDescent="0.25">
      <c r="C38" s="116"/>
    </row>
    <row r="39" spans="3:3" x14ac:dyDescent="0.25">
      <c r="C39" s="116"/>
    </row>
    <row r="40" spans="3:3" x14ac:dyDescent="0.25">
      <c r="C40" s="116"/>
    </row>
    <row r="41" spans="3:3" x14ac:dyDescent="0.25">
      <c r="C41" s="116"/>
    </row>
    <row r="42" spans="3:3" x14ac:dyDescent="0.25">
      <c r="C42" s="116"/>
    </row>
    <row r="43" spans="3:3" x14ac:dyDescent="0.25">
      <c r="C43" s="116"/>
    </row>
    <row r="44" spans="3:3" x14ac:dyDescent="0.25">
      <c r="C44" s="116"/>
    </row>
    <row r="45" spans="3:3" x14ac:dyDescent="0.25">
      <c r="C45" s="116"/>
    </row>
    <row r="46" spans="3:3" x14ac:dyDescent="0.25">
      <c r="C46" s="116"/>
    </row>
    <row r="47" spans="3:3" x14ac:dyDescent="0.25">
      <c r="C47" s="116"/>
    </row>
    <row r="48" spans="3:3" x14ac:dyDescent="0.25">
      <c r="C48" s="116"/>
    </row>
    <row r="49" spans="3:3" x14ac:dyDescent="0.25">
      <c r="C49" s="116"/>
    </row>
    <row r="50" spans="3:3" x14ac:dyDescent="0.25">
      <c r="C50" s="116"/>
    </row>
  </sheetData>
  <mergeCells count="13">
    <mergeCell ref="Y5:AA5"/>
    <mergeCell ref="AB5:AD5"/>
    <mergeCell ref="AE5:AE6"/>
    <mergeCell ref="C3:AE3"/>
    <mergeCell ref="C4:AE4"/>
    <mergeCell ref="C5:C6"/>
    <mergeCell ref="D5:F5"/>
    <mergeCell ref="G5:I5"/>
    <mergeCell ref="J5:L5"/>
    <mergeCell ref="M5:O5"/>
    <mergeCell ref="P5:R5"/>
    <mergeCell ref="S5:U5"/>
    <mergeCell ref="V5:X5"/>
  </mergeCells>
  <phoneticPr fontId="29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R16"/>
  <sheetViews>
    <sheetView topLeftCell="A4" zoomScale="85" zoomScaleNormal="85" workbookViewId="0">
      <selection activeCell="H34" sqref="H34"/>
    </sheetView>
  </sheetViews>
  <sheetFormatPr defaultRowHeight="14.4" x14ac:dyDescent="0.3"/>
  <cols>
    <col min="2" max="2" width="12.33203125" customWidth="1"/>
    <col min="3" max="3" width="8.6640625" customWidth="1"/>
    <col min="4" max="10" width="12.6640625" customWidth="1"/>
    <col min="11" max="11" width="13.6640625" customWidth="1"/>
    <col min="12" max="13" width="12.6640625" customWidth="1"/>
    <col min="14" max="14" width="8.6640625" customWidth="1"/>
  </cols>
  <sheetData>
    <row r="1" spans="1:18" ht="15.6" x14ac:dyDescent="0.3">
      <c r="A1" s="1"/>
      <c r="B1" s="1"/>
    </row>
    <row r="2" spans="1:18" ht="15.6" x14ac:dyDescent="0.3">
      <c r="A2" s="1"/>
      <c r="B2" s="1"/>
    </row>
    <row r="3" spans="1:18" ht="15.6" x14ac:dyDescent="0.3">
      <c r="A3" s="1"/>
      <c r="B3" s="1"/>
    </row>
    <row r="4" spans="1:18" ht="15.6" x14ac:dyDescent="0.3">
      <c r="A4" s="1"/>
      <c r="B4" s="1"/>
    </row>
    <row r="5" spans="1:18" ht="15.6" x14ac:dyDescent="0.3">
      <c r="B5" s="12"/>
    </row>
    <row r="7" spans="1:18" ht="15.6" x14ac:dyDescent="0.3">
      <c r="C7" s="172" t="s">
        <v>6</v>
      </c>
      <c r="D7" s="172"/>
      <c r="E7" s="172"/>
      <c r="F7" s="172"/>
      <c r="G7" s="172"/>
      <c r="H7" s="172"/>
      <c r="I7" s="172"/>
      <c r="J7" s="172"/>
      <c r="K7" s="172"/>
      <c r="L7" s="172"/>
      <c r="M7" s="172"/>
      <c r="N7" s="172"/>
    </row>
    <row r="8" spans="1:18" ht="15.6" x14ac:dyDescent="0.3">
      <c r="C8" s="29"/>
      <c r="D8" s="29"/>
      <c r="E8" s="29"/>
      <c r="F8" s="29"/>
      <c r="G8" s="29"/>
      <c r="H8" s="29"/>
      <c r="I8" s="29"/>
      <c r="J8" s="46"/>
      <c r="K8" s="46"/>
      <c r="L8" s="46"/>
      <c r="M8" s="46"/>
      <c r="N8" s="29"/>
    </row>
    <row r="9" spans="1:18" ht="30" customHeight="1" x14ac:dyDescent="0.3">
      <c r="C9" s="173" t="s">
        <v>7</v>
      </c>
      <c r="D9" s="132" t="s">
        <v>44</v>
      </c>
      <c r="E9" s="133"/>
      <c r="F9" s="134"/>
      <c r="G9" s="132" t="s">
        <v>43</v>
      </c>
      <c r="H9" s="133"/>
      <c r="I9" s="134"/>
      <c r="J9" s="132" t="s">
        <v>63</v>
      </c>
      <c r="K9" s="133"/>
      <c r="L9" s="133"/>
      <c r="M9" s="134"/>
      <c r="N9" s="173" t="s">
        <v>7</v>
      </c>
    </row>
    <row r="10" spans="1:18" ht="63.75" customHeight="1" x14ac:dyDescent="0.3">
      <c r="C10" s="174"/>
      <c r="D10" s="20" t="s">
        <v>2</v>
      </c>
      <c r="E10" s="21" t="s">
        <v>3</v>
      </c>
      <c r="F10" s="21" t="s">
        <v>4</v>
      </c>
      <c r="G10" s="20" t="s">
        <v>2</v>
      </c>
      <c r="H10" s="21" t="s">
        <v>3</v>
      </c>
      <c r="I10" s="21" t="s">
        <v>4</v>
      </c>
      <c r="J10" s="20" t="s">
        <v>2</v>
      </c>
      <c r="K10" s="10" t="s">
        <v>45</v>
      </c>
      <c r="L10" s="21" t="s">
        <v>3</v>
      </c>
      <c r="M10" s="21" t="s">
        <v>4</v>
      </c>
      <c r="N10" s="174"/>
    </row>
    <row r="11" spans="1:18" ht="15" customHeight="1" x14ac:dyDescent="0.3">
      <c r="C11" s="26" t="s">
        <v>29</v>
      </c>
      <c r="D11" s="27">
        <v>138.10640000000001</v>
      </c>
      <c r="E11" s="23">
        <v>0</v>
      </c>
      <c r="F11" s="23">
        <v>0</v>
      </c>
      <c r="G11" s="27">
        <v>138.10640000000001</v>
      </c>
      <c r="H11" s="23">
        <v>0</v>
      </c>
      <c r="I11" s="23">
        <v>0</v>
      </c>
      <c r="J11" s="27">
        <v>138.10640000000001</v>
      </c>
      <c r="K11" s="27"/>
      <c r="L11" s="23">
        <v>0</v>
      </c>
      <c r="M11" s="23">
        <v>0</v>
      </c>
      <c r="N11" s="26" t="str">
        <f>C11</f>
        <v>Rp1</v>
      </c>
      <c r="R11" s="97">
        <f>K16-J11</f>
        <v>1.279999999999859E-2</v>
      </c>
    </row>
    <row r="12" spans="1:18" ht="15" customHeight="1" x14ac:dyDescent="0.3">
      <c r="C12" s="25" t="s">
        <v>30</v>
      </c>
      <c r="D12" s="20">
        <v>140.0539</v>
      </c>
      <c r="E12" s="22">
        <v>0</v>
      </c>
      <c r="F12" s="22">
        <v>0</v>
      </c>
      <c r="G12" s="20">
        <v>140.0538</v>
      </c>
      <c r="H12" s="22">
        <f t="shared" ref="H12:H13" si="0">(G12-D12)*1000</f>
        <v>-0.10000000000331966</v>
      </c>
      <c r="I12" s="22">
        <f t="shared" ref="I12:I13" si="1">F12+H12</f>
        <v>-0.10000000000331966</v>
      </c>
      <c r="J12" s="20">
        <v>140.0538</v>
      </c>
      <c r="K12" s="20"/>
      <c r="L12" s="22">
        <f t="shared" ref="L12:L13" si="2">(J12-G12)*1000</f>
        <v>0</v>
      </c>
      <c r="M12" s="22">
        <f t="shared" ref="M12:M13" si="3">I12+L12</f>
        <v>-0.10000000000331966</v>
      </c>
      <c r="N12" s="25" t="str">
        <f t="shared" ref="N12:N13" si="4">C12</f>
        <v>Rp2</v>
      </c>
    </row>
    <row r="13" spans="1:18" ht="15" customHeight="1" x14ac:dyDescent="0.3">
      <c r="C13" s="25" t="s">
        <v>31</v>
      </c>
      <c r="D13" s="24">
        <v>139.57429999999999</v>
      </c>
      <c r="E13" s="22">
        <v>0</v>
      </c>
      <c r="F13" s="22">
        <v>0</v>
      </c>
      <c r="G13" s="24">
        <v>139.5745</v>
      </c>
      <c r="H13" s="22">
        <f t="shared" si="0"/>
        <v>0.20000000000663931</v>
      </c>
      <c r="I13" s="22">
        <f t="shared" si="1"/>
        <v>0.20000000000663931</v>
      </c>
      <c r="J13" s="24">
        <v>139.5745</v>
      </c>
      <c r="K13" s="24"/>
      <c r="L13" s="22">
        <f t="shared" si="2"/>
        <v>0</v>
      </c>
      <c r="M13" s="22">
        <f t="shared" si="3"/>
        <v>0.20000000000663931</v>
      </c>
      <c r="N13" s="25" t="str">
        <f t="shared" si="4"/>
        <v>Rp3</v>
      </c>
    </row>
    <row r="14" spans="1:18" ht="15.6" x14ac:dyDescent="0.3">
      <c r="C14" s="25"/>
      <c r="D14" s="24" t="s">
        <v>50</v>
      </c>
      <c r="E14" s="24" t="s">
        <v>50</v>
      </c>
      <c r="F14" s="24" t="s">
        <v>50</v>
      </c>
      <c r="G14" s="24" t="s">
        <v>50</v>
      </c>
      <c r="H14" s="24" t="s">
        <v>50</v>
      </c>
      <c r="I14" s="24" t="s">
        <v>50</v>
      </c>
      <c r="J14" s="73"/>
      <c r="K14" s="24">
        <v>139.023</v>
      </c>
      <c r="L14" s="22">
        <v>0</v>
      </c>
      <c r="M14" s="22">
        <v>0</v>
      </c>
      <c r="N14" s="25">
        <v>57882</v>
      </c>
    </row>
    <row r="15" spans="1:18" ht="15.6" x14ac:dyDescent="0.3">
      <c r="C15" s="25"/>
      <c r="D15" s="24" t="s">
        <v>50</v>
      </c>
      <c r="E15" s="24" t="s">
        <v>50</v>
      </c>
      <c r="F15" s="24" t="s">
        <v>50</v>
      </c>
      <c r="G15" s="24" t="s">
        <v>50</v>
      </c>
      <c r="H15" s="24" t="s">
        <v>50</v>
      </c>
      <c r="I15" s="24" t="s">
        <v>50</v>
      </c>
      <c r="J15" s="73"/>
      <c r="K15" s="24">
        <v>138.70599999999999</v>
      </c>
      <c r="L15" s="22">
        <v>0</v>
      </c>
      <c r="M15" s="22">
        <v>0</v>
      </c>
      <c r="N15" s="25">
        <v>91437</v>
      </c>
    </row>
    <row r="16" spans="1:18" ht="15.6" x14ac:dyDescent="0.3">
      <c r="C16" s="25"/>
      <c r="D16" s="24" t="s">
        <v>50</v>
      </c>
      <c r="E16" s="24" t="s">
        <v>50</v>
      </c>
      <c r="F16" s="24" t="s">
        <v>50</v>
      </c>
      <c r="G16" s="24" t="s">
        <v>50</v>
      </c>
      <c r="H16" s="24" t="s">
        <v>50</v>
      </c>
      <c r="I16" s="24" t="s">
        <v>50</v>
      </c>
      <c r="J16" s="73"/>
      <c r="K16" s="24">
        <v>138.11920000000001</v>
      </c>
      <c r="L16" s="22">
        <v>0</v>
      </c>
      <c r="M16" s="22">
        <v>0</v>
      </c>
      <c r="N16" s="25">
        <v>91480</v>
      </c>
    </row>
  </sheetData>
  <mergeCells count="6">
    <mergeCell ref="C7:N7"/>
    <mergeCell ref="C9:C10"/>
    <mergeCell ref="D9:F9"/>
    <mergeCell ref="N9:N10"/>
    <mergeCell ref="G9:I9"/>
    <mergeCell ref="J9:M9"/>
  </mergeCells>
  <phoneticPr fontId="2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/>
    <pageSetUpPr fitToPage="1"/>
  </sheetPr>
  <dimension ref="A2:X31"/>
  <sheetViews>
    <sheetView topLeftCell="G1" zoomScale="85" zoomScaleNormal="85" workbookViewId="0">
      <selection activeCell="N9" sqref="N9:N31"/>
    </sheetView>
  </sheetViews>
  <sheetFormatPr defaultColWidth="9.109375" defaultRowHeight="15.6" x14ac:dyDescent="0.3"/>
  <cols>
    <col min="1" max="2" width="9.109375" style="4"/>
    <col min="3" max="3" width="10.6640625" style="2" customWidth="1"/>
    <col min="4" max="5" width="12.6640625" style="2" customWidth="1"/>
    <col min="6" max="6" width="12.6640625" style="4" customWidth="1"/>
    <col min="7" max="8" width="12.6640625" style="2" customWidth="1"/>
    <col min="9" max="9" width="12.6640625" style="4" customWidth="1"/>
    <col min="10" max="10" width="12.6640625" style="2" customWidth="1"/>
    <col min="11" max="11" width="14.109375" style="2" customWidth="1"/>
    <col min="12" max="12" width="12.6640625" style="2" customWidth="1"/>
    <col min="13" max="14" width="12.6640625" style="4" customWidth="1"/>
    <col min="15" max="15" width="15.6640625" style="4" customWidth="1"/>
    <col min="16" max="16" width="10.6640625" style="4" customWidth="1"/>
    <col min="17" max="17" width="11.33203125" style="4" customWidth="1"/>
    <col min="18" max="23" width="12.6640625" style="4" customWidth="1"/>
    <col min="24" max="24" width="11.5546875" style="16" customWidth="1"/>
    <col min="25" max="25" width="12.6640625" style="16" customWidth="1"/>
    <col min="26" max="26" width="11.88671875" style="16" customWidth="1"/>
    <col min="27" max="27" width="11.6640625" style="16" customWidth="1"/>
    <col min="28" max="28" width="12.5546875" style="16" customWidth="1"/>
    <col min="29" max="30" width="11.88671875" style="16" bestFit="1" customWidth="1"/>
    <col min="31" max="16384" width="9.109375" style="16"/>
  </cols>
  <sheetData>
    <row r="2" spans="3:24" x14ac:dyDescent="0.3">
      <c r="C2" s="13"/>
      <c r="D2" s="13"/>
      <c r="E2" s="13"/>
      <c r="F2" s="14"/>
      <c r="G2" s="13"/>
      <c r="H2" s="13"/>
      <c r="I2" s="14"/>
      <c r="J2" s="13"/>
      <c r="K2" s="13"/>
      <c r="L2" s="13"/>
      <c r="M2" s="14"/>
      <c r="N2" s="14"/>
      <c r="O2" s="14"/>
      <c r="P2" s="45" t="s">
        <v>18</v>
      </c>
    </row>
    <row r="3" spans="3:24" x14ac:dyDescent="0.3">
      <c r="C3" s="13"/>
      <c r="D3" s="13"/>
      <c r="E3" s="13"/>
      <c r="F3" s="14"/>
      <c r="G3" s="13"/>
      <c r="H3" s="13"/>
      <c r="I3" s="14"/>
      <c r="J3" s="13"/>
      <c r="K3" s="13"/>
      <c r="L3" s="13"/>
      <c r="M3" s="14"/>
      <c r="N3" s="14"/>
      <c r="O3" s="14"/>
      <c r="P3" s="15" t="s">
        <v>24</v>
      </c>
    </row>
    <row r="4" spans="3:24" x14ac:dyDescent="0.3">
      <c r="C4" s="128" t="s">
        <v>0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7"/>
      <c r="R4" s="17"/>
      <c r="S4" s="17"/>
      <c r="T4" s="17"/>
      <c r="U4" s="17"/>
      <c r="V4" s="17"/>
      <c r="W4" s="17"/>
    </row>
    <row r="5" spans="3:24" x14ac:dyDescent="0.3">
      <c r="C5" s="128" t="s">
        <v>5</v>
      </c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7"/>
      <c r="R5" s="17"/>
      <c r="S5" s="17"/>
      <c r="T5" s="17"/>
      <c r="U5" s="17"/>
      <c r="V5" s="17"/>
      <c r="W5" s="17"/>
    </row>
    <row r="6" spans="3:24" x14ac:dyDescent="0.3">
      <c r="C6" s="129" t="s">
        <v>19</v>
      </c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28"/>
      <c r="R6" s="18"/>
      <c r="T6" s="3"/>
      <c r="U6" s="18"/>
      <c r="V6" s="18"/>
      <c r="W6" s="18"/>
    </row>
    <row r="7" spans="3:24" ht="53.25" customHeight="1" x14ac:dyDescent="0.3">
      <c r="C7" s="130" t="s">
        <v>33</v>
      </c>
      <c r="D7" s="132" t="s">
        <v>34</v>
      </c>
      <c r="E7" s="133"/>
      <c r="F7" s="134"/>
      <c r="G7" s="132" t="s">
        <v>43</v>
      </c>
      <c r="H7" s="133"/>
      <c r="I7" s="134"/>
      <c r="J7" s="132" t="s">
        <v>63</v>
      </c>
      <c r="K7" s="133"/>
      <c r="L7" s="133"/>
      <c r="M7" s="134"/>
      <c r="N7" s="130" t="s">
        <v>8</v>
      </c>
      <c r="O7" s="130" t="s">
        <v>9</v>
      </c>
      <c r="P7" s="135" t="str">
        <f>C7</f>
        <v>№ знака</v>
      </c>
      <c r="Q7" s="7"/>
      <c r="R7" s="7"/>
      <c r="S7" s="8"/>
      <c r="T7" s="36"/>
      <c r="U7" s="19"/>
      <c r="V7" s="19"/>
      <c r="W7" s="19"/>
      <c r="X7" s="19"/>
    </row>
    <row r="8" spans="3:24" ht="67.5" customHeight="1" x14ac:dyDescent="0.3">
      <c r="C8" s="131"/>
      <c r="D8" s="10" t="s">
        <v>2</v>
      </c>
      <c r="E8" s="11" t="s">
        <v>3</v>
      </c>
      <c r="F8" s="11" t="s">
        <v>4</v>
      </c>
      <c r="G8" s="10" t="s">
        <v>2</v>
      </c>
      <c r="H8" s="11" t="s">
        <v>3</v>
      </c>
      <c r="I8" s="11" t="s">
        <v>4</v>
      </c>
      <c r="J8" s="10" t="s">
        <v>2</v>
      </c>
      <c r="K8" s="10" t="s">
        <v>45</v>
      </c>
      <c r="L8" s="11" t="s">
        <v>3</v>
      </c>
      <c r="M8" s="11" t="s">
        <v>4</v>
      </c>
      <c r="N8" s="131"/>
      <c r="O8" s="131"/>
      <c r="P8" s="135"/>
      <c r="Q8" s="9"/>
      <c r="R8" s="9"/>
      <c r="S8" s="8"/>
      <c r="T8" s="36"/>
      <c r="U8" s="19"/>
      <c r="V8" s="19"/>
      <c r="W8" s="19"/>
      <c r="X8" s="19"/>
    </row>
    <row r="9" spans="3:24" ht="15.6" customHeight="1" x14ac:dyDescent="0.3">
      <c r="C9" s="49">
        <v>1</v>
      </c>
      <c r="D9" s="50">
        <v>141.99539999999999</v>
      </c>
      <c r="E9" s="51">
        <v>0</v>
      </c>
      <c r="F9" s="51">
        <v>0</v>
      </c>
      <c r="G9" s="52">
        <v>141.99509999999998</v>
      </c>
      <c r="H9" s="51">
        <f>(G9-D9)*1000</f>
        <v>-0.30000000000995897</v>
      </c>
      <c r="I9" s="51">
        <f>F9+H9</f>
        <v>-0.30000000000995897</v>
      </c>
      <c r="J9" s="100">
        <v>141.99509999999998</v>
      </c>
      <c r="K9" s="68">
        <v>141.95320000000001</v>
      </c>
      <c r="L9" s="51">
        <f>(J9-G9)*1000</f>
        <v>0</v>
      </c>
      <c r="M9" s="51">
        <f>I9+L9</f>
        <v>-0.30000000000995897</v>
      </c>
      <c r="N9" s="51" t="s">
        <v>35</v>
      </c>
      <c r="O9" s="51"/>
      <c r="P9" s="53">
        <f>C9</f>
        <v>1</v>
      </c>
      <c r="Q9" s="9"/>
      <c r="R9" s="98">
        <f>K9-J9</f>
        <v>-4.189999999996985E-2</v>
      </c>
      <c r="S9" s="99">
        <f>J9+0.0128</f>
        <v>142.00789999999998</v>
      </c>
      <c r="T9" s="36"/>
      <c r="U9" s="103"/>
      <c r="V9" s="19"/>
      <c r="W9" s="19"/>
      <c r="X9" s="19"/>
    </row>
    <row r="10" spans="3:24" ht="15.6" customHeight="1" x14ac:dyDescent="0.3">
      <c r="C10" s="54">
        <v>2</v>
      </c>
      <c r="D10" s="55">
        <v>141.953</v>
      </c>
      <c r="E10" s="56">
        <v>0</v>
      </c>
      <c r="F10" s="56">
        <v>0</v>
      </c>
      <c r="G10" s="55">
        <v>141.95310000000001</v>
      </c>
      <c r="H10" s="56">
        <f t="shared" ref="H10:H11" si="0">(G10-D10)*1000</f>
        <v>0.10000000000331966</v>
      </c>
      <c r="I10" s="56">
        <f t="shared" ref="I10:I11" si="1">F10+H10</f>
        <v>0.10000000000331966</v>
      </c>
      <c r="J10" s="69">
        <v>141.95310000000001</v>
      </c>
      <c r="K10" s="104">
        <v>141.809</v>
      </c>
      <c r="L10" s="56">
        <f t="shared" ref="L10:L14" si="2">(J10-G10)*1000</f>
        <v>0</v>
      </c>
      <c r="M10" s="56">
        <f t="shared" ref="M10:M14" si="3">I10+L10</f>
        <v>0.10000000000331966</v>
      </c>
      <c r="N10" s="56" t="s">
        <v>36</v>
      </c>
      <c r="O10" s="56"/>
      <c r="P10" s="57">
        <f t="shared" ref="P10:P31" si="4">C10</f>
        <v>2</v>
      </c>
      <c r="Q10" s="5"/>
      <c r="R10" s="98">
        <f t="shared" ref="R10:R31" si="5">K10-J10</f>
        <v>-0.14410000000000878</v>
      </c>
      <c r="S10" s="99">
        <f t="shared" ref="S10:S31" si="6">J10+0.0128</f>
        <v>141.9659</v>
      </c>
      <c r="T10" s="6"/>
      <c r="U10" s="103"/>
      <c r="X10" s="4"/>
    </row>
    <row r="11" spans="3:24" ht="15.6" customHeight="1" x14ac:dyDescent="0.3">
      <c r="C11" s="59">
        <v>3</v>
      </c>
      <c r="D11" s="60">
        <v>141.809</v>
      </c>
      <c r="E11" s="61">
        <v>0</v>
      </c>
      <c r="F11" s="61">
        <v>0</v>
      </c>
      <c r="G11" s="60">
        <v>141.80859999999998</v>
      </c>
      <c r="H11" s="61">
        <f t="shared" si="0"/>
        <v>-0.40000000001327862</v>
      </c>
      <c r="I11" s="61">
        <f t="shared" si="1"/>
        <v>-0.40000000001327862</v>
      </c>
      <c r="J11" s="105">
        <v>141.80859999999998</v>
      </c>
      <c r="K11" s="106">
        <v>141.8415</v>
      </c>
      <c r="L11" s="61">
        <f t="shared" si="2"/>
        <v>0</v>
      </c>
      <c r="M11" s="61">
        <f t="shared" si="3"/>
        <v>-0.40000000001327862</v>
      </c>
      <c r="N11" s="61" t="s">
        <v>37</v>
      </c>
      <c r="O11" s="61"/>
      <c r="P11" s="62">
        <f t="shared" si="4"/>
        <v>3</v>
      </c>
      <c r="Q11" s="5"/>
      <c r="R11" s="98">
        <f t="shared" si="5"/>
        <v>3.2900000000012142E-2</v>
      </c>
      <c r="S11" s="99">
        <f t="shared" si="6"/>
        <v>141.82139999999998</v>
      </c>
      <c r="T11" s="6"/>
      <c r="U11" s="103"/>
      <c r="X11" s="4"/>
    </row>
    <row r="12" spans="3:24" ht="15.6" customHeight="1" x14ac:dyDescent="0.3">
      <c r="C12" s="59">
        <v>4</v>
      </c>
      <c r="D12" s="60">
        <v>141.8407</v>
      </c>
      <c r="E12" s="61">
        <v>0</v>
      </c>
      <c r="F12" s="61">
        <v>0</v>
      </c>
      <c r="G12" s="60">
        <v>141.84049999999999</v>
      </c>
      <c r="H12" s="61">
        <f t="shared" ref="H12:H14" si="7">(G12-D12)*1000</f>
        <v>-0.20000000000663931</v>
      </c>
      <c r="I12" s="61">
        <f t="shared" ref="I12:I14" si="8">F12+H12</f>
        <v>-0.20000000000663931</v>
      </c>
      <c r="J12" s="106">
        <v>141.84049999999999</v>
      </c>
      <c r="K12" s="60">
        <v>141.9538</v>
      </c>
      <c r="L12" s="61">
        <f t="shared" si="2"/>
        <v>0</v>
      </c>
      <c r="M12" s="61">
        <f t="shared" si="3"/>
        <v>-0.20000000000663931</v>
      </c>
      <c r="N12" s="61" t="s">
        <v>37</v>
      </c>
      <c r="O12" s="61"/>
      <c r="P12" s="62">
        <f t="shared" si="4"/>
        <v>4</v>
      </c>
      <c r="Q12" s="5"/>
      <c r="R12" s="98">
        <f t="shared" si="5"/>
        <v>0.1133000000000095</v>
      </c>
      <c r="S12" s="99">
        <f t="shared" si="6"/>
        <v>141.85329999999999</v>
      </c>
      <c r="T12" s="6"/>
      <c r="U12" s="103"/>
    </row>
    <row r="13" spans="3:24" ht="15.6" customHeight="1" x14ac:dyDescent="0.3">
      <c r="C13" s="63">
        <v>5</v>
      </c>
      <c r="D13" s="64">
        <v>141.9547</v>
      </c>
      <c r="E13" s="65">
        <v>0</v>
      </c>
      <c r="F13" s="65">
        <v>0</v>
      </c>
      <c r="G13" s="64">
        <v>141.9546</v>
      </c>
      <c r="H13" s="65">
        <f t="shared" si="7"/>
        <v>-0.10000000000331966</v>
      </c>
      <c r="I13" s="65">
        <f t="shared" si="8"/>
        <v>-0.10000000000331966</v>
      </c>
      <c r="J13" s="64">
        <v>141.9546</v>
      </c>
      <c r="K13" s="64">
        <v>142.54339999999999</v>
      </c>
      <c r="L13" s="65">
        <f t="shared" si="2"/>
        <v>0</v>
      </c>
      <c r="M13" s="65">
        <f t="shared" si="3"/>
        <v>-0.10000000000331966</v>
      </c>
      <c r="N13" s="65" t="s">
        <v>38</v>
      </c>
      <c r="O13" s="65"/>
      <c r="P13" s="66">
        <f t="shared" si="4"/>
        <v>5</v>
      </c>
      <c r="Q13" s="5"/>
      <c r="R13" s="98">
        <f t="shared" si="5"/>
        <v>0.588799999999992</v>
      </c>
      <c r="S13" s="99">
        <f t="shared" si="6"/>
        <v>141.9674</v>
      </c>
      <c r="T13" s="6"/>
      <c r="U13" s="103"/>
      <c r="X13" s="4"/>
    </row>
    <row r="14" spans="3:24" ht="15.6" customHeight="1" x14ac:dyDescent="0.3">
      <c r="C14" s="54">
        <v>6</v>
      </c>
      <c r="D14" s="55">
        <v>142.54300000000001</v>
      </c>
      <c r="E14" s="56">
        <v>0</v>
      </c>
      <c r="F14" s="56">
        <v>0</v>
      </c>
      <c r="G14" s="55">
        <v>142.54300000000001</v>
      </c>
      <c r="H14" s="56">
        <f t="shared" si="7"/>
        <v>0</v>
      </c>
      <c r="I14" s="56">
        <f t="shared" si="8"/>
        <v>0</v>
      </c>
      <c r="J14" s="55">
        <v>142.54300000000001</v>
      </c>
      <c r="K14" s="55">
        <v>142.53299999999999</v>
      </c>
      <c r="L14" s="56">
        <f t="shared" si="2"/>
        <v>0</v>
      </c>
      <c r="M14" s="56">
        <f t="shared" si="3"/>
        <v>0</v>
      </c>
      <c r="N14" s="56" t="s">
        <v>36</v>
      </c>
      <c r="O14" s="56"/>
      <c r="P14" s="57">
        <f t="shared" si="4"/>
        <v>6</v>
      </c>
      <c r="Q14" s="5"/>
      <c r="R14" s="98">
        <f t="shared" si="5"/>
        <v>-1.0000000000019327E-2</v>
      </c>
      <c r="S14" s="99">
        <f t="shared" si="6"/>
        <v>142.5558</v>
      </c>
      <c r="T14" s="6"/>
      <c r="U14" s="103"/>
    </row>
    <row r="15" spans="3:24" ht="15.6" customHeight="1" x14ac:dyDescent="0.3">
      <c r="C15" s="49">
        <v>7</v>
      </c>
      <c r="D15" s="50">
        <v>142.5496</v>
      </c>
      <c r="E15" s="51">
        <v>0</v>
      </c>
      <c r="F15" s="51">
        <v>0</v>
      </c>
      <c r="G15" s="52">
        <v>142.54939999999999</v>
      </c>
      <c r="H15" s="51">
        <f>(G15-D15)*1000</f>
        <v>-0.20000000000663931</v>
      </c>
      <c r="I15" s="51">
        <f>F15+H15</f>
        <v>-0.20000000000663931</v>
      </c>
      <c r="J15" s="100">
        <v>142.54939999999999</v>
      </c>
      <c r="K15" s="52">
        <v>142.2886</v>
      </c>
      <c r="L15" s="51">
        <f>(J15-G15)*1000</f>
        <v>0</v>
      </c>
      <c r="M15" s="51">
        <f>I15+L15</f>
        <v>-0.20000000000663931</v>
      </c>
      <c r="N15" s="51" t="s">
        <v>35</v>
      </c>
      <c r="O15" s="51"/>
      <c r="P15" s="53">
        <f t="shared" si="4"/>
        <v>7</v>
      </c>
      <c r="Q15" s="5"/>
      <c r="R15" s="98">
        <f t="shared" si="5"/>
        <v>-0.26079999999998904</v>
      </c>
      <c r="S15" s="99">
        <f t="shared" si="6"/>
        <v>142.56219999999999</v>
      </c>
      <c r="T15" s="44"/>
      <c r="U15" s="103"/>
    </row>
    <row r="16" spans="3:24" ht="15.6" customHeight="1" x14ac:dyDescent="0.3">
      <c r="C16" s="54">
        <v>8</v>
      </c>
      <c r="D16" s="55">
        <v>142.53299999999999</v>
      </c>
      <c r="E16" s="56">
        <v>0</v>
      </c>
      <c r="F16" s="56">
        <v>0</v>
      </c>
      <c r="G16" s="55">
        <v>142.53289999999998</v>
      </c>
      <c r="H16" s="56">
        <f t="shared" ref="H16:H18" si="9">(G16-D16)*1000</f>
        <v>-0.10000000000331966</v>
      </c>
      <c r="I16" s="56">
        <f t="shared" ref="I16:I18" si="10">F16+H16</f>
        <v>-0.10000000000331966</v>
      </c>
      <c r="J16" s="55">
        <v>142.53289999999998</v>
      </c>
      <c r="K16" s="55">
        <v>142.2749</v>
      </c>
      <c r="L16" s="56">
        <f t="shared" ref="L16:L25" si="11">(J16-G16)*1000</f>
        <v>0</v>
      </c>
      <c r="M16" s="56">
        <f t="shared" ref="M16:M25" si="12">I16+L16</f>
        <v>-0.10000000000331966</v>
      </c>
      <c r="N16" s="56" t="s">
        <v>36</v>
      </c>
      <c r="O16" s="56"/>
      <c r="P16" s="57">
        <f t="shared" si="4"/>
        <v>8</v>
      </c>
      <c r="Q16" s="5"/>
      <c r="R16" s="98">
        <f t="shared" si="5"/>
        <v>-0.25799999999998136</v>
      </c>
      <c r="S16" s="99">
        <f t="shared" si="6"/>
        <v>142.54569999999998</v>
      </c>
      <c r="T16" s="6"/>
      <c r="U16" s="103"/>
      <c r="X16" s="4"/>
    </row>
    <row r="17" spans="3:24" ht="15.6" customHeight="1" x14ac:dyDescent="0.3">
      <c r="C17" s="63">
        <v>9</v>
      </c>
      <c r="D17" s="64">
        <v>142.28960000000001</v>
      </c>
      <c r="E17" s="65">
        <v>0</v>
      </c>
      <c r="F17" s="65">
        <v>0</v>
      </c>
      <c r="G17" s="64">
        <v>142.28919999999999</v>
      </c>
      <c r="H17" s="65">
        <f t="shared" si="9"/>
        <v>-0.40000000001327862</v>
      </c>
      <c r="I17" s="65">
        <f t="shared" si="10"/>
        <v>-0.40000000001327862</v>
      </c>
      <c r="J17" s="64">
        <v>142.28919999999999</v>
      </c>
      <c r="K17" s="64">
        <v>142.25649999999999</v>
      </c>
      <c r="L17" s="65">
        <f t="shared" si="11"/>
        <v>0</v>
      </c>
      <c r="M17" s="65">
        <f t="shared" si="12"/>
        <v>-0.40000000001327862</v>
      </c>
      <c r="N17" s="65" t="s">
        <v>38</v>
      </c>
      <c r="O17" s="65"/>
      <c r="P17" s="66">
        <f t="shared" si="4"/>
        <v>9</v>
      </c>
      <c r="Q17" s="43"/>
      <c r="R17" s="98">
        <f t="shared" si="5"/>
        <v>-3.2700000000005502E-2</v>
      </c>
      <c r="S17" s="99">
        <f t="shared" si="6"/>
        <v>142.30199999999999</v>
      </c>
      <c r="T17" s="6"/>
      <c r="U17" s="103"/>
      <c r="X17" s="4"/>
    </row>
    <row r="18" spans="3:24" ht="15.6" customHeight="1" x14ac:dyDescent="0.3">
      <c r="C18" s="63">
        <v>10</v>
      </c>
      <c r="D18" s="64">
        <v>142.2748</v>
      </c>
      <c r="E18" s="65">
        <v>0</v>
      </c>
      <c r="F18" s="65">
        <v>0</v>
      </c>
      <c r="G18" s="64">
        <v>142.27449999999999</v>
      </c>
      <c r="H18" s="65">
        <f t="shared" si="9"/>
        <v>-0.30000000000995897</v>
      </c>
      <c r="I18" s="65">
        <f t="shared" si="10"/>
        <v>-0.30000000000995897</v>
      </c>
      <c r="J18" s="64">
        <v>142.27449999999999</v>
      </c>
      <c r="K18" s="107">
        <v>142.47120000000001</v>
      </c>
      <c r="L18" s="65">
        <f t="shared" si="11"/>
        <v>0</v>
      </c>
      <c r="M18" s="65">
        <f t="shared" si="12"/>
        <v>-0.30000000000995897</v>
      </c>
      <c r="N18" s="65" t="s">
        <v>38</v>
      </c>
      <c r="O18" s="65"/>
      <c r="P18" s="66">
        <f t="shared" si="4"/>
        <v>10</v>
      </c>
      <c r="Q18" s="43"/>
      <c r="R18" s="98">
        <f t="shared" si="5"/>
        <v>0.19670000000002119</v>
      </c>
      <c r="S18" s="99">
        <f t="shared" si="6"/>
        <v>142.28729999999999</v>
      </c>
      <c r="U18" s="103"/>
      <c r="X18" s="4"/>
    </row>
    <row r="19" spans="3:24" ht="15.6" customHeight="1" x14ac:dyDescent="0.3">
      <c r="C19" s="54">
        <v>11</v>
      </c>
      <c r="D19" s="55">
        <v>142.25640000000001</v>
      </c>
      <c r="E19" s="56">
        <v>0</v>
      </c>
      <c r="F19" s="56">
        <v>0</v>
      </c>
      <c r="G19" s="55">
        <v>142.25660000000002</v>
      </c>
      <c r="H19" s="56">
        <f t="shared" ref="H19" si="13">(G19-D19)*1000</f>
        <v>0.20000000000663931</v>
      </c>
      <c r="I19" s="56">
        <f t="shared" ref="I19" si="14">F19+H19</f>
        <v>0.20000000000663931</v>
      </c>
      <c r="J19" s="55">
        <v>142.25660000000002</v>
      </c>
      <c r="K19" s="55">
        <v>142.84119999999999</v>
      </c>
      <c r="L19" s="56">
        <f t="shared" si="11"/>
        <v>0</v>
      </c>
      <c r="M19" s="56">
        <f t="shared" si="12"/>
        <v>0.20000000000663931</v>
      </c>
      <c r="N19" s="56" t="s">
        <v>36</v>
      </c>
      <c r="O19" s="56"/>
      <c r="P19" s="57">
        <f t="shared" si="4"/>
        <v>11</v>
      </c>
      <c r="Q19" s="43"/>
      <c r="R19" s="98">
        <f t="shared" si="5"/>
        <v>0.58459999999996626</v>
      </c>
      <c r="S19" s="99">
        <f t="shared" si="6"/>
        <v>142.26940000000002</v>
      </c>
      <c r="U19" s="103"/>
    </row>
    <row r="20" spans="3:24" ht="15.6" customHeight="1" x14ac:dyDescent="0.3">
      <c r="C20" s="54">
        <v>12</v>
      </c>
      <c r="D20" s="55">
        <v>142.4717</v>
      </c>
      <c r="E20" s="56">
        <v>0</v>
      </c>
      <c r="F20" s="56">
        <v>0</v>
      </c>
      <c r="G20" s="58">
        <v>142.47149999999999</v>
      </c>
      <c r="H20" s="56">
        <f t="shared" ref="H20" si="15">(G20-D20)*1000</f>
        <v>-0.20000000000663931</v>
      </c>
      <c r="I20" s="56">
        <f t="shared" ref="I20" si="16">F20+H20</f>
        <v>-0.20000000000663931</v>
      </c>
      <c r="J20" s="108">
        <v>142.47149999999999</v>
      </c>
      <c r="K20" s="58">
        <v>142.49760000000001</v>
      </c>
      <c r="L20" s="56">
        <f t="shared" si="11"/>
        <v>0</v>
      </c>
      <c r="M20" s="56">
        <f t="shared" si="12"/>
        <v>-0.20000000000663931</v>
      </c>
      <c r="N20" s="56" t="s">
        <v>36</v>
      </c>
      <c r="O20" s="56"/>
      <c r="P20" s="57">
        <f t="shared" si="4"/>
        <v>12</v>
      </c>
      <c r="Q20" s="43"/>
      <c r="R20" s="98">
        <f t="shared" si="5"/>
        <v>2.6100000000013779E-2</v>
      </c>
      <c r="S20" s="99">
        <f t="shared" si="6"/>
        <v>142.48429999999999</v>
      </c>
      <c r="U20" s="103"/>
      <c r="X20" s="4"/>
    </row>
    <row r="21" spans="3:24" ht="15.6" customHeight="1" x14ac:dyDescent="0.3">
      <c r="C21" s="63">
        <v>13</v>
      </c>
      <c r="D21" s="64">
        <v>142.84180000000001</v>
      </c>
      <c r="E21" s="65">
        <v>0</v>
      </c>
      <c r="F21" s="65">
        <v>0</v>
      </c>
      <c r="G21" s="67">
        <v>142.84200000000001</v>
      </c>
      <c r="H21" s="65">
        <f t="shared" ref="H21:H30" si="17">(G21-D21)*1000</f>
        <v>0.20000000000663931</v>
      </c>
      <c r="I21" s="65">
        <f t="shared" ref="I21:I30" si="18">F21+H21</f>
        <v>0.20000000000663931</v>
      </c>
      <c r="J21" s="102">
        <v>142.84200000000001</v>
      </c>
      <c r="K21" s="67">
        <v>142.62710000000001</v>
      </c>
      <c r="L21" s="65">
        <f t="shared" si="11"/>
        <v>0</v>
      </c>
      <c r="M21" s="65">
        <f t="shared" si="12"/>
        <v>0.20000000000663931</v>
      </c>
      <c r="N21" s="65" t="s">
        <v>38</v>
      </c>
      <c r="O21" s="65"/>
      <c r="P21" s="66">
        <f t="shared" si="4"/>
        <v>13</v>
      </c>
      <c r="Q21" s="43"/>
      <c r="R21" s="98">
        <f t="shared" si="5"/>
        <v>-0.21490000000000009</v>
      </c>
      <c r="S21" s="99">
        <f t="shared" si="6"/>
        <v>142.85480000000001</v>
      </c>
      <c r="T21" s="17"/>
      <c r="U21" s="103"/>
    </row>
    <row r="22" spans="3:24" ht="15.6" customHeight="1" x14ac:dyDescent="0.3">
      <c r="C22" s="54">
        <v>14</v>
      </c>
      <c r="D22" s="55">
        <v>142.49600000000001</v>
      </c>
      <c r="E22" s="56">
        <v>0</v>
      </c>
      <c r="F22" s="56">
        <v>0</v>
      </c>
      <c r="G22" s="58">
        <v>142.49620000000002</v>
      </c>
      <c r="H22" s="56">
        <f t="shared" si="17"/>
        <v>0.20000000000663931</v>
      </c>
      <c r="I22" s="56">
        <f t="shared" si="18"/>
        <v>0.20000000000663931</v>
      </c>
      <c r="J22" s="101">
        <v>142.49620000000002</v>
      </c>
      <c r="K22" s="58">
        <v>142.48920000000001</v>
      </c>
      <c r="L22" s="56">
        <f t="shared" si="11"/>
        <v>0</v>
      </c>
      <c r="M22" s="56">
        <f t="shared" si="12"/>
        <v>0.20000000000663931</v>
      </c>
      <c r="N22" s="56" t="s">
        <v>36</v>
      </c>
      <c r="O22" s="56"/>
      <c r="P22" s="57">
        <f t="shared" si="4"/>
        <v>14</v>
      </c>
      <c r="Q22" s="43"/>
      <c r="R22" s="98">
        <f t="shared" si="5"/>
        <v>-7.0000000000050022E-3</v>
      </c>
      <c r="S22" s="99">
        <f t="shared" si="6"/>
        <v>142.50900000000001</v>
      </c>
      <c r="U22" s="103"/>
    </row>
    <row r="23" spans="3:24" ht="15.6" customHeight="1" x14ac:dyDescent="0.3">
      <c r="C23" s="54">
        <v>15</v>
      </c>
      <c r="D23" s="55">
        <v>142.6268</v>
      </c>
      <c r="E23" s="56">
        <v>0</v>
      </c>
      <c r="F23" s="56">
        <v>0</v>
      </c>
      <c r="G23" s="58">
        <v>142.62690000000001</v>
      </c>
      <c r="H23" s="56">
        <f t="shared" si="17"/>
        <v>0.10000000000331966</v>
      </c>
      <c r="I23" s="56">
        <f t="shared" si="18"/>
        <v>0.10000000000331966</v>
      </c>
      <c r="J23" s="101">
        <v>142.62690000000001</v>
      </c>
      <c r="K23" s="58">
        <v>142.5411</v>
      </c>
      <c r="L23" s="56">
        <f t="shared" si="11"/>
        <v>0</v>
      </c>
      <c r="M23" s="56">
        <f t="shared" si="12"/>
        <v>0.10000000000331966</v>
      </c>
      <c r="N23" s="56" t="s">
        <v>36</v>
      </c>
      <c r="O23" s="56"/>
      <c r="P23" s="57">
        <f t="shared" si="4"/>
        <v>15</v>
      </c>
      <c r="Q23" s="43"/>
      <c r="R23" s="98">
        <f t="shared" si="5"/>
        <v>-8.5800000000006094E-2</v>
      </c>
      <c r="S23" s="99">
        <f t="shared" si="6"/>
        <v>142.6397</v>
      </c>
      <c r="U23" s="103"/>
      <c r="V23" s="17"/>
      <c r="W23" s="17"/>
    </row>
    <row r="24" spans="3:24" ht="15.6" customHeight="1" x14ac:dyDescent="0.3">
      <c r="C24" s="54">
        <v>16</v>
      </c>
      <c r="D24" s="55">
        <v>142.49160000000001</v>
      </c>
      <c r="E24" s="56">
        <v>0</v>
      </c>
      <c r="F24" s="56">
        <v>0</v>
      </c>
      <c r="G24" s="58">
        <v>142.49119999999999</v>
      </c>
      <c r="H24" s="56">
        <f t="shared" si="17"/>
        <v>-0.40000000001327862</v>
      </c>
      <c r="I24" s="56">
        <f t="shared" si="18"/>
        <v>-0.40000000001327862</v>
      </c>
      <c r="J24" s="101">
        <v>142.49119999999999</v>
      </c>
      <c r="K24" s="58">
        <v>142.5574</v>
      </c>
      <c r="L24" s="56">
        <f t="shared" si="11"/>
        <v>0</v>
      </c>
      <c r="M24" s="56">
        <f t="shared" si="12"/>
        <v>-0.40000000001327862</v>
      </c>
      <c r="N24" s="56" t="s">
        <v>36</v>
      </c>
      <c r="O24" s="56"/>
      <c r="P24" s="57">
        <f t="shared" si="4"/>
        <v>16</v>
      </c>
      <c r="Q24" s="43"/>
      <c r="R24" s="98">
        <f t="shared" si="5"/>
        <v>6.620000000000914E-2</v>
      </c>
      <c r="S24" s="99">
        <f t="shared" si="6"/>
        <v>142.50399999999999</v>
      </c>
      <c r="U24" s="103"/>
    </row>
    <row r="25" spans="3:24" ht="15.6" customHeight="1" x14ac:dyDescent="0.3">
      <c r="C25" s="54">
        <v>17</v>
      </c>
      <c r="D25" s="55">
        <v>142.54169999999999</v>
      </c>
      <c r="E25" s="56">
        <v>0</v>
      </c>
      <c r="F25" s="56">
        <v>0</v>
      </c>
      <c r="G25" s="58">
        <v>142.54179999999999</v>
      </c>
      <c r="H25" s="56">
        <f t="shared" si="17"/>
        <v>0.10000000000331966</v>
      </c>
      <c r="I25" s="56">
        <f t="shared" si="18"/>
        <v>0.10000000000331966</v>
      </c>
      <c r="J25" s="101">
        <v>142.54179999999999</v>
      </c>
      <c r="K25" s="58">
        <v>142.54329999999999</v>
      </c>
      <c r="L25" s="56">
        <f t="shared" si="11"/>
        <v>0</v>
      </c>
      <c r="M25" s="56">
        <f t="shared" si="12"/>
        <v>0.10000000000331966</v>
      </c>
      <c r="N25" s="56" t="s">
        <v>36</v>
      </c>
      <c r="O25" s="56"/>
      <c r="P25" s="57">
        <f t="shared" si="4"/>
        <v>17</v>
      </c>
      <c r="Q25" s="43"/>
      <c r="R25" s="98">
        <f t="shared" si="5"/>
        <v>1.4999999999929514E-3</v>
      </c>
      <c r="S25" s="99">
        <f t="shared" si="6"/>
        <v>142.55459999999999</v>
      </c>
      <c r="U25" s="103"/>
    </row>
    <row r="26" spans="3:24" ht="15.6" customHeight="1" x14ac:dyDescent="0.3">
      <c r="C26" s="49">
        <v>18</v>
      </c>
      <c r="D26" s="50">
        <v>142.84180000000001</v>
      </c>
      <c r="E26" s="51">
        <v>0</v>
      </c>
      <c r="F26" s="51">
        <v>0</v>
      </c>
      <c r="G26" s="52">
        <v>142.84200000000001</v>
      </c>
      <c r="H26" s="51">
        <f>(G26-D26)*1000</f>
        <v>0.20000000000663931</v>
      </c>
      <c r="I26" s="51">
        <f>F26+H26</f>
        <v>0.20000000000663931</v>
      </c>
      <c r="J26" s="100">
        <v>142.84200000000001</v>
      </c>
      <c r="K26" s="52">
        <v>142.488</v>
      </c>
      <c r="L26" s="51">
        <f>(J26-G26)*1000</f>
        <v>0</v>
      </c>
      <c r="M26" s="51">
        <f>I26+L26</f>
        <v>0.20000000000663931</v>
      </c>
      <c r="N26" s="51" t="s">
        <v>35</v>
      </c>
      <c r="O26" s="51"/>
      <c r="P26" s="53">
        <f t="shared" si="4"/>
        <v>18</v>
      </c>
      <c r="Q26" s="43"/>
      <c r="R26" s="98">
        <f t="shared" si="5"/>
        <v>-0.35400000000001342</v>
      </c>
      <c r="S26" s="99">
        <f t="shared" si="6"/>
        <v>142.85480000000001</v>
      </c>
      <c r="U26" s="103"/>
    </row>
    <row r="27" spans="3:24" ht="15.6" customHeight="1" x14ac:dyDescent="0.3">
      <c r="C27" s="54">
        <v>19</v>
      </c>
      <c r="D27" s="55">
        <v>142.55770000000001</v>
      </c>
      <c r="E27" s="56">
        <v>0</v>
      </c>
      <c r="F27" s="56">
        <v>0</v>
      </c>
      <c r="G27" s="58">
        <v>142.5575</v>
      </c>
      <c r="H27" s="56">
        <f t="shared" si="17"/>
        <v>-0.20000000000663931</v>
      </c>
      <c r="I27" s="56">
        <f t="shared" si="18"/>
        <v>-0.20000000000663931</v>
      </c>
      <c r="J27" s="101">
        <v>142.5575</v>
      </c>
      <c r="K27" s="58">
        <v>142.49600000000001</v>
      </c>
      <c r="L27" s="56">
        <f t="shared" ref="L27:L31" si="19">(J27-G27)*1000</f>
        <v>0</v>
      </c>
      <c r="M27" s="56">
        <f t="shared" ref="M27:M31" si="20">I27+L27</f>
        <v>-0.20000000000663931</v>
      </c>
      <c r="N27" s="56" t="s">
        <v>36</v>
      </c>
      <c r="O27" s="56"/>
      <c r="P27" s="57">
        <f t="shared" si="4"/>
        <v>19</v>
      </c>
      <c r="Q27" s="43"/>
      <c r="R27" s="98">
        <f t="shared" si="5"/>
        <v>-6.1499999999995225E-2</v>
      </c>
      <c r="S27" s="99">
        <f t="shared" si="6"/>
        <v>142.5703</v>
      </c>
      <c r="U27" s="103"/>
    </row>
    <row r="28" spans="3:24" ht="15.6" customHeight="1" x14ac:dyDescent="0.3">
      <c r="C28" s="63">
        <v>20</v>
      </c>
      <c r="D28" s="64">
        <v>142.54470000000001</v>
      </c>
      <c r="E28" s="65">
        <v>0</v>
      </c>
      <c r="F28" s="65">
        <v>0</v>
      </c>
      <c r="G28" s="67">
        <v>142.54490000000001</v>
      </c>
      <c r="H28" s="65">
        <f t="shared" si="17"/>
        <v>0.20000000000663931</v>
      </c>
      <c r="I28" s="65">
        <f t="shared" si="18"/>
        <v>0.20000000000663931</v>
      </c>
      <c r="J28" s="102">
        <v>142.54490000000001</v>
      </c>
      <c r="K28" s="67">
        <v>142.6497</v>
      </c>
      <c r="L28" s="65">
        <f t="shared" si="19"/>
        <v>0</v>
      </c>
      <c r="M28" s="65">
        <f t="shared" si="20"/>
        <v>0.20000000000663931</v>
      </c>
      <c r="N28" s="65" t="s">
        <v>38</v>
      </c>
      <c r="O28" s="65"/>
      <c r="P28" s="66">
        <f t="shared" si="4"/>
        <v>20</v>
      </c>
      <c r="Q28" s="43"/>
      <c r="R28" s="98">
        <f t="shared" si="5"/>
        <v>0.10479999999998313</v>
      </c>
      <c r="S28" s="99">
        <f t="shared" si="6"/>
        <v>142.55770000000001</v>
      </c>
      <c r="U28" s="103"/>
    </row>
    <row r="29" spans="3:24" ht="15.6" customHeight="1" x14ac:dyDescent="0.3">
      <c r="C29" s="63">
        <v>21</v>
      </c>
      <c r="D29" s="64">
        <v>142.4879</v>
      </c>
      <c r="E29" s="65">
        <v>0</v>
      </c>
      <c r="F29" s="65">
        <v>0</v>
      </c>
      <c r="G29" s="67">
        <v>142.48749999999998</v>
      </c>
      <c r="H29" s="65">
        <f t="shared" si="17"/>
        <v>-0.40000000001327862</v>
      </c>
      <c r="I29" s="65">
        <f t="shared" si="18"/>
        <v>-0.40000000001327862</v>
      </c>
      <c r="J29" s="102">
        <v>142.48749999999998</v>
      </c>
      <c r="K29" s="67">
        <v>141.99590000000001</v>
      </c>
      <c r="L29" s="65">
        <f t="shared" si="19"/>
        <v>0</v>
      </c>
      <c r="M29" s="65">
        <f t="shared" si="20"/>
        <v>-0.40000000001327862</v>
      </c>
      <c r="N29" s="65" t="s">
        <v>38</v>
      </c>
      <c r="O29" s="65"/>
      <c r="P29" s="66">
        <f t="shared" si="4"/>
        <v>21</v>
      </c>
      <c r="Q29" s="43"/>
      <c r="R29" s="98">
        <f t="shared" si="5"/>
        <v>-0.49159999999997694</v>
      </c>
      <c r="S29" s="99">
        <f t="shared" si="6"/>
        <v>142.50029999999998</v>
      </c>
      <c r="U29" s="103"/>
    </row>
    <row r="30" spans="3:24" ht="15.6" customHeight="1" x14ac:dyDescent="0.3">
      <c r="C30" s="63">
        <v>22</v>
      </c>
      <c r="D30" s="64">
        <v>142.49600000000001</v>
      </c>
      <c r="E30" s="65">
        <v>0</v>
      </c>
      <c r="F30" s="65">
        <v>0</v>
      </c>
      <c r="G30" s="67">
        <v>142.4957</v>
      </c>
      <c r="H30" s="65">
        <f t="shared" si="17"/>
        <v>-0.30000000000995897</v>
      </c>
      <c r="I30" s="65">
        <f t="shared" si="18"/>
        <v>-0.30000000000995897</v>
      </c>
      <c r="J30" s="102">
        <v>142.4957</v>
      </c>
      <c r="K30" s="67">
        <v>142.55080000000001</v>
      </c>
      <c r="L30" s="65">
        <f t="shared" si="19"/>
        <v>0</v>
      </c>
      <c r="M30" s="65">
        <f t="shared" si="20"/>
        <v>-0.30000000000995897</v>
      </c>
      <c r="N30" s="65" t="s">
        <v>38</v>
      </c>
      <c r="O30" s="65"/>
      <c r="P30" s="66">
        <f t="shared" si="4"/>
        <v>22</v>
      </c>
      <c r="Q30" s="43"/>
      <c r="R30" s="98">
        <f t="shared" si="5"/>
        <v>5.5100000000010141E-2</v>
      </c>
      <c r="S30" s="99">
        <f t="shared" si="6"/>
        <v>142.5085</v>
      </c>
      <c r="U30" s="103"/>
    </row>
    <row r="31" spans="3:24" ht="15.6" customHeight="1" x14ac:dyDescent="0.3">
      <c r="C31" s="54">
        <v>23</v>
      </c>
      <c r="D31" s="55">
        <v>142.6498</v>
      </c>
      <c r="E31" s="56">
        <v>0</v>
      </c>
      <c r="F31" s="56">
        <v>0</v>
      </c>
      <c r="G31" s="58">
        <v>142.6499</v>
      </c>
      <c r="H31" s="56">
        <f t="shared" ref="H31" si="21">(G31-D31)*1000</f>
        <v>0.10000000000331966</v>
      </c>
      <c r="I31" s="56">
        <f t="shared" ref="I31" si="22">F31+H31</f>
        <v>0.10000000000331966</v>
      </c>
      <c r="J31" s="101">
        <v>142.6499</v>
      </c>
      <c r="K31" s="58">
        <v>142.84289999999999</v>
      </c>
      <c r="L31" s="56">
        <f t="shared" si="19"/>
        <v>0</v>
      </c>
      <c r="M31" s="56">
        <f t="shared" si="20"/>
        <v>0.10000000000331966</v>
      </c>
      <c r="N31" s="56" t="s">
        <v>36</v>
      </c>
      <c r="O31" s="56"/>
      <c r="P31" s="57">
        <f t="shared" si="4"/>
        <v>23</v>
      </c>
      <c r="R31" s="98">
        <f t="shared" si="5"/>
        <v>0.19299999999998363</v>
      </c>
      <c r="S31" s="99">
        <f t="shared" si="6"/>
        <v>142.6627</v>
      </c>
      <c r="U31" s="103"/>
    </row>
  </sheetData>
  <sortState xmlns:xlrd2="http://schemas.microsoft.com/office/spreadsheetml/2017/richdata2" ref="U12:X27">
    <sortCondition ref="U12"/>
  </sortState>
  <mergeCells count="10">
    <mergeCell ref="C4:P4"/>
    <mergeCell ref="C5:P5"/>
    <mergeCell ref="C6:P6"/>
    <mergeCell ref="C7:C8"/>
    <mergeCell ref="D7:F7"/>
    <mergeCell ref="P7:P8"/>
    <mergeCell ref="G7:I7"/>
    <mergeCell ref="O7:O8"/>
    <mergeCell ref="N7:N8"/>
    <mergeCell ref="J7:M7"/>
  </mergeCells>
  <pageMargins left="0.7" right="0.7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инженерка нов</vt:lpstr>
      <vt:lpstr>котлован</vt:lpstr>
      <vt:lpstr>корп. 3, 4, 5</vt:lpstr>
      <vt:lpstr>корп. 6</vt:lpstr>
      <vt:lpstr>корп. 2</vt:lpstr>
      <vt:lpstr>репера</vt:lpstr>
      <vt:lpstr>инженерка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A102</dc:creator>
  <cp:lastModifiedBy>Fantomik3</cp:lastModifiedBy>
  <cp:lastPrinted>2020-11-03T07:23:30Z</cp:lastPrinted>
  <dcterms:created xsi:type="dcterms:W3CDTF">2020-02-05T06:47:26Z</dcterms:created>
  <dcterms:modified xsi:type="dcterms:W3CDTF">2025-10-06T12:37:17Z</dcterms:modified>
</cp:coreProperties>
</file>