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O:\1_Геофундамент 2020\3.2 Геофундамент отчеты\2023_Б_Очаковская\измерения\"/>
    </mc:Choice>
  </mc:AlternateContent>
  <bookViews>
    <workbookView xWindow="-105" yWindow="-105" windowWidth="30930" windowHeight="16890" activeTab="3"/>
  </bookViews>
  <sheets>
    <sheet name="окр2дома" sheetId="6" r:id="rId1"/>
    <sheet name="ОКРУЖАЙКА" sheetId="1" r:id="rId2"/>
    <sheet name="ИНЖЕНЕРНЫЕ КОММУНИКАЦИИ" sheetId="3" r:id="rId3"/>
    <sheet name="КОТЛОВАН" sheetId="5" r:id="rId4"/>
    <sheet name="РЕПЕРА" sheetId="4" r:id="rId5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W38" i="6" l="1"/>
  <c r="BT38" i="6"/>
  <c r="BQ38" i="6"/>
  <c r="BN38" i="6"/>
  <c r="BK38" i="6"/>
  <c r="BH38" i="6"/>
  <c r="BE38" i="6"/>
  <c r="BB38" i="6"/>
  <c r="AY38" i="6"/>
  <c r="AV38" i="6"/>
  <c r="AS38" i="6"/>
  <c r="AP38" i="6"/>
  <c r="AM38" i="6"/>
  <c r="AJ38" i="6"/>
  <c r="AG38" i="6"/>
  <c r="AD38" i="6"/>
  <c r="AA38" i="6"/>
  <c r="X38" i="6"/>
  <c r="U38" i="6"/>
  <c r="R38" i="6"/>
  <c r="O38" i="6"/>
  <c r="L38" i="6"/>
  <c r="I38" i="6"/>
  <c r="G38" i="6"/>
  <c r="J38" i="6" s="1"/>
  <c r="M38" i="6" s="1"/>
  <c r="P38" i="6" s="1"/>
  <c r="S38" i="6" s="1"/>
  <c r="V38" i="6" s="1"/>
  <c r="Y38" i="6" s="1"/>
  <c r="AB38" i="6" s="1"/>
  <c r="AE38" i="6" s="1"/>
  <c r="AH38" i="6" s="1"/>
  <c r="AK38" i="6" s="1"/>
  <c r="AN38" i="6" s="1"/>
  <c r="AQ38" i="6" s="1"/>
  <c r="AT38" i="6" s="1"/>
  <c r="AW38" i="6" s="1"/>
  <c r="AZ38" i="6" s="1"/>
  <c r="BC38" i="6" s="1"/>
  <c r="BF38" i="6" s="1"/>
  <c r="BI38" i="6" s="1"/>
  <c r="BL38" i="6" s="1"/>
  <c r="BO38" i="6" s="1"/>
  <c r="BR38" i="6" s="1"/>
  <c r="BU38" i="6" s="1"/>
  <c r="BX38" i="6" s="1"/>
  <c r="F38" i="6"/>
  <c r="BW37" i="6"/>
  <c r="BT37" i="6"/>
  <c r="BQ37" i="6"/>
  <c r="BN37" i="6"/>
  <c r="BK37" i="6"/>
  <c r="BH37" i="6"/>
  <c r="BE37" i="6"/>
  <c r="BB37" i="6"/>
  <c r="AY37" i="6"/>
  <c r="AV37" i="6"/>
  <c r="AS37" i="6"/>
  <c r="AP37" i="6"/>
  <c r="AM37" i="6"/>
  <c r="AJ37" i="6"/>
  <c r="AG37" i="6"/>
  <c r="AD37" i="6"/>
  <c r="AA37" i="6"/>
  <c r="X37" i="6"/>
  <c r="U37" i="6"/>
  <c r="R37" i="6"/>
  <c r="O37" i="6"/>
  <c r="L37" i="6"/>
  <c r="I37" i="6"/>
  <c r="G37" i="6"/>
  <c r="J37" i="6" s="1"/>
  <c r="M37" i="6" s="1"/>
  <c r="P37" i="6" s="1"/>
  <c r="S37" i="6" s="1"/>
  <c r="V37" i="6" s="1"/>
  <c r="Y37" i="6" s="1"/>
  <c r="AB37" i="6" s="1"/>
  <c r="AE37" i="6" s="1"/>
  <c r="AH37" i="6" s="1"/>
  <c r="AK37" i="6" s="1"/>
  <c r="AN37" i="6" s="1"/>
  <c r="AQ37" i="6" s="1"/>
  <c r="AT37" i="6" s="1"/>
  <c r="AW37" i="6" s="1"/>
  <c r="AZ37" i="6" s="1"/>
  <c r="BC37" i="6" s="1"/>
  <c r="BF37" i="6" s="1"/>
  <c r="BI37" i="6" s="1"/>
  <c r="BL37" i="6" s="1"/>
  <c r="BO37" i="6" s="1"/>
  <c r="BR37" i="6" s="1"/>
  <c r="BU37" i="6" s="1"/>
  <c r="BX37" i="6" s="1"/>
  <c r="CA35" i="6" s="1"/>
  <c r="F37" i="6"/>
  <c r="BW36" i="6"/>
  <c r="BT36" i="6"/>
  <c r="BQ36" i="6"/>
  <c r="BN36" i="6"/>
  <c r="BK36" i="6"/>
  <c r="BH36" i="6"/>
  <c r="BE36" i="6"/>
  <c r="BB36" i="6"/>
  <c r="AY36" i="6"/>
  <c r="AV36" i="6"/>
  <c r="AS36" i="6"/>
  <c r="AP36" i="6"/>
  <c r="AM36" i="6"/>
  <c r="AJ36" i="6"/>
  <c r="AG36" i="6"/>
  <c r="AD36" i="6"/>
  <c r="AA36" i="6"/>
  <c r="X36" i="6"/>
  <c r="U36" i="6"/>
  <c r="R36" i="6"/>
  <c r="O36" i="6"/>
  <c r="L36" i="6"/>
  <c r="I36" i="6"/>
  <c r="G36" i="6"/>
  <c r="J36" i="6" s="1"/>
  <c r="M36" i="6" s="1"/>
  <c r="P36" i="6" s="1"/>
  <c r="S36" i="6" s="1"/>
  <c r="V36" i="6" s="1"/>
  <c r="Y36" i="6" s="1"/>
  <c r="AB36" i="6" s="1"/>
  <c r="AE36" i="6" s="1"/>
  <c r="AH36" i="6" s="1"/>
  <c r="AK36" i="6" s="1"/>
  <c r="AN36" i="6" s="1"/>
  <c r="AQ36" i="6" s="1"/>
  <c r="AT36" i="6" s="1"/>
  <c r="AW36" i="6" s="1"/>
  <c r="AZ36" i="6" s="1"/>
  <c r="BC36" i="6" s="1"/>
  <c r="BF36" i="6" s="1"/>
  <c r="BI36" i="6" s="1"/>
  <c r="BL36" i="6" s="1"/>
  <c r="BO36" i="6" s="1"/>
  <c r="BR36" i="6" s="1"/>
  <c r="BU36" i="6" s="1"/>
  <c r="BX36" i="6" s="1"/>
  <c r="F36" i="6"/>
  <c r="BW35" i="6"/>
  <c r="BT35" i="6"/>
  <c r="BQ35" i="6"/>
  <c r="BN35" i="6"/>
  <c r="BK35" i="6"/>
  <c r="BH35" i="6"/>
  <c r="BE35" i="6"/>
  <c r="BB35" i="6"/>
  <c r="AY35" i="6"/>
  <c r="AV35" i="6"/>
  <c r="AS35" i="6"/>
  <c r="AP35" i="6"/>
  <c r="AM35" i="6"/>
  <c r="AJ35" i="6"/>
  <c r="AG35" i="6"/>
  <c r="AD35" i="6"/>
  <c r="AA35" i="6"/>
  <c r="X35" i="6"/>
  <c r="U35" i="6"/>
  <c r="R35" i="6"/>
  <c r="O35" i="6"/>
  <c r="L35" i="6"/>
  <c r="I35" i="6"/>
  <c r="J35" i="6" s="1"/>
  <c r="M35" i="6" s="1"/>
  <c r="P35" i="6" s="1"/>
  <c r="S35" i="6" s="1"/>
  <c r="V35" i="6" s="1"/>
  <c r="Y35" i="6" s="1"/>
  <c r="AB35" i="6" s="1"/>
  <c r="AE35" i="6" s="1"/>
  <c r="AH35" i="6" s="1"/>
  <c r="AK35" i="6" s="1"/>
  <c r="AN35" i="6" s="1"/>
  <c r="AQ35" i="6" s="1"/>
  <c r="AT35" i="6" s="1"/>
  <c r="AW35" i="6" s="1"/>
  <c r="AZ35" i="6" s="1"/>
  <c r="BC35" i="6" s="1"/>
  <c r="BF35" i="6" s="1"/>
  <c r="BI35" i="6" s="1"/>
  <c r="BL35" i="6" s="1"/>
  <c r="BO35" i="6" s="1"/>
  <c r="BR35" i="6" s="1"/>
  <c r="BU35" i="6" s="1"/>
  <c r="BX35" i="6" s="1"/>
  <c r="G35" i="6"/>
  <c r="F35" i="6"/>
  <c r="BW34" i="6"/>
  <c r="BT34" i="6"/>
  <c r="BQ34" i="6"/>
  <c r="BN34" i="6"/>
  <c r="BK34" i="6"/>
  <c r="BH34" i="6"/>
  <c r="BE34" i="6"/>
  <c r="BB34" i="6"/>
  <c r="AY34" i="6"/>
  <c r="AV34" i="6"/>
  <c r="AS34" i="6"/>
  <c r="AP34" i="6"/>
  <c r="AM34" i="6"/>
  <c r="AJ34" i="6"/>
  <c r="AG34" i="6"/>
  <c r="AD34" i="6"/>
  <c r="AA34" i="6"/>
  <c r="X34" i="6"/>
  <c r="U34" i="6"/>
  <c r="R34" i="6"/>
  <c r="O34" i="6"/>
  <c r="L34" i="6"/>
  <c r="I34" i="6"/>
  <c r="J34" i="6" s="1"/>
  <c r="M34" i="6" s="1"/>
  <c r="P34" i="6" s="1"/>
  <c r="S34" i="6" s="1"/>
  <c r="V34" i="6" s="1"/>
  <c r="Y34" i="6" s="1"/>
  <c r="AB34" i="6" s="1"/>
  <c r="AE34" i="6" s="1"/>
  <c r="AH34" i="6" s="1"/>
  <c r="AK34" i="6" s="1"/>
  <c r="AN34" i="6" s="1"/>
  <c r="AQ34" i="6" s="1"/>
  <c r="AT34" i="6" s="1"/>
  <c r="AW34" i="6" s="1"/>
  <c r="AZ34" i="6" s="1"/>
  <c r="BC34" i="6" s="1"/>
  <c r="BF34" i="6" s="1"/>
  <c r="BI34" i="6" s="1"/>
  <c r="BL34" i="6" s="1"/>
  <c r="BO34" i="6" s="1"/>
  <c r="BR34" i="6" s="1"/>
  <c r="BU34" i="6" s="1"/>
  <c r="BX34" i="6" s="1"/>
  <c r="G34" i="6"/>
  <c r="F34" i="6"/>
  <c r="BW33" i="6"/>
  <c r="BT33" i="6"/>
  <c r="BQ33" i="6"/>
  <c r="BN33" i="6"/>
  <c r="BK33" i="6"/>
  <c r="BH33" i="6"/>
  <c r="BE33" i="6"/>
  <c r="BB33" i="6"/>
  <c r="AY33" i="6"/>
  <c r="AV33" i="6"/>
  <c r="AS33" i="6"/>
  <c r="AP33" i="6"/>
  <c r="AM33" i="6"/>
  <c r="AJ33" i="6"/>
  <c r="AG33" i="6"/>
  <c r="AA33" i="6"/>
  <c r="X33" i="6"/>
  <c r="U33" i="6"/>
  <c r="R33" i="6"/>
  <c r="O33" i="6"/>
  <c r="L33" i="6"/>
  <c r="I33" i="6"/>
  <c r="G33" i="6"/>
  <c r="J33" i="6" s="1"/>
  <c r="M33" i="6" s="1"/>
  <c r="P33" i="6" s="1"/>
  <c r="S33" i="6" s="1"/>
  <c r="V33" i="6" s="1"/>
  <c r="Y33" i="6" s="1"/>
  <c r="AB33" i="6" s="1"/>
  <c r="AE33" i="6" s="1"/>
  <c r="AH33" i="6" s="1"/>
  <c r="AK33" i="6" s="1"/>
  <c r="AN33" i="6" s="1"/>
  <c r="AQ33" i="6" s="1"/>
  <c r="AT33" i="6" s="1"/>
  <c r="AW33" i="6" s="1"/>
  <c r="AZ33" i="6" s="1"/>
  <c r="BC33" i="6" s="1"/>
  <c r="BF33" i="6" s="1"/>
  <c r="BI33" i="6" s="1"/>
  <c r="BL33" i="6" s="1"/>
  <c r="BO33" i="6" s="1"/>
  <c r="BR33" i="6" s="1"/>
  <c r="BU33" i="6" s="1"/>
  <c r="BX33" i="6" s="1"/>
  <c r="F33" i="6"/>
  <c r="BW32" i="6"/>
  <c r="BT32" i="6"/>
  <c r="BQ32" i="6"/>
  <c r="BN32" i="6"/>
  <c r="BK32" i="6"/>
  <c r="BH32" i="6"/>
  <c r="BE32" i="6"/>
  <c r="BB32" i="6"/>
  <c r="AY32" i="6"/>
  <c r="AV32" i="6"/>
  <c r="AS32" i="6"/>
  <c r="AP32" i="6"/>
  <c r="AM32" i="6"/>
  <c r="AJ32" i="6"/>
  <c r="AG32" i="6"/>
  <c r="AD32" i="6"/>
  <c r="AA32" i="6"/>
  <c r="X32" i="6"/>
  <c r="U32" i="6"/>
  <c r="R32" i="6"/>
  <c r="O32" i="6"/>
  <c r="L32" i="6"/>
  <c r="I32" i="6"/>
  <c r="G32" i="6"/>
  <c r="J32" i="6" s="1"/>
  <c r="M32" i="6" s="1"/>
  <c r="P32" i="6" s="1"/>
  <c r="S32" i="6" s="1"/>
  <c r="V32" i="6" s="1"/>
  <c r="Y32" i="6" s="1"/>
  <c r="AB32" i="6" s="1"/>
  <c r="AE32" i="6" s="1"/>
  <c r="AH32" i="6" s="1"/>
  <c r="AK32" i="6" s="1"/>
  <c r="AN32" i="6" s="1"/>
  <c r="AQ32" i="6" s="1"/>
  <c r="AT32" i="6" s="1"/>
  <c r="AW32" i="6" s="1"/>
  <c r="AZ32" i="6" s="1"/>
  <c r="BC32" i="6" s="1"/>
  <c r="BF32" i="6" s="1"/>
  <c r="BI32" i="6" s="1"/>
  <c r="BL32" i="6" s="1"/>
  <c r="BO32" i="6" s="1"/>
  <c r="BR32" i="6" s="1"/>
  <c r="BU32" i="6" s="1"/>
  <c r="BX32" i="6" s="1"/>
  <c r="F32" i="6"/>
  <c r="BW31" i="6"/>
  <c r="BT31" i="6"/>
  <c r="BQ31" i="6"/>
  <c r="BN31" i="6"/>
  <c r="BK31" i="6"/>
  <c r="BH31" i="6"/>
  <c r="BE31" i="6"/>
  <c r="BB31" i="6"/>
  <c r="AY31" i="6"/>
  <c r="AV31" i="6"/>
  <c r="AS31" i="6"/>
  <c r="AP31" i="6"/>
  <c r="AM31" i="6"/>
  <c r="AJ31" i="6"/>
  <c r="AG31" i="6"/>
  <c r="AD31" i="6"/>
  <c r="AA31" i="6"/>
  <c r="X31" i="6"/>
  <c r="U31" i="6"/>
  <c r="R31" i="6"/>
  <c r="O31" i="6"/>
  <c r="L31" i="6"/>
  <c r="I31" i="6"/>
  <c r="G31" i="6"/>
  <c r="J31" i="6" s="1"/>
  <c r="M31" i="6" s="1"/>
  <c r="P31" i="6" s="1"/>
  <c r="S31" i="6" s="1"/>
  <c r="V31" i="6" s="1"/>
  <c r="Y31" i="6" s="1"/>
  <c r="AB31" i="6" s="1"/>
  <c r="AE31" i="6" s="1"/>
  <c r="AH31" i="6" s="1"/>
  <c r="AK31" i="6" s="1"/>
  <c r="AN31" i="6" s="1"/>
  <c r="AQ31" i="6" s="1"/>
  <c r="AT31" i="6" s="1"/>
  <c r="AW31" i="6" s="1"/>
  <c r="AZ31" i="6" s="1"/>
  <c r="BC31" i="6" s="1"/>
  <c r="BF31" i="6" s="1"/>
  <c r="BI31" i="6" s="1"/>
  <c r="BL31" i="6" s="1"/>
  <c r="BO31" i="6" s="1"/>
  <c r="BR31" i="6" s="1"/>
  <c r="BU31" i="6" s="1"/>
  <c r="BX31" i="6" s="1"/>
  <c r="F31" i="6"/>
  <c r="BY23" i="6"/>
  <c r="BW23" i="6"/>
  <c r="BT23" i="6"/>
  <c r="BQ23" i="6"/>
  <c r="BN23" i="6"/>
  <c r="BK23" i="6"/>
  <c r="BH23" i="6"/>
  <c r="BE23" i="6"/>
  <c r="BB23" i="6"/>
  <c r="AY23" i="6"/>
  <c r="AV23" i="6"/>
  <c r="AS23" i="6"/>
  <c r="AP23" i="6"/>
  <c r="AM23" i="6"/>
  <c r="AJ23" i="6"/>
  <c r="AG23" i="6"/>
  <c r="AD23" i="6"/>
  <c r="AA23" i="6"/>
  <c r="X23" i="6"/>
  <c r="U23" i="6"/>
  <c r="R23" i="6"/>
  <c r="O23" i="6"/>
  <c r="L23" i="6"/>
  <c r="I23" i="6"/>
  <c r="J23" i="6" s="1"/>
  <c r="M23" i="6" s="1"/>
  <c r="P23" i="6" s="1"/>
  <c r="S23" i="6" s="1"/>
  <c r="V23" i="6" s="1"/>
  <c r="Y23" i="6" s="1"/>
  <c r="AB23" i="6" s="1"/>
  <c r="AE23" i="6" s="1"/>
  <c r="AH23" i="6" s="1"/>
  <c r="AK23" i="6" s="1"/>
  <c r="AN23" i="6" s="1"/>
  <c r="AQ23" i="6" s="1"/>
  <c r="AT23" i="6" s="1"/>
  <c r="AW23" i="6" s="1"/>
  <c r="AZ23" i="6" s="1"/>
  <c r="BC23" i="6" s="1"/>
  <c r="BF23" i="6" s="1"/>
  <c r="BI23" i="6" s="1"/>
  <c r="BL23" i="6" s="1"/>
  <c r="BO23" i="6" s="1"/>
  <c r="BR23" i="6" s="1"/>
  <c r="BU23" i="6" s="1"/>
  <c r="BX23" i="6" s="1"/>
  <c r="G23" i="6"/>
  <c r="F23" i="6"/>
  <c r="BY22" i="6"/>
  <c r="BW22" i="6"/>
  <c r="BT22" i="6"/>
  <c r="BQ22" i="6"/>
  <c r="BN22" i="6"/>
  <c r="BK22" i="6"/>
  <c r="BH22" i="6"/>
  <c r="BE22" i="6"/>
  <c r="BB22" i="6"/>
  <c r="AY22" i="6"/>
  <c r="AV22" i="6"/>
  <c r="AS22" i="6"/>
  <c r="AP22" i="6"/>
  <c r="AM22" i="6"/>
  <c r="AJ22" i="6"/>
  <c r="AG22" i="6"/>
  <c r="AD22" i="6"/>
  <c r="AA22" i="6"/>
  <c r="X22" i="6"/>
  <c r="U22" i="6"/>
  <c r="R22" i="6"/>
  <c r="O22" i="6"/>
  <c r="L22" i="6"/>
  <c r="I22" i="6"/>
  <c r="F22" i="6"/>
  <c r="G22" i="6" s="1"/>
  <c r="J22" i="6" s="1"/>
  <c r="M22" i="6" s="1"/>
  <c r="P22" i="6" s="1"/>
  <c r="S22" i="6" s="1"/>
  <c r="V22" i="6" s="1"/>
  <c r="Y22" i="6" s="1"/>
  <c r="AB22" i="6" s="1"/>
  <c r="AE22" i="6" s="1"/>
  <c r="AH22" i="6" s="1"/>
  <c r="AK22" i="6" s="1"/>
  <c r="AN22" i="6" s="1"/>
  <c r="AQ22" i="6" s="1"/>
  <c r="AT22" i="6" s="1"/>
  <c r="AW22" i="6" s="1"/>
  <c r="AZ22" i="6" s="1"/>
  <c r="BC22" i="6" s="1"/>
  <c r="BF22" i="6" s="1"/>
  <c r="BI22" i="6" s="1"/>
  <c r="BL22" i="6" s="1"/>
  <c r="BO22" i="6" s="1"/>
  <c r="BR22" i="6" s="1"/>
  <c r="BU22" i="6" s="1"/>
  <c r="BX22" i="6" s="1"/>
  <c r="BY21" i="6"/>
  <c r="BW21" i="6"/>
  <c r="BT21" i="6"/>
  <c r="BQ21" i="6"/>
  <c r="BN21" i="6"/>
  <c r="BK21" i="6"/>
  <c r="BH21" i="6"/>
  <c r="BE21" i="6"/>
  <c r="BB21" i="6"/>
  <c r="AY21" i="6"/>
  <c r="AV21" i="6"/>
  <c r="AS21" i="6"/>
  <c r="AP21" i="6"/>
  <c r="AM21" i="6"/>
  <c r="AJ21" i="6"/>
  <c r="AG21" i="6"/>
  <c r="AD21" i="6"/>
  <c r="AA21" i="6"/>
  <c r="X21" i="6"/>
  <c r="U21" i="6"/>
  <c r="R21" i="6"/>
  <c r="O21" i="6"/>
  <c r="L21" i="6"/>
  <c r="I21" i="6"/>
  <c r="F21" i="6"/>
  <c r="G21" i="6" s="1"/>
  <c r="J21" i="6" s="1"/>
  <c r="M21" i="6" s="1"/>
  <c r="P21" i="6" s="1"/>
  <c r="S21" i="6" s="1"/>
  <c r="V21" i="6" s="1"/>
  <c r="Y21" i="6" s="1"/>
  <c r="AB21" i="6" s="1"/>
  <c r="AE21" i="6" s="1"/>
  <c r="AH21" i="6" s="1"/>
  <c r="AK21" i="6" s="1"/>
  <c r="AN21" i="6" s="1"/>
  <c r="AQ21" i="6" s="1"/>
  <c r="AT21" i="6" s="1"/>
  <c r="AW21" i="6" s="1"/>
  <c r="AZ21" i="6" s="1"/>
  <c r="BC21" i="6" s="1"/>
  <c r="BF21" i="6" s="1"/>
  <c r="BI21" i="6" s="1"/>
  <c r="BL21" i="6" s="1"/>
  <c r="BO21" i="6" s="1"/>
  <c r="BR21" i="6" s="1"/>
  <c r="BU21" i="6" s="1"/>
  <c r="BX21" i="6" s="1"/>
  <c r="BY20" i="6"/>
  <c r="BW20" i="6"/>
  <c r="BT20" i="6"/>
  <c r="BQ20" i="6"/>
  <c r="BN20" i="6"/>
  <c r="BK20" i="6"/>
  <c r="BH20" i="6"/>
  <c r="BE20" i="6"/>
  <c r="BB20" i="6"/>
  <c r="AY20" i="6"/>
  <c r="AV20" i="6"/>
  <c r="AS20" i="6"/>
  <c r="AP20" i="6"/>
  <c r="AM20" i="6"/>
  <c r="AJ20" i="6"/>
  <c r="AG20" i="6"/>
  <c r="AD20" i="6"/>
  <c r="AA20" i="6"/>
  <c r="X20" i="6"/>
  <c r="U20" i="6"/>
  <c r="R20" i="6"/>
  <c r="O20" i="6"/>
  <c r="L20" i="6"/>
  <c r="I20" i="6"/>
  <c r="F20" i="6"/>
  <c r="G20" i="6" s="1"/>
  <c r="J20" i="6" s="1"/>
  <c r="M20" i="6" s="1"/>
  <c r="P20" i="6" s="1"/>
  <c r="S20" i="6" s="1"/>
  <c r="V20" i="6" s="1"/>
  <c r="Y20" i="6" s="1"/>
  <c r="AB20" i="6" s="1"/>
  <c r="AE20" i="6" s="1"/>
  <c r="AH20" i="6" s="1"/>
  <c r="AK20" i="6" s="1"/>
  <c r="AN20" i="6" s="1"/>
  <c r="AQ20" i="6" s="1"/>
  <c r="AT20" i="6" s="1"/>
  <c r="AW20" i="6" s="1"/>
  <c r="AZ20" i="6" s="1"/>
  <c r="BC20" i="6" s="1"/>
  <c r="BF20" i="6" s="1"/>
  <c r="BI20" i="6" s="1"/>
  <c r="BL20" i="6" s="1"/>
  <c r="BO20" i="6" s="1"/>
  <c r="BR20" i="6" s="1"/>
  <c r="BU20" i="6" s="1"/>
  <c r="BX20" i="6" s="1"/>
  <c r="BY19" i="6"/>
  <c r="BW19" i="6"/>
  <c r="BT19" i="6"/>
  <c r="BQ19" i="6"/>
  <c r="BN19" i="6"/>
  <c r="BK19" i="6"/>
  <c r="BH19" i="6"/>
  <c r="BE19" i="6"/>
  <c r="BB19" i="6"/>
  <c r="AY19" i="6"/>
  <c r="AV19" i="6"/>
  <c r="AS19" i="6"/>
  <c r="AP19" i="6"/>
  <c r="AM19" i="6"/>
  <c r="AJ19" i="6"/>
  <c r="AG19" i="6"/>
  <c r="AD19" i="6"/>
  <c r="AA19" i="6"/>
  <c r="X19" i="6"/>
  <c r="U19" i="6"/>
  <c r="R19" i="6"/>
  <c r="O19" i="6"/>
  <c r="L19" i="6"/>
  <c r="I19" i="6"/>
  <c r="F19" i="6"/>
  <c r="G19" i="6" s="1"/>
  <c r="J19" i="6" s="1"/>
  <c r="M19" i="6" s="1"/>
  <c r="P19" i="6" s="1"/>
  <c r="S19" i="6" s="1"/>
  <c r="V19" i="6" s="1"/>
  <c r="Y19" i="6" s="1"/>
  <c r="AB19" i="6" s="1"/>
  <c r="AE19" i="6" s="1"/>
  <c r="AH19" i="6" s="1"/>
  <c r="AK19" i="6" s="1"/>
  <c r="AN19" i="6" s="1"/>
  <c r="AQ19" i="6" s="1"/>
  <c r="AT19" i="6" s="1"/>
  <c r="AW19" i="6" s="1"/>
  <c r="AZ19" i="6" s="1"/>
  <c r="BC19" i="6" s="1"/>
  <c r="BF19" i="6" s="1"/>
  <c r="BI19" i="6" s="1"/>
  <c r="BL19" i="6" s="1"/>
  <c r="BO19" i="6" s="1"/>
  <c r="BR19" i="6" s="1"/>
  <c r="BU19" i="6" s="1"/>
  <c r="BX19" i="6" s="1"/>
  <c r="BY18" i="6"/>
  <c r="BW18" i="6"/>
  <c r="BT18" i="6"/>
  <c r="BQ18" i="6"/>
  <c r="BN18" i="6"/>
  <c r="BK18" i="6"/>
  <c r="BH18" i="6"/>
  <c r="BE18" i="6"/>
  <c r="BB18" i="6"/>
  <c r="AY18" i="6"/>
  <c r="AV18" i="6"/>
  <c r="AS18" i="6"/>
  <c r="AP18" i="6"/>
  <c r="AM18" i="6"/>
  <c r="AJ18" i="6"/>
  <c r="AG18" i="6"/>
  <c r="AD18" i="6"/>
  <c r="AA18" i="6"/>
  <c r="X18" i="6"/>
  <c r="U18" i="6"/>
  <c r="R18" i="6"/>
  <c r="O18" i="6"/>
  <c r="L18" i="6"/>
  <c r="I18" i="6"/>
  <c r="F18" i="6"/>
  <c r="G18" i="6" s="1"/>
  <c r="J18" i="6" s="1"/>
  <c r="M18" i="6" s="1"/>
  <c r="P18" i="6" s="1"/>
  <c r="S18" i="6" s="1"/>
  <c r="V18" i="6" s="1"/>
  <c r="Y18" i="6" s="1"/>
  <c r="AB18" i="6" s="1"/>
  <c r="AE18" i="6" s="1"/>
  <c r="AH18" i="6" s="1"/>
  <c r="AK18" i="6" s="1"/>
  <c r="AN18" i="6" s="1"/>
  <c r="AQ18" i="6" s="1"/>
  <c r="AT18" i="6" s="1"/>
  <c r="AW18" i="6" s="1"/>
  <c r="AZ18" i="6" s="1"/>
  <c r="BC18" i="6" s="1"/>
  <c r="BF18" i="6" s="1"/>
  <c r="BI18" i="6" s="1"/>
  <c r="BL18" i="6" s="1"/>
  <c r="BO18" i="6" s="1"/>
  <c r="BR18" i="6" s="1"/>
  <c r="BU18" i="6" s="1"/>
  <c r="BX18" i="6" s="1"/>
  <c r="BY17" i="6"/>
  <c r="BW17" i="6"/>
  <c r="BT17" i="6"/>
  <c r="BQ17" i="6"/>
  <c r="BN17" i="6"/>
  <c r="BK17" i="6"/>
  <c r="BH17" i="6"/>
  <c r="BE17" i="6"/>
  <c r="BB17" i="6"/>
  <c r="AY17" i="6"/>
  <c r="AV17" i="6"/>
  <c r="AS17" i="6"/>
  <c r="AP17" i="6"/>
  <c r="AM17" i="6"/>
  <c r="AJ17" i="6"/>
  <c r="AG17" i="6"/>
  <c r="AD17" i="6"/>
  <c r="AA17" i="6"/>
  <c r="X17" i="6"/>
  <c r="U17" i="6"/>
  <c r="R17" i="6"/>
  <c r="O17" i="6"/>
  <c r="L17" i="6"/>
  <c r="I17" i="6"/>
  <c r="F17" i="6"/>
  <c r="G17" i="6" s="1"/>
  <c r="J17" i="6" s="1"/>
  <c r="M17" i="6" s="1"/>
  <c r="P17" i="6" s="1"/>
  <c r="S17" i="6" s="1"/>
  <c r="V17" i="6" s="1"/>
  <c r="Y17" i="6" s="1"/>
  <c r="AB17" i="6" s="1"/>
  <c r="AE17" i="6" s="1"/>
  <c r="AH17" i="6" s="1"/>
  <c r="AK17" i="6" s="1"/>
  <c r="AN17" i="6" s="1"/>
  <c r="AQ17" i="6" s="1"/>
  <c r="AT17" i="6" s="1"/>
  <c r="AW17" i="6" s="1"/>
  <c r="AZ17" i="6" s="1"/>
  <c r="BC17" i="6" s="1"/>
  <c r="BF17" i="6" s="1"/>
  <c r="BI17" i="6" s="1"/>
  <c r="BL17" i="6" s="1"/>
  <c r="BO17" i="6" s="1"/>
  <c r="BR17" i="6" s="1"/>
  <c r="BU17" i="6" s="1"/>
  <c r="BX17" i="6" s="1"/>
  <c r="BY16" i="6"/>
  <c r="BW16" i="6"/>
  <c r="BT16" i="6"/>
  <c r="BQ16" i="6"/>
  <c r="BN16" i="6"/>
  <c r="BK16" i="6"/>
  <c r="BH16" i="6"/>
  <c r="BE16" i="6"/>
  <c r="BB16" i="6"/>
  <c r="AY16" i="6"/>
  <c r="AV16" i="6"/>
  <c r="AS16" i="6"/>
  <c r="AP16" i="6"/>
  <c r="AM16" i="6"/>
  <c r="AJ16" i="6"/>
  <c r="AG16" i="6"/>
  <c r="AD16" i="6"/>
  <c r="AA16" i="6"/>
  <c r="X16" i="6"/>
  <c r="U16" i="6"/>
  <c r="R16" i="6"/>
  <c r="O16" i="6"/>
  <c r="L16" i="6"/>
  <c r="I16" i="6"/>
  <c r="F16" i="6"/>
  <c r="G16" i="6" s="1"/>
  <c r="J16" i="6" s="1"/>
  <c r="M16" i="6" s="1"/>
  <c r="P16" i="6" s="1"/>
  <c r="S16" i="6" s="1"/>
  <c r="V16" i="6" s="1"/>
  <c r="Y16" i="6" s="1"/>
  <c r="AB16" i="6" s="1"/>
  <c r="AE16" i="6" s="1"/>
  <c r="AH16" i="6" s="1"/>
  <c r="AK16" i="6" s="1"/>
  <c r="AN16" i="6" s="1"/>
  <c r="AQ16" i="6" s="1"/>
  <c r="AT16" i="6" s="1"/>
  <c r="AW16" i="6" s="1"/>
  <c r="AZ16" i="6" s="1"/>
  <c r="BC16" i="6" s="1"/>
  <c r="BF16" i="6" s="1"/>
  <c r="BI16" i="6" s="1"/>
  <c r="BL16" i="6" s="1"/>
  <c r="BO16" i="6" s="1"/>
  <c r="BR16" i="6" s="1"/>
  <c r="BU16" i="6" s="1"/>
  <c r="BX16" i="6" s="1"/>
  <c r="BY15" i="6"/>
  <c r="BW15" i="6"/>
  <c r="BT15" i="6"/>
  <c r="BQ15" i="6"/>
  <c r="BN15" i="6"/>
  <c r="BK15" i="6"/>
  <c r="BH15" i="6"/>
  <c r="BE15" i="6"/>
  <c r="BB15" i="6"/>
  <c r="AY15" i="6"/>
  <c r="AV15" i="6"/>
  <c r="AS15" i="6"/>
  <c r="AP15" i="6"/>
  <c r="AM15" i="6"/>
  <c r="AJ15" i="6"/>
  <c r="AG15" i="6"/>
  <c r="AD15" i="6"/>
  <c r="AA15" i="6"/>
  <c r="X15" i="6"/>
  <c r="U15" i="6"/>
  <c r="R15" i="6"/>
  <c r="O15" i="6"/>
  <c r="L15" i="6"/>
  <c r="I15" i="6"/>
  <c r="F15" i="6"/>
  <c r="G15" i="6" s="1"/>
  <c r="J15" i="6" s="1"/>
  <c r="M15" i="6" s="1"/>
  <c r="P15" i="6" s="1"/>
  <c r="S15" i="6" s="1"/>
  <c r="V15" i="6" s="1"/>
  <c r="Y15" i="6" s="1"/>
  <c r="AB15" i="6" s="1"/>
  <c r="AE15" i="6" s="1"/>
  <c r="AH15" i="6" s="1"/>
  <c r="AK15" i="6" s="1"/>
  <c r="AN15" i="6" s="1"/>
  <c r="AQ15" i="6" s="1"/>
  <c r="AT15" i="6" s="1"/>
  <c r="AW15" i="6" s="1"/>
  <c r="AZ15" i="6" s="1"/>
  <c r="BC15" i="6" s="1"/>
  <c r="BF15" i="6" s="1"/>
  <c r="BI15" i="6" s="1"/>
  <c r="BL15" i="6" s="1"/>
  <c r="BO15" i="6" s="1"/>
  <c r="BR15" i="6" s="1"/>
  <c r="BU15" i="6" s="1"/>
  <c r="BX15" i="6" s="1"/>
  <c r="CA17" i="6" s="1"/>
  <c r="BY14" i="6"/>
  <c r="BW14" i="6"/>
  <c r="BT14" i="6"/>
  <c r="BQ14" i="6"/>
  <c r="BN14" i="6"/>
  <c r="BK14" i="6"/>
  <c r="BH14" i="6"/>
  <c r="BE14" i="6"/>
  <c r="BB14" i="6"/>
  <c r="AY14" i="6"/>
  <c r="AV14" i="6"/>
  <c r="AS14" i="6"/>
  <c r="AP14" i="6"/>
  <c r="AM14" i="6"/>
  <c r="AJ14" i="6"/>
  <c r="AG14" i="6"/>
  <c r="AD14" i="6"/>
  <c r="AA14" i="6"/>
  <c r="X14" i="6"/>
  <c r="U14" i="6"/>
  <c r="R14" i="6"/>
  <c r="O14" i="6"/>
  <c r="L14" i="6"/>
  <c r="I14" i="6"/>
  <c r="F14" i="6"/>
  <c r="G14" i="6" s="1"/>
  <c r="J14" i="6" s="1"/>
  <c r="M14" i="6" s="1"/>
  <c r="P14" i="6" s="1"/>
  <c r="S14" i="6" s="1"/>
  <c r="V14" i="6" s="1"/>
  <c r="Y14" i="6" s="1"/>
  <c r="AB14" i="6" s="1"/>
  <c r="AE14" i="6" s="1"/>
  <c r="AH14" i="6" s="1"/>
  <c r="AK14" i="6" s="1"/>
  <c r="AN14" i="6" s="1"/>
  <c r="AQ14" i="6" s="1"/>
  <c r="AT14" i="6" s="1"/>
  <c r="AW14" i="6" s="1"/>
  <c r="AZ14" i="6" s="1"/>
  <c r="BC14" i="6" s="1"/>
  <c r="BF14" i="6" s="1"/>
  <c r="BI14" i="6" s="1"/>
  <c r="BL14" i="6" s="1"/>
  <c r="BO14" i="6" s="1"/>
  <c r="BR14" i="6" s="1"/>
  <c r="BU14" i="6" s="1"/>
  <c r="BX14" i="6" s="1"/>
  <c r="BY13" i="6"/>
  <c r="BW13" i="6"/>
  <c r="BT13" i="6"/>
  <c r="BQ13" i="6"/>
  <c r="BN13" i="6"/>
  <c r="BK13" i="6"/>
  <c r="BH13" i="6"/>
  <c r="BE13" i="6"/>
  <c r="BB13" i="6"/>
  <c r="AY13" i="6"/>
  <c r="AV13" i="6"/>
  <c r="AS13" i="6"/>
  <c r="AP13" i="6"/>
  <c r="AM13" i="6"/>
  <c r="AJ13" i="6"/>
  <c r="AG13" i="6"/>
  <c r="AD13" i="6"/>
  <c r="AA13" i="6"/>
  <c r="X13" i="6"/>
  <c r="U13" i="6"/>
  <c r="R13" i="6"/>
  <c r="O13" i="6"/>
  <c r="L13" i="6"/>
  <c r="I13" i="6"/>
  <c r="G13" i="6"/>
  <c r="J13" i="6" s="1"/>
  <c r="M13" i="6" s="1"/>
  <c r="P13" i="6" s="1"/>
  <c r="S13" i="6" s="1"/>
  <c r="V13" i="6" s="1"/>
  <c r="Y13" i="6" s="1"/>
  <c r="AB13" i="6" s="1"/>
  <c r="AE13" i="6" s="1"/>
  <c r="AH13" i="6" s="1"/>
  <c r="AK13" i="6" s="1"/>
  <c r="AN13" i="6" s="1"/>
  <c r="AQ13" i="6" s="1"/>
  <c r="AT13" i="6" s="1"/>
  <c r="AW13" i="6" s="1"/>
  <c r="AZ13" i="6" s="1"/>
  <c r="BC13" i="6" s="1"/>
  <c r="BF13" i="6" s="1"/>
  <c r="BI13" i="6" s="1"/>
  <c r="BL13" i="6" s="1"/>
  <c r="BO13" i="6" s="1"/>
  <c r="BR13" i="6" s="1"/>
  <c r="BU13" i="6" s="1"/>
  <c r="BX13" i="6" s="1"/>
  <c r="F13" i="6"/>
  <c r="BY12" i="6"/>
  <c r="BW12" i="6"/>
  <c r="BT12" i="6"/>
  <c r="BQ12" i="6"/>
  <c r="BN12" i="6"/>
  <c r="BK12" i="6"/>
  <c r="BH12" i="6"/>
  <c r="BE12" i="6"/>
  <c r="BB12" i="6"/>
  <c r="AY12" i="6"/>
  <c r="AV12" i="6"/>
  <c r="AS12" i="6"/>
  <c r="AP12" i="6"/>
  <c r="AM12" i="6"/>
  <c r="AJ12" i="6"/>
  <c r="AG12" i="6"/>
  <c r="AD12" i="6"/>
  <c r="AA12" i="6"/>
  <c r="X12" i="6"/>
  <c r="U12" i="6"/>
  <c r="R12" i="6"/>
  <c r="O12" i="6"/>
  <c r="L12" i="6"/>
  <c r="I12" i="6"/>
  <c r="J12" i="6" s="1"/>
  <c r="M12" i="6" s="1"/>
  <c r="P12" i="6" s="1"/>
  <c r="S12" i="6" s="1"/>
  <c r="V12" i="6" s="1"/>
  <c r="Y12" i="6" s="1"/>
  <c r="AB12" i="6" s="1"/>
  <c r="AE12" i="6" s="1"/>
  <c r="AH12" i="6" s="1"/>
  <c r="AK12" i="6" s="1"/>
  <c r="AN12" i="6" s="1"/>
  <c r="AQ12" i="6" s="1"/>
  <c r="AT12" i="6" s="1"/>
  <c r="AW12" i="6" s="1"/>
  <c r="AZ12" i="6" s="1"/>
  <c r="BC12" i="6" s="1"/>
  <c r="BF12" i="6" s="1"/>
  <c r="BI12" i="6" s="1"/>
  <c r="BL12" i="6" s="1"/>
  <c r="BO12" i="6" s="1"/>
  <c r="BR12" i="6" s="1"/>
  <c r="BU12" i="6" s="1"/>
  <c r="BX12" i="6" s="1"/>
  <c r="G12" i="6"/>
  <c r="F12" i="6"/>
  <c r="BZ60" i="5" l="1"/>
  <c r="BX9" i="4" l="1"/>
  <c r="BX8" i="4"/>
  <c r="BX7" i="4"/>
  <c r="BY24" i="3" l="1"/>
  <c r="BY18" i="3"/>
  <c r="BY17" i="3"/>
  <c r="BY16" i="3"/>
  <c r="BY15" i="3"/>
  <c r="BY14" i="3"/>
  <c r="BY11" i="3"/>
  <c r="BY10" i="3"/>
  <c r="BY8" i="3"/>
  <c r="BY51" i="1" l="1"/>
  <c r="BY50" i="1"/>
  <c r="BY49" i="1"/>
  <c r="BY48" i="1"/>
  <c r="BY47" i="1"/>
  <c r="BY46" i="1"/>
  <c r="BY45" i="1"/>
  <c r="BY44" i="1"/>
  <c r="BY36" i="1"/>
  <c r="BY35" i="1"/>
  <c r="BY34" i="1"/>
  <c r="BY33" i="1"/>
  <c r="BY32" i="1"/>
  <c r="BY31" i="1"/>
  <c r="BY30" i="1"/>
  <c r="BY29" i="1"/>
  <c r="BY28" i="1"/>
  <c r="BY27" i="1"/>
  <c r="BY26" i="1"/>
  <c r="BY25" i="1"/>
  <c r="BV10" i="3" l="1"/>
  <c r="BV11" i="3"/>
  <c r="BV14" i="3"/>
  <c r="BV15" i="3"/>
  <c r="BV16" i="3"/>
  <c r="BV17" i="3"/>
  <c r="BV18" i="3"/>
  <c r="BV24" i="3"/>
  <c r="BV8" i="3"/>
  <c r="BV45" i="1"/>
  <c r="BV46" i="1"/>
  <c r="BV47" i="1"/>
  <c r="BV48" i="1"/>
  <c r="BV49" i="1"/>
  <c r="BV50" i="1"/>
  <c r="BV51" i="1"/>
  <c r="BV44" i="1"/>
  <c r="BV26" i="1"/>
  <c r="BV27" i="1"/>
  <c r="BV28" i="1"/>
  <c r="BV29" i="1"/>
  <c r="BV30" i="1"/>
  <c r="BV31" i="1"/>
  <c r="BV32" i="1"/>
  <c r="BV33" i="1"/>
  <c r="BV34" i="1"/>
  <c r="BV35" i="1"/>
  <c r="BV36" i="1"/>
  <c r="BV25" i="1"/>
  <c r="BU9" i="4"/>
  <c r="BU8" i="4"/>
  <c r="BU7" i="4"/>
  <c r="BR9" i="4"/>
  <c r="BR8" i="4"/>
  <c r="BR7" i="4"/>
  <c r="BS24" i="3"/>
  <c r="BS18" i="3"/>
  <c r="BS17" i="3"/>
  <c r="BS16" i="3"/>
  <c r="BS15" i="3"/>
  <c r="BS14" i="3"/>
  <c r="BS11" i="3"/>
  <c r="BS10" i="3"/>
  <c r="BS8" i="3"/>
  <c r="BS51" i="1"/>
  <c r="BS50" i="1"/>
  <c r="BS49" i="1"/>
  <c r="BS48" i="1"/>
  <c r="BS47" i="1"/>
  <c r="BS46" i="1"/>
  <c r="BS45" i="1"/>
  <c r="BS44" i="1"/>
  <c r="BS36" i="1"/>
  <c r="BS35" i="1"/>
  <c r="BS34" i="1"/>
  <c r="BS33" i="1"/>
  <c r="BS32" i="1"/>
  <c r="BS31" i="1"/>
  <c r="BS30" i="1"/>
  <c r="BS29" i="1"/>
  <c r="BS28" i="1"/>
  <c r="BS27" i="1"/>
  <c r="BS26" i="1"/>
  <c r="BS25" i="1"/>
  <c r="BO9" i="4" l="1"/>
  <c r="BO8" i="4"/>
  <c r="BO7" i="4"/>
  <c r="AN43" i="5"/>
  <c r="AS43" i="5" s="1"/>
  <c r="AO43" i="5"/>
  <c r="AP43" i="5" s="1"/>
  <c r="AN44" i="5"/>
  <c r="AO44" i="5"/>
  <c r="AT44" i="5" s="1"/>
  <c r="AY44" i="5" s="1"/>
  <c r="BD44" i="5" s="1"/>
  <c r="BI44" i="5" s="1"/>
  <c r="BN44" i="5" s="1"/>
  <c r="BS44" i="5" s="1"/>
  <c r="BX44" i="5" s="1"/>
  <c r="AN45" i="5"/>
  <c r="AS45" i="5" s="1"/>
  <c r="AX45" i="5" s="1"/>
  <c r="AO45" i="5"/>
  <c r="AP45" i="5" s="1"/>
  <c r="AN46" i="5"/>
  <c r="AS46" i="5" s="1"/>
  <c r="AO46" i="5"/>
  <c r="AT46" i="5" s="1"/>
  <c r="AY46" i="5" s="1"/>
  <c r="BD46" i="5" s="1"/>
  <c r="BI46" i="5" s="1"/>
  <c r="BN46" i="5" s="1"/>
  <c r="BS46" i="5" s="1"/>
  <c r="BX46" i="5" s="1"/>
  <c r="AN47" i="5"/>
  <c r="AS47" i="5" s="1"/>
  <c r="AO47" i="5"/>
  <c r="AT47" i="5" s="1"/>
  <c r="AY47" i="5" s="1"/>
  <c r="BD47" i="5" s="1"/>
  <c r="BI47" i="5" s="1"/>
  <c r="BN47" i="5" s="1"/>
  <c r="BS47" i="5" s="1"/>
  <c r="BX47" i="5" s="1"/>
  <c r="AN48" i="5"/>
  <c r="AS48" i="5" s="1"/>
  <c r="AX48" i="5" s="1"/>
  <c r="AO48" i="5"/>
  <c r="AT48" i="5" s="1"/>
  <c r="AY48" i="5" s="1"/>
  <c r="BD48" i="5" s="1"/>
  <c r="BI48" i="5" s="1"/>
  <c r="BN48" i="5" s="1"/>
  <c r="BS48" i="5" s="1"/>
  <c r="BX48" i="5" s="1"/>
  <c r="AP48" i="5"/>
  <c r="AN49" i="5"/>
  <c r="AS49" i="5" s="1"/>
  <c r="AO49" i="5"/>
  <c r="AT49" i="5" s="1"/>
  <c r="AY49" i="5" s="1"/>
  <c r="BD49" i="5" s="1"/>
  <c r="BI49" i="5" s="1"/>
  <c r="BN49" i="5" s="1"/>
  <c r="BS49" i="5" s="1"/>
  <c r="BX49" i="5" s="1"/>
  <c r="AN50" i="5"/>
  <c r="AO50" i="5"/>
  <c r="AT50" i="5" s="1"/>
  <c r="AY50" i="5" s="1"/>
  <c r="BD50" i="5" s="1"/>
  <c r="BI50" i="5" s="1"/>
  <c r="BN50" i="5" s="1"/>
  <c r="BS50" i="5" s="1"/>
  <c r="BX50" i="5" s="1"/>
  <c r="AN51" i="5"/>
  <c r="AO51" i="5"/>
  <c r="AT51" i="5" s="1"/>
  <c r="AY51" i="5" s="1"/>
  <c r="BD51" i="5" s="1"/>
  <c r="BI51" i="5" s="1"/>
  <c r="BN51" i="5" s="1"/>
  <c r="BS51" i="5" s="1"/>
  <c r="BX51" i="5" s="1"/>
  <c r="AN52" i="5"/>
  <c r="AO52" i="5"/>
  <c r="AT52" i="5" s="1"/>
  <c r="AY52" i="5" s="1"/>
  <c r="BD52" i="5" s="1"/>
  <c r="BI52" i="5" s="1"/>
  <c r="BN52" i="5" s="1"/>
  <c r="BS52" i="5" s="1"/>
  <c r="BX52" i="5" s="1"/>
  <c r="AN53" i="5"/>
  <c r="AO53" i="5"/>
  <c r="AT53" i="5" s="1"/>
  <c r="AY53" i="5" s="1"/>
  <c r="BD53" i="5" s="1"/>
  <c r="BI53" i="5" s="1"/>
  <c r="BN53" i="5" s="1"/>
  <c r="BS53" i="5" s="1"/>
  <c r="BX53" i="5" s="1"/>
  <c r="BP24" i="3"/>
  <c r="BP18" i="3"/>
  <c r="BP17" i="3"/>
  <c r="BP16" i="3"/>
  <c r="BP15" i="3"/>
  <c r="BP14" i="3"/>
  <c r="BP11" i="3"/>
  <c r="BP10" i="3"/>
  <c r="BP8" i="3"/>
  <c r="BP69" i="1"/>
  <c r="BP68" i="1"/>
  <c r="BP51" i="1"/>
  <c r="BP50" i="1"/>
  <c r="BP49" i="1"/>
  <c r="BP48" i="1"/>
  <c r="BP47" i="1"/>
  <c r="BP46" i="1"/>
  <c r="BP45" i="1"/>
  <c r="BP44" i="1"/>
  <c r="BP36" i="1"/>
  <c r="BP35" i="1"/>
  <c r="BP34" i="1"/>
  <c r="BP33" i="1"/>
  <c r="BP32" i="1"/>
  <c r="BP31" i="1"/>
  <c r="BP30" i="1"/>
  <c r="BP29" i="1"/>
  <c r="BP28" i="1"/>
  <c r="BP27" i="1"/>
  <c r="BP26" i="1"/>
  <c r="BP25" i="1"/>
  <c r="AT43" i="5" l="1"/>
  <c r="AY43" i="5" s="1"/>
  <c r="BD43" i="5" s="1"/>
  <c r="BI43" i="5" s="1"/>
  <c r="BN43" i="5" s="1"/>
  <c r="BS43" i="5" s="1"/>
  <c r="BX43" i="5" s="1"/>
  <c r="AP46" i="5"/>
  <c r="AP50" i="5"/>
  <c r="AZ48" i="5"/>
  <c r="AP49" i="5"/>
  <c r="AU49" i="5"/>
  <c r="AX49" i="5"/>
  <c r="AS50" i="5"/>
  <c r="AP52" i="5"/>
  <c r="AS52" i="5"/>
  <c r="BC45" i="5"/>
  <c r="BH45" i="5" s="1"/>
  <c r="AX43" i="5"/>
  <c r="AP53" i="5"/>
  <c r="AS53" i="5"/>
  <c r="AP44" i="5"/>
  <c r="AS44" i="5"/>
  <c r="AT45" i="5"/>
  <c r="AY45" i="5" s="1"/>
  <c r="BD45" i="5" s="1"/>
  <c r="BI45" i="5" s="1"/>
  <c r="BN45" i="5" s="1"/>
  <c r="BS45" i="5" s="1"/>
  <c r="BX45" i="5" s="1"/>
  <c r="AU47" i="5"/>
  <c r="AX47" i="5"/>
  <c r="AU46" i="5"/>
  <c r="AX46" i="5"/>
  <c r="AP51" i="5"/>
  <c r="BC48" i="5"/>
  <c r="AP47" i="5"/>
  <c r="AS51" i="5"/>
  <c r="AX51" i="5" s="1"/>
  <c r="AU48" i="5"/>
  <c r="AU43" i="5" l="1"/>
  <c r="BJ45" i="5"/>
  <c r="BM45" i="5"/>
  <c r="BE48" i="5"/>
  <c r="BH48" i="5"/>
  <c r="AU45" i="5"/>
  <c r="AZ47" i="5"/>
  <c r="BC47" i="5"/>
  <c r="BC43" i="5"/>
  <c r="AZ43" i="5"/>
  <c r="AU52" i="5"/>
  <c r="AX52" i="5"/>
  <c r="BC51" i="5"/>
  <c r="AZ51" i="5"/>
  <c r="AU50" i="5"/>
  <c r="AX50" i="5"/>
  <c r="BC49" i="5"/>
  <c r="AZ49" i="5"/>
  <c r="AU53" i="5"/>
  <c r="AX53" i="5"/>
  <c r="AZ45" i="5"/>
  <c r="AU44" i="5"/>
  <c r="AX44" i="5"/>
  <c r="AU51" i="5"/>
  <c r="BC46" i="5"/>
  <c r="AZ46" i="5"/>
  <c r="BE45" i="5"/>
  <c r="BL9" i="4"/>
  <c r="BL8" i="4"/>
  <c r="BL7" i="4"/>
  <c r="BO45" i="5" l="1"/>
  <c r="BR45" i="5"/>
  <c r="BJ48" i="5"/>
  <c r="BM48" i="5"/>
  <c r="BE51" i="5"/>
  <c r="BH51" i="5"/>
  <c r="BE46" i="5"/>
  <c r="BH46" i="5"/>
  <c r="BE47" i="5"/>
  <c r="BH47" i="5"/>
  <c r="BE43" i="5"/>
  <c r="BH43" i="5"/>
  <c r="BE49" i="5"/>
  <c r="BH49" i="5"/>
  <c r="BC53" i="5"/>
  <c r="AZ53" i="5"/>
  <c r="BC52" i="5"/>
  <c r="AZ52" i="5"/>
  <c r="BC50" i="5"/>
  <c r="AZ50" i="5"/>
  <c r="BC44" i="5"/>
  <c r="AZ44" i="5"/>
  <c r="BO48" i="5" l="1"/>
  <c r="BR48" i="5"/>
  <c r="BW45" i="5"/>
  <c r="BY45" i="5" s="1"/>
  <c r="BT45" i="5"/>
  <c r="BJ43" i="5"/>
  <c r="BM43" i="5"/>
  <c r="BJ49" i="5"/>
  <c r="BM49" i="5"/>
  <c r="BJ46" i="5"/>
  <c r="BM46" i="5"/>
  <c r="BJ47" i="5"/>
  <c r="BM47" i="5"/>
  <c r="BJ51" i="5"/>
  <c r="BM51" i="5"/>
  <c r="BE53" i="5"/>
  <c r="BH53" i="5"/>
  <c r="BE44" i="5"/>
  <c r="BH44" i="5"/>
  <c r="BE50" i="5"/>
  <c r="BH50" i="5"/>
  <c r="BE52" i="5"/>
  <c r="BH52" i="5"/>
  <c r="BM24" i="3"/>
  <c r="BM18" i="3"/>
  <c r="BM17" i="3"/>
  <c r="BM16" i="3"/>
  <c r="BM15" i="3"/>
  <c r="BM14" i="3"/>
  <c r="BM11" i="3"/>
  <c r="BM10" i="3"/>
  <c r="BM8" i="3"/>
  <c r="BM69" i="1"/>
  <c r="BM68" i="1"/>
  <c r="BM51" i="1"/>
  <c r="BM50" i="1"/>
  <c r="BM49" i="1"/>
  <c r="BM48" i="1"/>
  <c r="BM47" i="1"/>
  <c r="BM46" i="1"/>
  <c r="BM45" i="1"/>
  <c r="BM44" i="1"/>
  <c r="BM36" i="1"/>
  <c r="BM35" i="1"/>
  <c r="BM34" i="1"/>
  <c r="BM33" i="1"/>
  <c r="BM32" i="1"/>
  <c r="BM31" i="1"/>
  <c r="BM30" i="1"/>
  <c r="BM29" i="1"/>
  <c r="BM28" i="1"/>
  <c r="BM27" i="1"/>
  <c r="BM26" i="1"/>
  <c r="BM25" i="1"/>
  <c r="BO49" i="5" l="1"/>
  <c r="BR49" i="5"/>
  <c r="BO46" i="5"/>
  <c r="BR46" i="5"/>
  <c r="BO43" i="5"/>
  <c r="BR43" i="5"/>
  <c r="BO47" i="5"/>
  <c r="BR47" i="5"/>
  <c r="BO51" i="5"/>
  <c r="BR51" i="5"/>
  <c r="BT48" i="5"/>
  <c r="BW48" i="5"/>
  <c r="BY48" i="5" s="1"/>
  <c r="BJ53" i="5"/>
  <c r="BM53" i="5"/>
  <c r="BJ50" i="5"/>
  <c r="BM50" i="5"/>
  <c r="BJ52" i="5"/>
  <c r="BM52" i="5"/>
  <c r="BJ44" i="5"/>
  <c r="BM44" i="5"/>
  <c r="BI8" i="4"/>
  <c r="BI9" i="4"/>
  <c r="BI7" i="4"/>
  <c r="R52" i="5"/>
  <c r="W52" i="5" s="1"/>
  <c r="AB52" i="5" s="1"/>
  <c r="R51" i="5"/>
  <c r="W51" i="5" s="1"/>
  <c r="AB51" i="5" s="1"/>
  <c r="R49" i="5"/>
  <c r="W49" i="5" s="1"/>
  <c r="AB49" i="5" s="1"/>
  <c r="R50" i="5"/>
  <c r="W50" i="5" s="1"/>
  <c r="AB50" i="5" s="1"/>
  <c r="R46" i="5"/>
  <c r="W46" i="5" s="1"/>
  <c r="AB46" i="5" s="1"/>
  <c r="R47" i="5"/>
  <c r="W47" i="5" s="1"/>
  <c r="AB47" i="5" s="1"/>
  <c r="R48" i="5"/>
  <c r="W48" i="5" s="1"/>
  <c r="AB48" i="5" s="1"/>
  <c r="R44" i="5"/>
  <c r="W44" i="5" s="1"/>
  <c r="AB44" i="5" s="1"/>
  <c r="R45" i="5"/>
  <c r="W45" i="5" s="1"/>
  <c r="AB45" i="5" s="1"/>
  <c r="R53" i="5"/>
  <c r="W53" i="5" s="1"/>
  <c r="AB53" i="5" s="1"/>
  <c r="R43" i="5"/>
  <c r="W43" i="5" s="1"/>
  <c r="AB43" i="5" s="1"/>
  <c r="T55" i="5"/>
  <c r="U55" i="5"/>
  <c r="Z55" i="5" s="1"/>
  <c r="AE55" i="5" s="1"/>
  <c r="AJ55" i="5" s="1"/>
  <c r="AO55" i="5" s="1"/>
  <c r="AT55" i="5" s="1"/>
  <c r="AY55" i="5" s="1"/>
  <c r="BD55" i="5" s="1"/>
  <c r="BI55" i="5" s="1"/>
  <c r="BN55" i="5" s="1"/>
  <c r="BS55" i="5" s="1"/>
  <c r="BX55" i="5" s="1"/>
  <c r="T56" i="5"/>
  <c r="U56" i="5"/>
  <c r="Z56" i="5" s="1"/>
  <c r="AE56" i="5" s="1"/>
  <c r="AJ56" i="5" s="1"/>
  <c r="AO56" i="5" s="1"/>
  <c r="AT56" i="5" s="1"/>
  <c r="AY56" i="5" s="1"/>
  <c r="BD56" i="5" s="1"/>
  <c r="BI56" i="5" s="1"/>
  <c r="BN56" i="5" s="1"/>
  <c r="BS56" i="5" s="1"/>
  <c r="BX56" i="5" s="1"/>
  <c r="T57" i="5"/>
  <c r="U57" i="5"/>
  <c r="Z57" i="5" s="1"/>
  <c r="AE57" i="5" s="1"/>
  <c r="AJ57" i="5" s="1"/>
  <c r="AO57" i="5" s="1"/>
  <c r="AT57" i="5" s="1"/>
  <c r="AY57" i="5" s="1"/>
  <c r="BD57" i="5" s="1"/>
  <c r="BI57" i="5" s="1"/>
  <c r="BN57" i="5" s="1"/>
  <c r="BS57" i="5" s="1"/>
  <c r="BX57" i="5" s="1"/>
  <c r="T58" i="5"/>
  <c r="U58" i="5"/>
  <c r="Z58" i="5" s="1"/>
  <c r="AE58" i="5" s="1"/>
  <c r="AJ58" i="5" s="1"/>
  <c r="AO58" i="5" s="1"/>
  <c r="AT58" i="5" s="1"/>
  <c r="AY58" i="5" s="1"/>
  <c r="BD58" i="5" s="1"/>
  <c r="BI58" i="5" s="1"/>
  <c r="BN58" i="5" s="1"/>
  <c r="BS58" i="5" s="1"/>
  <c r="BX58" i="5" s="1"/>
  <c r="U54" i="5"/>
  <c r="Z54" i="5" s="1"/>
  <c r="T54" i="5"/>
  <c r="Y54" i="5" s="1"/>
  <c r="AD54" i="5" s="1"/>
  <c r="AI54" i="5" s="1"/>
  <c r="T32" i="5"/>
  <c r="Y32" i="5" s="1"/>
  <c r="AD32" i="5" s="1"/>
  <c r="U32" i="5"/>
  <c r="Z32" i="5" s="1"/>
  <c r="AE32" i="5" s="1"/>
  <c r="AJ32" i="5" s="1"/>
  <c r="AO32" i="5" s="1"/>
  <c r="AT32" i="5" s="1"/>
  <c r="AY32" i="5" s="1"/>
  <c r="BD32" i="5" s="1"/>
  <c r="BI32" i="5" s="1"/>
  <c r="BN32" i="5" s="1"/>
  <c r="BS32" i="5" s="1"/>
  <c r="BX32" i="5" s="1"/>
  <c r="T33" i="5"/>
  <c r="Y33" i="5" s="1"/>
  <c r="AD33" i="5" s="1"/>
  <c r="U33" i="5"/>
  <c r="Z33" i="5" s="1"/>
  <c r="AE33" i="5" s="1"/>
  <c r="AJ33" i="5" s="1"/>
  <c r="AO33" i="5" s="1"/>
  <c r="AT33" i="5" s="1"/>
  <c r="AY33" i="5" s="1"/>
  <c r="BD33" i="5" s="1"/>
  <c r="BI33" i="5" s="1"/>
  <c r="BN33" i="5" s="1"/>
  <c r="BS33" i="5" s="1"/>
  <c r="BX33" i="5" s="1"/>
  <c r="T34" i="5"/>
  <c r="U34" i="5"/>
  <c r="Z34" i="5" s="1"/>
  <c r="AE34" i="5" s="1"/>
  <c r="AJ34" i="5" s="1"/>
  <c r="AO34" i="5" s="1"/>
  <c r="AT34" i="5" s="1"/>
  <c r="AY34" i="5" s="1"/>
  <c r="BD34" i="5" s="1"/>
  <c r="BI34" i="5" s="1"/>
  <c r="BN34" i="5" s="1"/>
  <c r="BS34" i="5" s="1"/>
  <c r="BX34" i="5" s="1"/>
  <c r="T35" i="5"/>
  <c r="Y35" i="5" s="1"/>
  <c r="AD35" i="5" s="1"/>
  <c r="U35" i="5"/>
  <c r="Z35" i="5" s="1"/>
  <c r="AE35" i="5" s="1"/>
  <c r="AJ35" i="5" s="1"/>
  <c r="AO35" i="5" s="1"/>
  <c r="AT35" i="5" s="1"/>
  <c r="AY35" i="5" s="1"/>
  <c r="BD35" i="5" s="1"/>
  <c r="BI35" i="5" s="1"/>
  <c r="BN35" i="5" s="1"/>
  <c r="BS35" i="5" s="1"/>
  <c r="BX35" i="5" s="1"/>
  <c r="T36" i="5"/>
  <c r="U36" i="5"/>
  <c r="Z36" i="5" s="1"/>
  <c r="AE36" i="5" s="1"/>
  <c r="AJ36" i="5" s="1"/>
  <c r="T37" i="5"/>
  <c r="Y37" i="5" s="1"/>
  <c r="AD37" i="5" s="1"/>
  <c r="U37" i="5"/>
  <c r="Z37" i="5" s="1"/>
  <c r="AE37" i="5" s="1"/>
  <c r="AJ37" i="5" s="1"/>
  <c r="AO37" i="5" s="1"/>
  <c r="AT37" i="5" s="1"/>
  <c r="AY37" i="5" s="1"/>
  <c r="BD37" i="5" s="1"/>
  <c r="BI37" i="5" s="1"/>
  <c r="BN37" i="5" s="1"/>
  <c r="BS37" i="5" s="1"/>
  <c r="BX37" i="5" s="1"/>
  <c r="T38" i="5"/>
  <c r="Y38" i="5" s="1"/>
  <c r="U38" i="5"/>
  <c r="Z38" i="5" s="1"/>
  <c r="AE38" i="5" s="1"/>
  <c r="AJ38" i="5" s="1"/>
  <c r="V38" i="5"/>
  <c r="T39" i="5"/>
  <c r="U39" i="5"/>
  <c r="Z39" i="5" s="1"/>
  <c r="AE39" i="5" s="1"/>
  <c r="T40" i="5"/>
  <c r="U40" i="5"/>
  <c r="Z40" i="5" s="1"/>
  <c r="AE40" i="5" s="1"/>
  <c r="AJ40" i="5" s="1"/>
  <c r="AO40" i="5" s="1"/>
  <c r="AT40" i="5" s="1"/>
  <c r="AY40" i="5" s="1"/>
  <c r="BD40" i="5" s="1"/>
  <c r="BI40" i="5" s="1"/>
  <c r="BN40" i="5" s="1"/>
  <c r="BS40" i="5" s="1"/>
  <c r="BX40" i="5" s="1"/>
  <c r="T41" i="5"/>
  <c r="U41" i="5"/>
  <c r="Z41" i="5" s="1"/>
  <c r="AE41" i="5" s="1"/>
  <c r="AJ41" i="5" s="1"/>
  <c r="AO41" i="5" s="1"/>
  <c r="T42" i="5"/>
  <c r="Y42" i="5" s="1"/>
  <c r="AD42" i="5" s="1"/>
  <c r="U42" i="5"/>
  <c r="Z42" i="5" s="1"/>
  <c r="AE42" i="5" s="1"/>
  <c r="AJ42" i="5" s="1"/>
  <c r="AO42" i="5" s="1"/>
  <c r="AT42" i="5" s="1"/>
  <c r="AY42" i="5" s="1"/>
  <c r="BD42" i="5" s="1"/>
  <c r="BI42" i="5" s="1"/>
  <c r="BN42" i="5" s="1"/>
  <c r="BS42" i="5" s="1"/>
  <c r="BX42" i="5" s="1"/>
  <c r="BJ24" i="3"/>
  <c r="BJ18" i="3"/>
  <c r="BJ17" i="3"/>
  <c r="BJ16" i="3"/>
  <c r="BJ15" i="3"/>
  <c r="BJ14" i="3"/>
  <c r="BJ11" i="3"/>
  <c r="BJ10" i="3"/>
  <c r="BJ8" i="3"/>
  <c r="BJ69" i="1"/>
  <c r="BJ68" i="1"/>
  <c r="BJ45" i="1"/>
  <c r="BJ46" i="1"/>
  <c r="BJ47" i="1"/>
  <c r="BJ48" i="1"/>
  <c r="BJ49" i="1"/>
  <c r="BJ50" i="1"/>
  <c r="BJ51" i="1"/>
  <c r="BJ44" i="1"/>
  <c r="BJ26" i="1"/>
  <c r="BJ27" i="1"/>
  <c r="BJ28" i="1"/>
  <c r="BJ29" i="1"/>
  <c r="BJ30" i="1"/>
  <c r="BJ31" i="1"/>
  <c r="BJ32" i="1"/>
  <c r="BJ33" i="1"/>
  <c r="BJ34" i="1"/>
  <c r="BJ35" i="1"/>
  <c r="BJ36" i="1"/>
  <c r="BJ25" i="1"/>
  <c r="BW51" i="5" l="1"/>
  <c r="BY51" i="5" s="1"/>
  <c r="BT51" i="5"/>
  <c r="BO44" i="5"/>
  <c r="BR44" i="5"/>
  <c r="BW47" i="5"/>
  <c r="BY47" i="5" s="1"/>
  <c r="BT47" i="5"/>
  <c r="BO52" i="5"/>
  <c r="BR52" i="5"/>
  <c r="BW43" i="5"/>
  <c r="BY43" i="5" s="1"/>
  <c r="BT43" i="5"/>
  <c r="BO50" i="5"/>
  <c r="BR50" i="5"/>
  <c r="BT46" i="5"/>
  <c r="BW46" i="5"/>
  <c r="BY46" i="5" s="1"/>
  <c r="BO53" i="5"/>
  <c r="BR53" i="5"/>
  <c r="BW49" i="5"/>
  <c r="BY49" i="5" s="1"/>
  <c r="BT49" i="5"/>
  <c r="AT41" i="5"/>
  <c r="AY41" i="5" s="1"/>
  <c r="BD41" i="5" s="1"/>
  <c r="BI41" i="5" s="1"/>
  <c r="BN41" i="5" s="1"/>
  <c r="BS41" i="5" s="1"/>
  <c r="BX41" i="5" s="1"/>
  <c r="AI33" i="5"/>
  <c r="AF33" i="5"/>
  <c r="AA38" i="5"/>
  <c r="AD38" i="5"/>
  <c r="AI37" i="5"/>
  <c r="AF37" i="5"/>
  <c r="V39" i="5"/>
  <c r="V35" i="5"/>
  <c r="AI32" i="5"/>
  <c r="AF32" i="5"/>
  <c r="AN54" i="5"/>
  <c r="AF42" i="5"/>
  <c r="AI42" i="5"/>
  <c r="AO38" i="5"/>
  <c r="AT38" i="5" s="1"/>
  <c r="AY38" i="5" s="1"/>
  <c r="BD38" i="5" s="1"/>
  <c r="BI38" i="5" s="1"/>
  <c r="BN38" i="5" s="1"/>
  <c r="BS38" i="5" s="1"/>
  <c r="BX38" i="5" s="1"/>
  <c r="AF35" i="5"/>
  <c r="AI35" i="5"/>
  <c r="AO36" i="5"/>
  <c r="AT36" i="5" s="1"/>
  <c r="AY36" i="5" s="1"/>
  <c r="BD36" i="5" s="1"/>
  <c r="BI36" i="5" s="1"/>
  <c r="BN36" i="5" s="1"/>
  <c r="BS36" i="5" s="1"/>
  <c r="BX36" i="5" s="1"/>
  <c r="AJ39" i="5"/>
  <c r="AO39" i="5" s="1"/>
  <c r="AT39" i="5" s="1"/>
  <c r="AY39" i="5" s="1"/>
  <c r="BD39" i="5" s="1"/>
  <c r="BI39" i="5" s="1"/>
  <c r="BN39" i="5" s="1"/>
  <c r="BS39" i="5" s="1"/>
  <c r="BX39" i="5" s="1"/>
  <c r="V34" i="5"/>
  <c r="V58" i="5"/>
  <c r="AA54" i="5"/>
  <c r="AE54" i="5"/>
  <c r="Y39" i="5"/>
  <c r="V55" i="5"/>
  <c r="Y34" i="5"/>
  <c r="AA42" i="5"/>
  <c r="V41" i="5"/>
  <c r="Y41" i="5"/>
  <c r="AA35" i="5"/>
  <c r="Y55" i="5"/>
  <c r="V36" i="5"/>
  <c r="Y36" i="5"/>
  <c r="V40" i="5"/>
  <c r="AA37" i="5"/>
  <c r="V42" i="5"/>
  <c r="V33" i="5"/>
  <c r="V57" i="5"/>
  <c r="Y57" i="5"/>
  <c r="AA32" i="5"/>
  <c r="Y40" i="5"/>
  <c r="V37" i="5"/>
  <c r="V32" i="5"/>
  <c r="V56" i="5"/>
  <c r="Y56" i="5"/>
  <c r="Y58" i="5"/>
  <c r="AA33" i="5"/>
  <c r="V54" i="5"/>
  <c r="BW52" i="5" l="1"/>
  <c r="BY52" i="5" s="1"/>
  <c r="BT52" i="5"/>
  <c r="BW53" i="5"/>
  <c r="BY53" i="5" s="1"/>
  <c r="BT53" i="5"/>
  <c r="BT44" i="5"/>
  <c r="BW44" i="5"/>
  <c r="BY44" i="5" s="1"/>
  <c r="BW50" i="5"/>
  <c r="BY50" i="5" s="1"/>
  <c r="BT50" i="5"/>
  <c r="AF54" i="5"/>
  <c r="AJ54" i="5"/>
  <c r="AS54" i="5"/>
  <c r="AK42" i="5"/>
  <c r="AN42" i="5"/>
  <c r="AA36" i="5"/>
  <c r="AD36" i="5"/>
  <c r="AK35" i="5"/>
  <c r="AN35" i="5"/>
  <c r="AA41" i="5"/>
  <c r="AD41" i="5"/>
  <c r="AN32" i="5"/>
  <c r="AK32" i="5"/>
  <c r="AK33" i="5"/>
  <c r="AN33" i="5"/>
  <c r="AA40" i="5"/>
  <c r="AD40" i="5"/>
  <c r="AK37" i="5"/>
  <c r="AN37" i="5"/>
  <c r="AI38" i="5"/>
  <c r="AF38" i="5"/>
  <c r="AA34" i="5"/>
  <c r="AD34" i="5"/>
  <c r="AA39" i="5"/>
  <c r="AD39" i="5"/>
  <c r="AA57" i="5"/>
  <c r="AD57" i="5"/>
  <c r="AA55" i="5"/>
  <c r="AD55" i="5"/>
  <c r="AA58" i="5"/>
  <c r="AD58" i="5"/>
  <c r="AA56" i="5"/>
  <c r="AD56" i="5"/>
  <c r="O11" i="5"/>
  <c r="T11" i="5" s="1"/>
  <c r="P11" i="5"/>
  <c r="U11" i="5" s="1"/>
  <c r="Z11" i="5" s="1"/>
  <c r="AE11" i="5" s="1"/>
  <c r="AJ11" i="5" s="1"/>
  <c r="AO11" i="5" s="1"/>
  <c r="AT11" i="5" s="1"/>
  <c r="AY11" i="5" s="1"/>
  <c r="BD11" i="5" s="1"/>
  <c r="BI11" i="5" s="1"/>
  <c r="BN11" i="5" s="1"/>
  <c r="BS11" i="5" s="1"/>
  <c r="BX11" i="5" s="1"/>
  <c r="O12" i="5"/>
  <c r="P12" i="5"/>
  <c r="U12" i="5" s="1"/>
  <c r="Z12" i="5" s="1"/>
  <c r="AE12" i="5" s="1"/>
  <c r="AJ12" i="5" s="1"/>
  <c r="O13" i="5"/>
  <c r="T13" i="5" s="1"/>
  <c r="P13" i="5"/>
  <c r="U13" i="5" s="1"/>
  <c r="Z13" i="5" s="1"/>
  <c r="AE13" i="5" s="1"/>
  <c r="AJ13" i="5" s="1"/>
  <c r="AO13" i="5" s="1"/>
  <c r="AT13" i="5" s="1"/>
  <c r="AY13" i="5" s="1"/>
  <c r="BD13" i="5" s="1"/>
  <c r="BI13" i="5" s="1"/>
  <c r="BN13" i="5" s="1"/>
  <c r="BS13" i="5" s="1"/>
  <c r="BX13" i="5" s="1"/>
  <c r="O14" i="5"/>
  <c r="P14" i="5"/>
  <c r="U14" i="5" s="1"/>
  <c r="Z14" i="5" s="1"/>
  <c r="AE14" i="5" s="1"/>
  <c r="AJ14" i="5" s="1"/>
  <c r="AO14" i="5" s="1"/>
  <c r="AT14" i="5" s="1"/>
  <c r="AY14" i="5" s="1"/>
  <c r="BD14" i="5" s="1"/>
  <c r="BI14" i="5" s="1"/>
  <c r="BN14" i="5" s="1"/>
  <c r="BS14" i="5" s="1"/>
  <c r="BX14" i="5" s="1"/>
  <c r="O15" i="5"/>
  <c r="P15" i="5"/>
  <c r="U15" i="5" s="1"/>
  <c r="Z15" i="5" s="1"/>
  <c r="AE15" i="5" s="1"/>
  <c r="O16" i="5"/>
  <c r="T16" i="5" s="1"/>
  <c r="P16" i="5"/>
  <c r="U16" i="5" s="1"/>
  <c r="Z16" i="5" s="1"/>
  <c r="AE16" i="5" s="1"/>
  <c r="AJ16" i="5" s="1"/>
  <c r="AO16" i="5" s="1"/>
  <c r="AT16" i="5" s="1"/>
  <c r="AY16" i="5" s="1"/>
  <c r="BD16" i="5" s="1"/>
  <c r="BI16" i="5" s="1"/>
  <c r="BN16" i="5" s="1"/>
  <c r="BS16" i="5" s="1"/>
  <c r="BX16" i="5" s="1"/>
  <c r="O17" i="5"/>
  <c r="T17" i="5" s="1"/>
  <c r="P17" i="5"/>
  <c r="U17" i="5" s="1"/>
  <c r="Z17" i="5" s="1"/>
  <c r="AE17" i="5" s="1"/>
  <c r="AJ17" i="5" s="1"/>
  <c r="AO17" i="5" s="1"/>
  <c r="AT17" i="5" s="1"/>
  <c r="AY17" i="5" s="1"/>
  <c r="BD17" i="5" s="1"/>
  <c r="BI17" i="5" s="1"/>
  <c r="BN17" i="5" s="1"/>
  <c r="BS17" i="5" s="1"/>
  <c r="BX17" i="5" s="1"/>
  <c r="O18" i="5"/>
  <c r="P18" i="5"/>
  <c r="U18" i="5" s="1"/>
  <c r="Z18" i="5" s="1"/>
  <c r="AE18" i="5" s="1"/>
  <c r="AJ18" i="5" s="1"/>
  <c r="AO18" i="5" s="1"/>
  <c r="AT18" i="5" s="1"/>
  <c r="AY18" i="5" s="1"/>
  <c r="BD18" i="5" s="1"/>
  <c r="BI18" i="5" s="1"/>
  <c r="BN18" i="5" s="1"/>
  <c r="BS18" i="5" s="1"/>
  <c r="BX18" i="5" s="1"/>
  <c r="O19" i="5"/>
  <c r="T19" i="5" s="1"/>
  <c r="P19" i="5"/>
  <c r="U19" i="5" s="1"/>
  <c r="Z19" i="5" s="1"/>
  <c r="AE19" i="5" s="1"/>
  <c r="AJ19" i="5" s="1"/>
  <c r="AO19" i="5" s="1"/>
  <c r="AT19" i="5" s="1"/>
  <c r="AY19" i="5" s="1"/>
  <c r="BD19" i="5" s="1"/>
  <c r="BI19" i="5" s="1"/>
  <c r="BN19" i="5" s="1"/>
  <c r="BS19" i="5" s="1"/>
  <c r="BX19" i="5" s="1"/>
  <c r="O20" i="5"/>
  <c r="T20" i="5" s="1"/>
  <c r="P20" i="5"/>
  <c r="U20" i="5" s="1"/>
  <c r="Z20" i="5" s="1"/>
  <c r="AE20" i="5" s="1"/>
  <c r="AJ20" i="5" s="1"/>
  <c r="AO20" i="5" s="1"/>
  <c r="AT20" i="5" s="1"/>
  <c r="AY20" i="5" s="1"/>
  <c r="BD20" i="5" s="1"/>
  <c r="BI20" i="5" s="1"/>
  <c r="BN20" i="5" s="1"/>
  <c r="BS20" i="5" s="1"/>
  <c r="BX20" i="5" s="1"/>
  <c r="O21" i="5"/>
  <c r="T21" i="5" s="1"/>
  <c r="P21" i="5"/>
  <c r="U21" i="5" s="1"/>
  <c r="Z21" i="5" s="1"/>
  <c r="AE21" i="5" s="1"/>
  <c r="AJ21" i="5" s="1"/>
  <c r="AO21" i="5" s="1"/>
  <c r="AT21" i="5" s="1"/>
  <c r="AY21" i="5" s="1"/>
  <c r="BD21" i="5" s="1"/>
  <c r="BI21" i="5" s="1"/>
  <c r="BN21" i="5" s="1"/>
  <c r="BS21" i="5" s="1"/>
  <c r="BX21" i="5" s="1"/>
  <c r="O22" i="5"/>
  <c r="T22" i="5" s="1"/>
  <c r="P22" i="5"/>
  <c r="U22" i="5" s="1"/>
  <c r="Z22" i="5" s="1"/>
  <c r="AE22" i="5" s="1"/>
  <c r="AJ22" i="5" s="1"/>
  <c r="AO22" i="5" s="1"/>
  <c r="AT22" i="5" s="1"/>
  <c r="AY22" i="5" s="1"/>
  <c r="BD22" i="5" s="1"/>
  <c r="BI22" i="5" s="1"/>
  <c r="BN22" i="5" s="1"/>
  <c r="BS22" i="5" s="1"/>
  <c r="BX22" i="5" s="1"/>
  <c r="O23" i="5"/>
  <c r="P23" i="5"/>
  <c r="U23" i="5" s="1"/>
  <c r="Z23" i="5" s="1"/>
  <c r="AE23" i="5" s="1"/>
  <c r="O24" i="5"/>
  <c r="T24" i="5" s="1"/>
  <c r="P24" i="5"/>
  <c r="U24" i="5" s="1"/>
  <c r="Z24" i="5" s="1"/>
  <c r="AE24" i="5" s="1"/>
  <c r="AJ24" i="5" s="1"/>
  <c r="O25" i="5"/>
  <c r="T25" i="5" s="1"/>
  <c r="P25" i="5"/>
  <c r="U25" i="5" s="1"/>
  <c r="Z25" i="5" s="1"/>
  <c r="AE25" i="5" s="1"/>
  <c r="AJ25" i="5" s="1"/>
  <c r="AO25" i="5" s="1"/>
  <c r="AT25" i="5" s="1"/>
  <c r="AY25" i="5" s="1"/>
  <c r="BD25" i="5" s="1"/>
  <c r="BI25" i="5" s="1"/>
  <c r="BN25" i="5" s="1"/>
  <c r="BS25" i="5" s="1"/>
  <c r="BX25" i="5" s="1"/>
  <c r="O26" i="5"/>
  <c r="T26" i="5" s="1"/>
  <c r="P26" i="5"/>
  <c r="U26" i="5" s="1"/>
  <c r="Z26" i="5" s="1"/>
  <c r="AE26" i="5" s="1"/>
  <c r="O27" i="5"/>
  <c r="T27" i="5" s="1"/>
  <c r="P27" i="5"/>
  <c r="U27" i="5" s="1"/>
  <c r="Z27" i="5" s="1"/>
  <c r="AE27" i="5" s="1"/>
  <c r="AJ27" i="5" s="1"/>
  <c r="AO27" i="5" s="1"/>
  <c r="AT27" i="5" s="1"/>
  <c r="AY27" i="5" s="1"/>
  <c r="BD27" i="5" s="1"/>
  <c r="BI27" i="5" s="1"/>
  <c r="BN27" i="5" s="1"/>
  <c r="BS27" i="5" s="1"/>
  <c r="BX27" i="5" s="1"/>
  <c r="O28" i="5"/>
  <c r="T28" i="5" s="1"/>
  <c r="P28" i="5"/>
  <c r="U28" i="5" s="1"/>
  <c r="Z28" i="5" s="1"/>
  <c r="AE28" i="5" s="1"/>
  <c r="AJ28" i="5" s="1"/>
  <c r="O29" i="5"/>
  <c r="T29" i="5" s="1"/>
  <c r="P29" i="5"/>
  <c r="U29" i="5" s="1"/>
  <c r="Z29" i="5" s="1"/>
  <c r="AE29" i="5" s="1"/>
  <c r="AJ29" i="5" s="1"/>
  <c r="AO29" i="5" s="1"/>
  <c r="AT29" i="5" s="1"/>
  <c r="AY29" i="5" s="1"/>
  <c r="BD29" i="5" s="1"/>
  <c r="BI29" i="5" s="1"/>
  <c r="BN29" i="5" s="1"/>
  <c r="BS29" i="5" s="1"/>
  <c r="BX29" i="5" s="1"/>
  <c r="O30" i="5"/>
  <c r="T30" i="5" s="1"/>
  <c r="P30" i="5"/>
  <c r="U30" i="5" s="1"/>
  <c r="Z30" i="5" s="1"/>
  <c r="AE30" i="5" s="1"/>
  <c r="AJ30" i="5" s="1"/>
  <c r="AO30" i="5" s="1"/>
  <c r="AT30" i="5" s="1"/>
  <c r="AY30" i="5" s="1"/>
  <c r="BD30" i="5" s="1"/>
  <c r="BI30" i="5" s="1"/>
  <c r="BN30" i="5" s="1"/>
  <c r="BS30" i="5" s="1"/>
  <c r="BX30" i="5" s="1"/>
  <c r="O31" i="5"/>
  <c r="T31" i="5" s="1"/>
  <c r="P31" i="5"/>
  <c r="U31" i="5" s="1"/>
  <c r="Z31" i="5" s="1"/>
  <c r="AE31" i="5" s="1"/>
  <c r="BZ87" i="5"/>
  <c r="P87" i="5"/>
  <c r="U87" i="5" s="1"/>
  <c r="Z87" i="5" s="1"/>
  <c r="AE87" i="5" s="1"/>
  <c r="AJ87" i="5" s="1"/>
  <c r="O87" i="5"/>
  <c r="T87" i="5" s="1"/>
  <c r="G87" i="5"/>
  <c r="BZ86" i="5"/>
  <c r="P86" i="5"/>
  <c r="U86" i="5" s="1"/>
  <c r="Z86" i="5" s="1"/>
  <c r="AE86" i="5" s="1"/>
  <c r="AJ86" i="5" s="1"/>
  <c r="O86" i="5"/>
  <c r="T86" i="5" s="1"/>
  <c r="G86" i="5"/>
  <c r="BZ85" i="5"/>
  <c r="P85" i="5"/>
  <c r="U85" i="5" s="1"/>
  <c r="Z85" i="5" s="1"/>
  <c r="AE85" i="5" s="1"/>
  <c r="AJ85" i="5" s="1"/>
  <c r="O85" i="5"/>
  <c r="T85" i="5" s="1"/>
  <c r="G85" i="5"/>
  <c r="BZ84" i="5"/>
  <c r="P84" i="5"/>
  <c r="U84" i="5" s="1"/>
  <c r="Z84" i="5" s="1"/>
  <c r="AE84" i="5" s="1"/>
  <c r="AJ84" i="5" s="1"/>
  <c r="O84" i="5"/>
  <c r="T84" i="5" s="1"/>
  <c r="G84" i="5"/>
  <c r="BZ83" i="5"/>
  <c r="P83" i="5"/>
  <c r="U83" i="5" s="1"/>
  <c r="Z83" i="5" s="1"/>
  <c r="AE83" i="5" s="1"/>
  <c r="AJ83" i="5" s="1"/>
  <c r="O83" i="5"/>
  <c r="T83" i="5" s="1"/>
  <c r="G83" i="5"/>
  <c r="BZ82" i="5"/>
  <c r="P82" i="5"/>
  <c r="U82" i="5" s="1"/>
  <c r="Z82" i="5" s="1"/>
  <c r="AE82" i="5" s="1"/>
  <c r="AJ82" i="5" s="1"/>
  <c r="O82" i="5"/>
  <c r="T82" i="5" s="1"/>
  <c r="G82" i="5"/>
  <c r="BZ81" i="5"/>
  <c r="P81" i="5"/>
  <c r="U81" i="5" s="1"/>
  <c r="Z81" i="5" s="1"/>
  <c r="AE81" i="5" s="1"/>
  <c r="AJ81" i="5" s="1"/>
  <c r="AO81" i="5" s="1"/>
  <c r="AT81" i="5" s="1"/>
  <c r="AY81" i="5" s="1"/>
  <c r="BD81" i="5" s="1"/>
  <c r="BI81" i="5" s="1"/>
  <c r="BN81" i="5" s="1"/>
  <c r="BS81" i="5" s="1"/>
  <c r="BX81" i="5" s="1"/>
  <c r="O81" i="5"/>
  <c r="T81" i="5" s="1"/>
  <c r="G81" i="5"/>
  <c r="BZ80" i="5"/>
  <c r="P80" i="5"/>
  <c r="U80" i="5" s="1"/>
  <c r="Z80" i="5" s="1"/>
  <c r="AE80" i="5" s="1"/>
  <c r="AJ80" i="5" s="1"/>
  <c r="AO80" i="5" s="1"/>
  <c r="AT80" i="5" s="1"/>
  <c r="AY80" i="5" s="1"/>
  <c r="BD80" i="5" s="1"/>
  <c r="BI80" i="5" s="1"/>
  <c r="BN80" i="5" s="1"/>
  <c r="BS80" i="5" s="1"/>
  <c r="BX80" i="5" s="1"/>
  <c r="O80" i="5"/>
  <c r="T80" i="5" s="1"/>
  <c r="G80" i="5"/>
  <c r="BZ79" i="5"/>
  <c r="P79" i="5"/>
  <c r="U79" i="5" s="1"/>
  <c r="Z79" i="5" s="1"/>
  <c r="AE79" i="5" s="1"/>
  <c r="AJ79" i="5" s="1"/>
  <c r="AO79" i="5" s="1"/>
  <c r="AT79" i="5" s="1"/>
  <c r="AY79" i="5" s="1"/>
  <c r="BD79" i="5" s="1"/>
  <c r="BI79" i="5" s="1"/>
  <c r="BN79" i="5" s="1"/>
  <c r="BS79" i="5" s="1"/>
  <c r="BX79" i="5" s="1"/>
  <c r="O79" i="5"/>
  <c r="T79" i="5" s="1"/>
  <c r="G79" i="5"/>
  <c r="BZ78" i="5"/>
  <c r="P78" i="5"/>
  <c r="U78" i="5" s="1"/>
  <c r="Z78" i="5" s="1"/>
  <c r="AE78" i="5" s="1"/>
  <c r="AJ78" i="5" s="1"/>
  <c r="AO78" i="5" s="1"/>
  <c r="AT78" i="5" s="1"/>
  <c r="AY78" i="5" s="1"/>
  <c r="O78" i="5"/>
  <c r="T78" i="5" s="1"/>
  <c r="G78" i="5"/>
  <c r="BZ77" i="5"/>
  <c r="P77" i="5"/>
  <c r="U77" i="5" s="1"/>
  <c r="Z77" i="5" s="1"/>
  <c r="AE77" i="5" s="1"/>
  <c r="AJ77" i="5" s="1"/>
  <c r="AO77" i="5" s="1"/>
  <c r="O77" i="5"/>
  <c r="T77" i="5" s="1"/>
  <c r="G77" i="5"/>
  <c r="BZ76" i="5"/>
  <c r="P76" i="5"/>
  <c r="U76" i="5" s="1"/>
  <c r="Z76" i="5" s="1"/>
  <c r="AE76" i="5" s="1"/>
  <c r="AJ76" i="5" s="1"/>
  <c r="AO76" i="5" s="1"/>
  <c r="AT76" i="5" s="1"/>
  <c r="AY76" i="5" s="1"/>
  <c r="BD76" i="5" s="1"/>
  <c r="BI76" i="5" s="1"/>
  <c r="BN76" i="5" s="1"/>
  <c r="BS76" i="5" s="1"/>
  <c r="BX76" i="5" s="1"/>
  <c r="O76" i="5"/>
  <c r="T76" i="5" s="1"/>
  <c r="G76" i="5"/>
  <c r="BZ75" i="5"/>
  <c r="P75" i="5"/>
  <c r="U75" i="5" s="1"/>
  <c r="Z75" i="5" s="1"/>
  <c r="AE75" i="5" s="1"/>
  <c r="AJ75" i="5" s="1"/>
  <c r="AO75" i="5" s="1"/>
  <c r="AT75" i="5" s="1"/>
  <c r="AY75" i="5" s="1"/>
  <c r="BD75" i="5" s="1"/>
  <c r="BI75" i="5" s="1"/>
  <c r="O75" i="5"/>
  <c r="T75" i="5" s="1"/>
  <c r="G75" i="5"/>
  <c r="BZ74" i="5"/>
  <c r="P74" i="5"/>
  <c r="U74" i="5" s="1"/>
  <c r="Z74" i="5" s="1"/>
  <c r="AE74" i="5" s="1"/>
  <c r="AJ74" i="5" s="1"/>
  <c r="O74" i="5"/>
  <c r="T74" i="5" s="1"/>
  <c r="G74" i="5"/>
  <c r="BZ73" i="5"/>
  <c r="P73" i="5"/>
  <c r="U73" i="5" s="1"/>
  <c r="Z73" i="5" s="1"/>
  <c r="AE73" i="5" s="1"/>
  <c r="AJ73" i="5" s="1"/>
  <c r="O73" i="5"/>
  <c r="T73" i="5" s="1"/>
  <c r="G73" i="5"/>
  <c r="BZ72" i="5"/>
  <c r="P72" i="5"/>
  <c r="U72" i="5" s="1"/>
  <c r="Z72" i="5" s="1"/>
  <c r="AE72" i="5" s="1"/>
  <c r="AJ72" i="5" s="1"/>
  <c r="O72" i="5"/>
  <c r="T72" i="5" s="1"/>
  <c r="G72" i="5"/>
  <c r="BZ71" i="5"/>
  <c r="P71" i="5"/>
  <c r="U71" i="5" s="1"/>
  <c r="Z71" i="5" s="1"/>
  <c r="AE71" i="5" s="1"/>
  <c r="AJ71" i="5" s="1"/>
  <c r="O71" i="5"/>
  <c r="T71" i="5" s="1"/>
  <c r="G71" i="5"/>
  <c r="BZ70" i="5"/>
  <c r="P70" i="5"/>
  <c r="U70" i="5" s="1"/>
  <c r="Z70" i="5" s="1"/>
  <c r="AE70" i="5" s="1"/>
  <c r="AJ70" i="5" s="1"/>
  <c r="O70" i="5"/>
  <c r="T70" i="5" s="1"/>
  <c r="G70" i="5"/>
  <c r="BZ69" i="5"/>
  <c r="P69" i="5"/>
  <c r="U69" i="5" s="1"/>
  <c r="Z69" i="5" s="1"/>
  <c r="AE69" i="5" s="1"/>
  <c r="AJ69" i="5" s="1"/>
  <c r="O69" i="5"/>
  <c r="T69" i="5" s="1"/>
  <c r="G69" i="5"/>
  <c r="BZ68" i="5"/>
  <c r="P68" i="5"/>
  <c r="U68" i="5" s="1"/>
  <c r="Z68" i="5" s="1"/>
  <c r="AE68" i="5" s="1"/>
  <c r="AJ68" i="5" s="1"/>
  <c r="O68" i="5"/>
  <c r="T68" i="5" s="1"/>
  <c r="G68" i="5"/>
  <c r="BZ67" i="5"/>
  <c r="P67" i="5"/>
  <c r="U67" i="5" s="1"/>
  <c r="Z67" i="5" s="1"/>
  <c r="AE67" i="5" s="1"/>
  <c r="AJ67" i="5" s="1"/>
  <c r="O67" i="5"/>
  <c r="T67" i="5" s="1"/>
  <c r="G67" i="5"/>
  <c r="BZ66" i="5"/>
  <c r="P66" i="5"/>
  <c r="U66" i="5" s="1"/>
  <c r="Z66" i="5" s="1"/>
  <c r="AE66" i="5" s="1"/>
  <c r="AJ66" i="5" s="1"/>
  <c r="AO66" i="5" s="1"/>
  <c r="AT66" i="5" s="1"/>
  <c r="AY66" i="5" s="1"/>
  <c r="BD66" i="5" s="1"/>
  <c r="BI66" i="5" s="1"/>
  <c r="BN66" i="5" s="1"/>
  <c r="BS66" i="5" s="1"/>
  <c r="BX66" i="5" s="1"/>
  <c r="O66" i="5"/>
  <c r="T66" i="5" s="1"/>
  <c r="G66" i="5"/>
  <c r="BZ65" i="5"/>
  <c r="P65" i="5"/>
  <c r="U65" i="5" s="1"/>
  <c r="Z65" i="5" s="1"/>
  <c r="AE65" i="5" s="1"/>
  <c r="AJ65" i="5" s="1"/>
  <c r="AO65" i="5" s="1"/>
  <c r="AT65" i="5" s="1"/>
  <c r="O65" i="5"/>
  <c r="T65" i="5" s="1"/>
  <c r="G65" i="5"/>
  <c r="BZ64" i="5"/>
  <c r="P64" i="5"/>
  <c r="U64" i="5" s="1"/>
  <c r="Z64" i="5" s="1"/>
  <c r="AE64" i="5" s="1"/>
  <c r="AJ64" i="5" s="1"/>
  <c r="AO64" i="5" s="1"/>
  <c r="AT64" i="5" s="1"/>
  <c r="AY64" i="5" s="1"/>
  <c r="BD64" i="5" s="1"/>
  <c r="BI64" i="5" s="1"/>
  <c r="BN64" i="5" s="1"/>
  <c r="BS64" i="5" s="1"/>
  <c r="BX64" i="5" s="1"/>
  <c r="O64" i="5"/>
  <c r="T64" i="5" s="1"/>
  <c r="G64" i="5"/>
  <c r="BZ63" i="5"/>
  <c r="P63" i="5"/>
  <c r="U63" i="5" s="1"/>
  <c r="Z63" i="5" s="1"/>
  <c r="AE63" i="5" s="1"/>
  <c r="AJ63" i="5" s="1"/>
  <c r="AO63" i="5" s="1"/>
  <c r="AT63" i="5" s="1"/>
  <c r="AY63" i="5" s="1"/>
  <c r="BD63" i="5" s="1"/>
  <c r="BI63" i="5" s="1"/>
  <c r="BN63" i="5" s="1"/>
  <c r="BS63" i="5" s="1"/>
  <c r="BX63" i="5" s="1"/>
  <c r="O63" i="5"/>
  <c r="T63" i="5" s="1"/>
  <c r="G63" i="5"/>
  <c r="BZ62" i="5"/>
  <c r="P62" i="5"/>
  <c r="U62" i="5" s="1"/>
  <c r="Z62" i="5" s="1"/>
  <c r="AE62" i="5" s="1"/>
  <c r="AJ62" i="5" s="1"/>
  <c r="AO62" i="5" s="1"/>
  <c r="AT62" i="5" s="1"/>
  <c r="AY62" i="5" s="1"/>
  <c r="BD62" i="5" s="1"/>
  <c r="BI62" i="5" s="1"/>
  <c r="BN62" i="5" s="1"/>
  <c r="BS62" i="5" s="1"/>
  <c r="BX62" i="5" s="1"/>
  <c r="O62" i="5"/>
  <c r="T62" i="5" s="1"/>
  <c r="G62" i="5"/>
  <c r="BZ61" i="5"/>
  <c r="P61" i="5"/>
  <c r="U61" i="5" s="1"/>
  <c r="Z61" i="5" s="1"/>
  <c r="AE61" i="5" s="1"/>
  <c r="AJ61" i="5" s="1"/>
  <c r="AO61" i="5" s="1"/>
  <c r="AT61" i="5" s="1"/>
  <c r="AY61" i="5" s="1"/>
  <c r="BD61" i="5" s="1"/>
  <c r="BI61" i="5" s="1"/>
  <c r="BN61" i="5" s="1"/>
  <c r="BS61" i="5" s="1"/>
  <c r="BX61" i="5" s="1"/>
  <c r="O61" i="5"/>
  <c r="T61" i="5" s="1"/>
  <c r="G61" i="5"/>
  <c r="BZ59" i="5"/>
  <c r="P59" i="5"/>
  <c r="U59" i="5" s="1"/>
  <c r="Z59" i="5" s="1"/>
  <c r="AE59" i="5" s="1"/>
  <c r="AJ59" i="5" s="1"/>
  <c r="O59" i="5"/>
  <c r="T59" i="5" s="1"/>
  <c r="G59" i="5"/>
  <c r="BZ58" i="5"/>
  <c r="BZ57" i="5"/>
  <c r="BZ56" i="5"/>
  <c r="BZ55" i="5"/>
  <c r="BZ54" i="5"/>
  <c r="BZ53" i="5"/>
  <c r="BZ52" i="5"/>
  <c r="BZ51" i="5"/>
  <c r="BZ50" i="5"/>
  <c r="BZ49" i="5"/>
  <c r="BZ48" i="5"/>
  <c r="BZ47" i="5"/>
  <c r="BZ46" i="5"/>
  <c r="BZ45" i="5"/>
  <c r="BZ44" i="5"/>
  <c r="BZ43" i="5"/>
  <c r="BZ42" i="5"/>
  <c r="BZ41" i="5"/>
  <c r="BZ40" i="5"/>
  <c r="BZ39" i="5"/>
  <c r="BZ38" i="5"/>
  <c r="BZ37" i="5"/>
  <c r="BZ36" i="5"/>
  <c r="BZ35" i="5"/>
  <c r="BZ34" i="5"/>
  <c r="BZ33" i="5"/>
  <c r="BZ32" i="5"/>
  <c r="BZ31" i="5"/>
  <c r="G31" i="5"/>
  <c r="BZ30" i="5"/>
  <c r="G30" i="5"/>
  <c r="BZ29" i="5"/>
  <c r="G29" i="5"/>
  <c r="BZ28" i="5"/>
  <c r="G28" i="5"/>
  <c r="BZ27" i="5"/>
  <c r="G27" i="5"/>
  <c r="BZ26" i="5"/>
  <c r="G26" i="5"/>
  <c r="BZ25" i="5"/>
  <c r="G25" i="5"/>
  <c r="BZ24" i="5"/>
  <c r="G24" i="5"/>
  <c r="BZ23" i="5"/>
  <c r="G23" i="5"/>
  <c r="BZ22" i="5"/>
  <c r="G22" i="5"/>
  <c r="BZ21" i="5"/>
  <c r="G21" i="5"/>
  <c r="BZ20" i="5"/>
  <c r="G20" i="5"/>
  <c r="BZ19" i="5"/>
  <c r="G19" i="5"/>
  <c r="BZ18" i="5"/>
  <c r="G18" i="5"/>
  <c r="BZ17" i="5"/>
  <c r="G17" i="5"/>
  <c r="BZ16" i="5"/>
  <c r="G16" i="5"/>
  <c r="BZ15" i="5"/>
  <c r="G15" i="5"/>
  <c r="BZ14" i="5"/>
  <c r="G14" i="5"/>
  <c r="BZ13" i="5"/>
  <c r="G13" i="5"/>
  <c r="BZ12" i="5"/>
  <c r="G12" i="5"/>
  <c r="BZ11" i="5"/>
  <c r="G11" i="5"/>
  <c r="BZ10" i="5"/>
  <c r="P10" i="5"/>
  <c r="U10" i="5" s="1"/>
  <c r="Z10" i="5" s="1"/>
  <c r="AE10" i="5" s="1"/>
  <c r="AJ10" i="5" s="1"/>
  <c r="AO10" i="5" s="1"/>
  <c r="AT10" i="5" s="1"/>
  <c r="AY10" i="5" s="1"/>
  <c r="BD10" i="5" s="1"/>
  <c r="BI10" i="5" s="1"/>
  <c r="BN10" i="5" s="1"/>
  <c r="BS10" i="5" s="1"/>
  <c r="BX10" i="5" s="1"/>
  <c r="O10" i="5"/>
  <c r="T10" i="5" s="1"/>
  <c r="G10" i="5"/>
  <c r="BF9" i="4"/>
  <c r="BF8" i="4"/>
  <c r="BF7" i="4"/>
  <c r="BG24" i="3"/>
  <c r="BG18" i="3"/>
  <c r="BG17" i="3"/>
  <c r="BG16" i="3"/>
  <c r="BG15" i="3"/>
  <c r="BG14" i="3"/>
  <c r="BG11" i="3"/>
  <c r="BG10" i="3"/>
  <c r="BG8" i="3"/>
  <c r="BG71" i="1"/>
  <c r="BG69" i="1"/>
  <c r="BG68" i="1"/>
  <c r="BG51" i="1"/>
  <c r="BG50" i="1"/>
  <c r="BG49" i="1"/>
  <c r="BG48" i="1"/>
  <c r="BG47" i="1"/>
  <c r="BG46" i="1"/>
  <c r="BG45" i="1"/>
  <c r="BG44" i="1"/>
  <c r="BG36" i="1"/>
  <c r="BG35" i="1"/>
  <c r="BG34" i="1"/>
  <c r="BG33" i="1"/>
  <c r="BG32" i="1"/>
  <c r="BG31" i="1"/>
  <c r="BG30" i="1"/>
  <c r="BG29" i="1"/>
  <c r="BG28" i="1"/>
  <c r="BG27" i="1"/>
  <c r="BG26" i="1"/>
  <c r="BG25" i="1"/>
  <c r="Q20" i="5" l="1"/>
  <c r="AP33" i="5"/>
  <c r="AS33" i="5"/>
  <c r="AO12" i="5"/>
  <c r="AT12" i="5" s="1"/>
  <c r="AY12" i="5" s="1"/>
  <c r="BD12" i="5" s="1"/>
  <c r="BI12" i="5" s="1"/>
  <c r="BN12" i="5" s="1"/>
  <c r="BS12" i="5" s="1"/>
  <c r="BX12" i="5" s="1"/>
  <c r="AF55" i="5"/>
  <c r="AI55" i="5"/>
  <c r="AP42" i="5"/>
  <c r="AS42" i="5"/>
  <c r="AJ31" i="5"/>
  <c r="AO31" i="5" s="1"/>
  <c r="AT31" i="5" s="1"/>
  <c r="AY31" i="5" s="1"/>
  <c r="BD31" i="5" s="1"/>
  <c r="BI31" i="5" s="1"/>
  <c r="BN31" i="5" s="1"/>
  <c r="BS31" i="5" s="1"/>
  <c r="BX31" i="5" s="1"/>
  <c r="AJ23" i="5"/>
  <c r="AO23" i="5" s="1"/>
  <c r="AT23" i="5" s="1"/>
  <c r="AY23" i="5" s="1"/>
  <c r="BD23" i="5" s="1"/>
  <c r="BI23" i="5" s="1"/>
  <c r="BN23" i="5" s="1"/>
  <c r="BS23" i="5" s="1"/>
  <c r="BX23" i="5" s="1"/>
  <c r="AN38" i="5"/>
  <c r="AK38" i="5"/>
  <c r="AS32" i="5"/>
  <c r="AP32" i="5"/>
  <c r="AO87" i="5"/>
  <c r="AT87" i="5" s="1"/>
  <c r="AY87" i="5" s="1"/>
  <c r="BD87" i="5" s="1"/>
  <c r="BI87" i="5" s="1"/>
  <c r="BN87" i="5" s="1"/>
  <c r="BS87" i="5" s="1"/>
  <c r="BX87" i="5" s="1"/>
  <c r="AJ15" i="5"/>
  <c r="AO15" i="5" s="1"/>
  <c r="AT15" i="5" s="1"/>
  <c r="AY15" i="5" s="1"/>
  <c r="BD15" i="5" s="1"/>
  <c r="BI15" i="5" s="1"/>
  <c r="BN15" i="5" s="1"/>
  <c r="BS15" i="5" s="1"/>
  <c r="BX15" i="5" s="1"/>
  <c r="AF57" i="5"/>
  <c r="AI57" i="5"/>
  <c r="AP37" i="5"/>
  <c r="AS37" i="5"/>
  <c r="AI41" i="5"/>
  <c r="AF41" i="5"/>
  <c r="AX54" i="5"/>
  <c r="AF58" i="5"/>
  <c r="AI58" i="5"/>
  <c r="AO59" i="5"/>
  <c r="AT59" i="5" s="1"/>
  <c r="AY59" i="5" s="1"/>
  <c r="BD59" i="5" s="1"/>
  <c r="BI59" i="5" s="1"/>
  <c r="BN59" i="5" s="1"/>
  <c r="BS59" i="5" s="1"/>
  <c r="BX59" i="5" s="1"/>
  <c r="BD78" i="5"/>
  <c r="BI78" i="5" s="1"/>
  <c r="BN78" i="5" s="1"/>
  <c r="BS78" i="5" s="1"/>
  <c r="BX78" i="5" s="1"/>
  <c r="AJ26" i="5"/>
  <c r="AO26" i="5" s="1"/>
  <c r="AT26" i="5" s="1"/>
  <c r="AY26" i="5" s="1"/>
  <c r="BD26" i="5" s="1"/>
  <c r="BI26" i="5" s="1"/>
  <c r="BN26" i="5" s="1"/>
  <c r="BS26" i="5" s="1"/>
  <c r="BX26" i="5" s="1"/>
  <c r="AF34" i="5"/>
  <c r="AI34" i="5"/>
  <c r="AY65" i="5"/>
  <c r="BD65" i="5" s="1"/>
  <c r="BI65" i="5" s="1"/>
  <c r="BN65" i="5" s="1"/>
  <c r="BS65" i="5" s="1"/>
  <c r="BX65" i="5" s="1"/>
  <c r="AO28" i="5"/>
  <c r="AT28" i="5" s="1"/>
  <c r="AY28" i="5" s="1"/>
  <c r="BD28" i="5" s="1"/>
  <c r="BI28" i="5" s="1"/>
  <c r="BN28" i="5" s="1"/>
  <c r="BS28" i="5" s="1"/>
  <c r="BX28" i="5" s="1"/>
  <c r="AF56" i="5"/>
  <c r="AI56" i="5"/>
  <c r="AI39" i="5"/>
  <c r="AF39" i="5"/>
  <c r="AI40" i="5"/>
  <c r="AF40" i="5"/>
  <c r="AS35" i="5"/>
  <c r="AP35" i="5"/>
  <c r="AO54" i="5"/>
  <c r="AK54" i="5"/>
  <c r="AF36" i="5"/>
  <c r="AI36" i="5"/>
  <c r="AT77" i="5"/>
  <c r="AO24" i="5"/>
  <c r="AT24" i="5" s="1"/>
  <c r="AY24" i="5" s="1"/>
  <c r="BD24" i="5" s="1"/>
  <c r="BI24" i="5" s="1"/>
  <c r="BN24" i="5" s="1"/>
  <c r="BS24" i="5" s="1"/>
  <c r="BX24" i="5" s="1"/>
  <c r="Y59" i="5"/>
  <c r="V59" i="5"/>
  <c r="V63" i="5"/>
  <c r="Y63" i="5"/>
  <c r="V66" i="5"/>
  <c r="Y66" i="5"/>
  <c r="V69" i="5"/>
  <c r="Y69" i="5"/>
  <c r="V72" i="5"/>
  <c r="Y72" i="5"/>
  <c r="Y75" i="5"/>
  <c r="V75" i="5"/>
  <c r="V78" i="5"/>
  <c r="Y78" i="5"/>
  <c r="AD78" i="5" s="1"/>
  <c r="V81" i="5"/>
  <c r="Y81" i="5"/>
  <c r="Y84" i="5"/>
  <c r="V84" i="5"/>
  <c r="Y87" i="5"/>
  <c r="V87" i="5"/>
  <c r="V27" i="5"/>
  <c r="Y27" i="5"/>
  <c r="V21" i="5"/>
  <c r="Y21" i="5"/>
  <c r="V22" i="5"/>
  <c r="Y22" i="5"/>
  <c r="Q15" i="5"/>
  <c r="T15" i="5"/>
  <c r="Y26" i="5"/>
  <c r="V26" i="5"/>
  <c r="V20" i="5"/>
  <c r="Y20" i="5"/>
  <c r="Q14" i="5"/>
  <c r="T14" i="5"/>
  <c r="V10" i="5"/>
  <c r="Y10" i="5"/>
  <c r="V61" i="5"/>
  <c r="Y61" i="5"/>
  <c r="V64" i="5"/>
  <c r="Y64" i="5"/>
  <c r="V67" i="5"/>
  <c r="Y67" i="5"/>
  <c r="V70" i="5"/>
  <c r="Y70" i="5"/>
  <c r="V73" i="5"/>
  <c r="Y73" i="5"/>
  <c r="Y76" i="5"/>
  <c r="V76" i="5"/>
  <c r="V79" i="5"/>
  <c r="Y79" i="5"/>
  <c r="V82" i="5"/>
  <c r="Y82" i="5"/>
  <c r="V85" i="5"/>
  <c r="Y85" i="5"/>
  <c r="V31" i="5"/>
  <c r="Y31" i="5"/>
  <c r="V25" i="5"/>
  <c r="Y25" i="5"/>
  <c r="Y19" i="5"/>
  <c r="V19" i="5"/>
  <c r="V13" i="5"/>
  <c r="Y13" i="5"/>
  <c r="V30" i="5"/>
  <c r="Y30" i="5"/>
  <c r="V24" i="5"/>
  <c r="Y24" i="5"/>
  <c r="V16" i="5"/>
  <c r="Y16" i="5"/>
  <c r="Q18" i="5"/>
  <c r="T18" i="5"/>
  <c r="Q12" i="5"/>
  <c r="T12" i="5"/>
  <c r="V28" i="5"/>
  <c r="Y28" i="5"/>
  <c r="V62" i="5"/>
  <c r="Y62" i="5"/>
  <c r="V65" i="5"/>
  <c r="Y65" i="5"/>
  <c r="Y68" i="5"/>
  <c r="V68" i="5"/>
  <c r="Y71" i="5"/>
  <c r="V71" i="5"/>
  <c r="V74" i="5"/>
  <c r="Y74" i="5"/>
  <c r="V77" i="5"/>
  <c r="Y77" i="5"/>
  <c r="V80" i="5"/>
  <c r="Y80" i="5"/>
  <c r="V83" i="5"/>
  <c r="Y83" i="5"/>
  <c r="V86" i="5"/>
  <c r="Y86" i="5"/>
  <c r="V29" i="5"/>
  <c r="Y29" i="5"/>
  <c r="Q23" i="5"/>
  <c r="T23" i="5"/>
  <c r="V17" i="5"/>
  <c r="Y17" i="5"/>
  <c r="Y11" i="5"/>
  <c r="V11" i="5"/>
  <c r="Q26" i="5"/>
  <c r="Q21" i="5"/>
  <c r="Q11" i="5"/>
  <c r="Q28" i="5"/>
  <c r="Q31" i="5"/>
  <c r="Q24" i="5"/>
  <c r="Q85" i="5"/>
  <c r="Q87" i="5"/>
  <c r="Q17" i="5"/>
  <c r="Q30" i="5"/>
  <c r="Q13" i="5"/>
  <c r="Q61" i="5"/>
  <c r="Q63" i="5"/>
  <c r="Q65" i="5"/>
  <c r="Q67" i="5"/>
  <c r="Q69" i="5"/>
  <c r="Q71" i="5"/>
  <c r="Q73" i="5"/>
  <c r="Q75" i="5"/>
  <c r="Q77" i="5"/>
  <c r="Q79" i="5"/>
  <c r="Q81" i="5"/>
  <c r="Q83" i="5"/>
  <c r="Q16" i="5"/>
  <c r="Q29" i="5"/>
  <c r="Q19" i="5"/>
  <c r="Q27" i="5"/>
  <c r="Q22" i="5"/>
  <c r="Q25" i="5"/>
  <c r="Q59" i="5"/>
  <c r="Q62" i="5"/>
  <c r="Q64" i="5"/>
  <c r="Q66" i="5"/>
  <c r="Q68" i="5"/>
  <c r="Q70" i="5"/>
  <c r="Q72" i="5"/>
  <c r="Q74" i="5"/>
  <c r="Q76" i="5"/>
  <c r="Q78" i="5"/>
  <c r="Q80" i="5"/>
  <c r="Q82" i="5"/>
  <c r="Q84" i="5"/>
  <c r="Q86" i="5"/>
  <c r="Q10" i="5"/>
  <c r="AA26" i="5" l="1"/>
  <c r="AD26" i="5"/>
  <c r="AA27" i="5"/>
  <c r="AD27" i="5"/>
  <c r="AF78" i="5"/>
  <c r="AI78" i="5"/>
  <c r="AN58" i="5"/>
  <c r="AK58" i="5"/>
  <c r="AK57" i="5"/>
  <c r="AN57" i="5"/>
  <c r="AN55" i="5"/>
  <c r="AK55" i="5"/>
  <c r="AA29" i="5"/>
  <c r="AD29" i="5"/>
  <c r="AT54" i="5"/>
  <c r="AP54" i="5"/>
  <c r="AX32" i="5"/>
  <c r="AU32" i="5"/>
  <c r="AA16" i="5"/>
  <c r="AD16" i="5"/>
  <c r="AA10" i="5"/>
  <c r="AD10" i="5"/>
  <c r="AX35" i="5"/>
  <c r="AU35" i="5"/>
  <c r="AS38" i="5"/>
  <c r="AP38" i="5"/>
  <c r="AA21" i="5"/>
  <c r="AD21" i="5"/>
  <c r="AA17" i="5"/>
  <c r="AD17" i="5"/>
  <c r="AA28" i="5"/>
  <c r="AD28" i="5"/>
  <c r="AA24" i="5"/>
  <c r="AD24" i="5"/>
  <c r="AA25" i="5"/>
  <c r="AD25" i="5"/>
  <c r="AA78" i="5"/>
  <c r="AK40" i="5"/>
  <c r="AN40" i="5"/>
  <c r="BC54" i="5"/>
  <c r="BH54" i="5" s="1"/>
  <c r="BM54" i="5" s="1"/>
  <c r="BR54" i="5" s="1"/>
  <c r="AK56" i="5"/>
  <c r="AN56" i="5"/>
  <c r="AU37" i="5"/>
  <c r="AX37" i="5"/>
  <c r="AA13" i="5"/>
  <c r="AD13" i="5"/>
  <c r="AA11" i="5"/>
  <c r="AD11" i="5"/>
  <c r="AY77" i="5"/>
  <c r="BD77" i="5" s="1"/>
  <c r="BI77" i="5" s="1"/>
  <c r="BN77" i="5" s="1"/>
  <c r="BS77" i="5" s="1"/>
  <c r="BX77" i="5" s="1"/>
  <c r="AA22" i="5"/>
  <c r="AD22" i="5"/>
  <c r="AN36" i="5"/>
  <c r="AK36" i="5"/>
  <c r="AU33" i="5"/>
  <c r="AX33" i="5"/>
  <c r="AX42" i="5"/>
  <c r="AU42" i="5"/>
  <c r="AA19" i="5"/>
  <c r="AD19" i="5"/>
  <c r="AA30" i="5"/>
  <c r="AD30" i="5"/>
  <c r="AA31" i="5"/>
  <c r="AD31" i="5"/>
  <c r="AA20" i="5"/>
  <c r="AD20" i="5"/>
  <c r="AN39" i="5"/>
  <c r="AK39" i="5"/>
  <c r="AN34" i="5"/>
  <c r="AK34" i="5"/>
  <c r="AN41" i="5"/>
  <c r="AK41" i="5"/>
  <c r="AA80" i="5"/>
  <c r="AD80" i="5"/>
  <c r="AA68" i="5"/>
  <c r="AD68" i="5"/>
  <c r="AA81" i="5"/>
  <c r="AD81" i="5"/>
  <c r="AA69" i="5"/>
  <c r="AD69" i="5"/>
  <c r="AA84" i="5"/>
  <c r="AD84" i="5"/>
  <c r="AA76" i="5"/>
  <c r="AD76" i="5"/>
  <c r="AA65" i="5"/>
  <c r="AD65" i="5"/>
  <c r="AA73" i="5"/>
  <c r="AD73" i="5"/>
  <c r="AA86" i="5"/>
  <c r="AD86" i="5"/>
  <c r="AA82" i="5"/>
  <c r="AD82" i="5"/>
  <c r="AA64" i="5"/>
  <c r="AD64" i="5"/>
  <c r="AA77" i="5"/>
  <c r="AD77" i="5"/>
  <c r="AA85" i="5"/>
  <c r="AD85" i="5"/>
  <c r="AA61" i="5"/>
  <c r="AD61" i="5"/>
  <c r="AA66" i="5"/>
  <c r="AD66" i="5"/>
  <c r="AA74" i="5"/>
  <c r="AD74" i="5"/>
  <c r="AA62" i="5"/>
  <c r="AD62" i="5"/>
  <c r="AA70" i="5"/>
  <c r="AD70" i="5"/>
  <c r="AA63" i="5"/>
  <c r="AD63" i="5"/>
  <c r="AA79" i="5"/>
  <c r="AD79" i="5"/>
  <c r="AA83" i="5"/>
  <c r="AD83" i="5"/>
  <c r="AA67" i="5"/>
  <c r="AD67" i="5"/>
  <c r="AA87" i="5"/>
  <c r="AD87" i="5"/>
  <c r="AA75" i="5"/>
  <c r="AD75" i="5"/>
  <c r="AA71" i="5"/>
  <c r="AD71" i="5"/>
  <c r="AA72" i="5"/>
  <c r="AD72" i="5"/>
  <c r="AA59" i="5"/>
  <c r="AD59" i="5"/>
  <c r="V15" i="5"/>
  <c r="Y15" i="5"/>
  <c r="V18" i="5"/>
  <c r="Y18" i="5"/>
  <c r="Y14" i="5"/>
  <c r="V14" i="5"/>
  <c r="Y23" i="5"/>
  <c r="V23" i="5"/>
  <c r="V12" i="5"/>
  <c r="Y12" i="5"/>
  <c r="BC9" i="4"/>
  <c r="BC8" i="4"/>
  <c r="BC7" i="4"/>
  <c r="BD24" i="3"/>
  <c r="BD18" i="3"/>
  <c r="BD17" i="3"/>
  <c r="BD16" i="3"/>
  <c r="BD15" i="3"/>
  <c r="BD14" i="3"/>
  <c r="BD11" i="3"/>
  <c r="BD10" i="3"/>
  <c r="BD8" i="3"/>
  <c r="BD71" i="1"/>
  <c r="BD69" i="1"/>
  <c r="BD68" i="1"/>
  <c r="BD51" i="1"/>
  <c r="BD50" i="1"/>
  <c r="BD49" i="1"/>
  <c r="BD48" i="1"/>
  <c r="BD47" i="1"/>
  <c r="BD46" i="1"/>
  <c r="BD45" i="1"/>
  <c r="BD44" i="1"/>
  <c r="BD36" i="1"/>
  <c r="BD35" i="1"/>
  <c r="BD34" i="1"/>
  <c r="BD33" i="1"/>
  <c r="BD32" i="1"/>
  <c r="BD31" i="1"/>
  <c r="BD30" i="1"/>
  <c r="BD29" i="1"/>
  <c r="BD28" i="1"/>
  <c r="BD27" i="1"/>
  <c r="BD26" i="1"/>
  <c r="BD25" i="1"/>
  <c r="BW54" i="5" l="1"/>
  <c r="AF64" i="5"/>
  <c r="AI64" i="5"/>
  <c r="AI13" i="5"/>
  <c r="AF13" i="5"/>
  <c r="AS36" i="5"/>
  <c r="AP36" i="5"/>
  <c r="AP40" i="5"/>
  <c r="AS40" i="5"/>
  <c r="BC35" i="5"/>
  <c r="AZ35" i="5"/>
  <c r="AY54" i="5"/>
  <c r="AU54" i="5"/>
  <c r="AP58" i="5"/>
  <c r="AS58" i="5"/>
  <c r="AF72" i="5"/>
  <c r="AI72" i="5"/>
  <c r="AK72" i="5" s="1"/>
  <c r="AF67" i="5"/>
  <c r="AI67" i="5"/>
  <c r="AK67" i="5" s="1"/>
  <c r="AF70" i="5"/>
  <c r="AI70" i="5"/>
  <c r="AK70" i="5" s="1"/>
  <c r="AF61" i="5"/>
  <c r="AI61" i="5"/>
  <c r="AF82" i="5"/>
  <c r="AI82" i="5"/>
  <c r="AK82" i="5" s="1"/>
  <c r="AF76" i="5"/>
  <c r="AI76" i="5"/>
  <c r="AF68" i="5"/>
  <c r="AI68" i="5"/>
  <c r="AK68" i="5" s="1"/>
  <c r="AF19" i="5"/>
  <c r="AI19" i="5"/>
  <c r="AI22" i="5"/>
  <c r="AF22" i="5"/>
  <c r="BC37" i="5"/>
  <c r="AZ37" i="5"/>
  <c r="AI17" i="5"/>
  <c r="AF17" i="5"/>
  <c r="AF10" i="5"/>
  <c r="AI10" i="5"/>
  <c r="AI29" i="5"/>
  <c r="AF29" i="5"/>
  <c r="AN78" i="5"/>
  <c r="AK78" i="5"/>
  <c r="AF59" i="5"/>
  <c r="AI59" i="5"/>
  <c r="AF81" i="5"/>
  <c r="AI81" i="5"/>
  <c r="AI28" i="5"/>
  <c r="AF28" i="5"/>
  <c r="AP34" i="5"/>
  <c r="AS34" i="5"/>
  <c r="AA14" i="5"/>
  <c r="AD14" i="5"/>
  <c r="AP39" i="5"/>
  <c r="AS39" i="5"/>
  <c r="AF66" i="5"/>
  <c r="AI66" i="5"/>
  <c r="AI30" i="5"/>
  <c r="AF30" i="5"/>
  <c r="AA18" i="5"/>
  <c r="AD18" i="5"/>
  <c r="AF62" i="5"/>
  <c r="AI62" i="5"/>
  <c r="AF84" i="5"/>
  <c r="AI84" i="5"/>
  <c r="AK84" i="5" s="1"/>
  <c r="AI25" i="5"/>
  <c r="AF25" i="5"/>
  <c r="AZ42" i="5"/>
  <c r="BC42" i="5"/>
  <c r="AP55" i="5"/>
  <c r="AS55" i="5"/>
  <c r="AF63" i="5"/>
  <c r="AI63" i="5"/>
  <c r="AF65" i="5"/>
  <c r="AI65" i="5"/>
  <c r="AF83" i="5"/>
  <c r="AI83" i="5"/>
  <c r="AK83" i="5" s="1"/>
  <c r="AF86" i="5"/>
  <c r="AI86" i="5"/>
  <c r="AK86" i="5" s="1"/>
  <c r="AF20" i="5"/>
  <c r="AI20" i="5"/>
  <c r="AS56" i="5"/>
  <c r="AP56" i="5"/>
  <c r="AF27" i="5"/>
  <c r="AI27" i="5"/>
  <c r="AA12" i="5"/>
  <c r="AD12" i="5"/>
  <c r="AA15" i="5"/>
  <c r="AD15" i="5"/>
  <c r="AF75" i="5"/>
  <c r="AI75" i="5"/>
  <c r="AF79" i="5"/>
  <c r="AI79" i="5"/>
  <c r="AF74" i="5"/>
  <c r="AI74" i="5"/>
  <c r="AK74" i="5" s="1"/>
  <c r="AF77" i="5"/>
  <c r="AI77" i="5"/>
  <c r="AF73" i="5"/>
  <c r="AI73" i="5"/>
  <c r="AK73" i="5" s="1"/>
  <c r="AF69" i="5"/>
  <c r="AI69" i="5"/>
  <c r="AK69" i="5" s="1"/>
  <c r="AI31" i="5"/>
  <c r="AF31" i="5"/>
  <c r="AZ33" i="5"/>
  <c r="BC33" i="5"/>
  <c r="AF11" i="5"/>
  <c r="AI11" i="5"/>
  <c r="AI24" i="5"/>
  <c r="AF24" i="5"/>
  <c r="AP57" i="5"/>
  <c r="AS57" i="5"/>
  <c r="AI26" i="5"/>
  <c r="AF26" i="5"/>
  <c r="AF87" i="5"/>
  <c r="AI87" i="5"/>
  <c r="AA23" i="5"/>
  <c r="AD23" i="5"/>
  <c r="AF71" i="5"/>
  <c r="AI71" i="5"/>
  <c r="AK71" i="5" s="1"/>
  <c r="AF85" i="5"/>
  <c r="AI85" i="5"/>
  <c r="AK85" i="5" s="1"/>
  <c r="AF80" i="5"/>
  <c r="AI80" i="5"/>
  <c r="AI21" i="5"/>
  <c r="AF21" i="5"/>
  <c r="AI16" i="5"/>
  <c r="AF16" i="5"/>
  <c r="AS41" i="5"/>
  <c r="AP41" i="5"/>
  <c r="AX38" i="5"/>
  <c r="AU38" i="5"/>
  <c r="BC32" i="5"/>
  <c r="AZ32" i="5"/>
  <c r="AZ8" i="4"/>
  <c r="BA8" i="4" s="1"/>
  <c r="BD8" i="4" s="1"/>
  <c r="BG8" i="4" s="1"/>
  <c r="BJ8" i="4" s="1"/>
  <c r="BM8" i="4" s="1"/>
  <c r="BP8" i="4" s="1"/>
  <c r="BS8" i="4" s="1"/>
  <c r="BV8" i="4" s="1"/>
  <c r="BY8" i="4" s="1"/>
  <c r="AZ9" i="4"/>
  <c r="AZ7" i="4"/>
  <c r="BA69" i="1"/>
  <c r="BA71" i="1"/>
  <c r="BA68" i="1"/>
  <c r="BA45" i="1"/>
  <c r="BA46" i="1"/>
  <c r="BA47" i="1"/>
  <c r="BA48" i="1"/>
  <c r="BA49" i="1"/>
  <c r="BA50" i="1"/>
  <c r="BA51" i="1"/>
  <c r="BA44" i="1"/>
  <c r="BA26" i="1"/>
  <c r="BA27" i="1"/>
  <c r="BA28" i="1"/>
  <c r="BA29" i="1"/>
  <c r="BA30" i="1"/>
  <c r="BA31" i="1"/>
  <c r="BA32" i="1"/>
  <c r="BA33" i="1"/>
  <c r="BA34" i="1"/>
  <c r="BA35" i="1"/>
  <c r="BA36" i="1"/>
  <c r="BA25" i="1"/>
  <c r="BA8" i="1"/>
  <c r="BA9" i="1"/>
  <c r="BA10" i="1"/>
  <c r="BA11" i="1"/>
  <c r="BA12" i="1"/>
  <c r="BA13" i="1"/>
  <c r="BA14" i="1"/>
  <c r="BA15" i="1"/>
  <c r="BA16" i="1"/>
  <c r="BA17" i="1"/>
  <c r="BA7" i="1"/>
  <c r="BA10" i="3"/>
  <c r="BA11" i="3"/>
  <c r="BA14" i="3"/>
  <c r="BA15" i="3"/>
  <c r="BA16" i="3"/>
  <c r="BA17" i="3"/>
  <c r="BA18" i="3"/>
  <c r="BA24" i="3"/>
  <c r="BA8" i="3"/>
  <c r="BE37" i="5" l="1"/>
  <c r="BH37" i="5"/>
  <c r="BE35" i="5"/>
  <c r="BH35" i="5"/>
  <c r="BE33" i="5"/>
  <c r="BH33" i="5"/>
  <c r="BE42" i="5"/>
  <c r="BH42" i="5"/>
  <c r="BE32" i="5"/>
  <c r="BH32" i="5"/>
  <c r="AN63" i="5"/>
  <c r="AK63" i="5"/>
  <c r="AN28" i="5"/>
  <c r="AK28" i="5"/>
  <c r="AN29" i="5"/>
  <c r="AK29" i="5"/>
  <c r="AU57" i="5"/>
  <c r="AX57" i="5"/>
  <c r="AF12" i="5"/>
  <c r="AI12" i="5"/>
  <c r="AU55" i="5"/>
  <c r="AX55" i="5"/>
  <c r="AK62" i="5"/>
  <c r="AN62" i="5"/>
  <c r="AU39" i="5"/>
  <c r="AX39" i="5"/>
  <c r="AN81" i="5"/>
  <c r="AK81" i="5"/>
  <c r="AN10" i="5"/>
  <c r="AK10" i="5"/>
  <c r="AN19" i="5"/>
  <c r="AK19" i="5"/>
  <c r="AN61" i="5"/>
  <c r="AK61" i="5"/>
  <c r="AU58" i="5"/>
  <c r="AX58" i="5"/>
  <c r="AK26" i="5"/>
  <c r="AN26" i="5"/>
  <c r="AK22" i="5"/>
  <c r="AN22" i="5"/>
  <c r="AN16" i="5"/>
  <c r="AK16" i="5"/>
  <c r="AN31" i="5"/>
  <c r="AK31" i="5"/>
  <c r="AU36" i="5"/>
  <c r="AX36" i="5"/>
  <c r="AK20" i="5"/>
  <c r="AN20" i="5"/>
  <c r="AX41" i="5"/>
  <c r="AU41" i="5"/>
  <c r="AI23" i="5"/>
  <c r="AF23" i="5"/>
  <c r="AK79" i="5"/>
  <c r="AN79" i="5"/>
  <c r="AK27" i="5"/>
  <c r="AN27" i="5"/>
  <c r="AF18" i="5"/>
  <c r="AI18" i="5"/>
  <c r="AN59" i="5"/>
  <c r="AK59" i="5"/>
  <c r="AN21" i="5"/>
  <c r="AK21" i="5"/>
  <c r="AN24" i="5"/>
  <c r="AK24" i="5"/>
  <c r="AK17" i="5"/>
  <c r="AN17" i="5"/>
  <c r="BD54" i="5"/>
  <c r="AZ54" i="5"/>
  <c r="AK13" i="5"/>
  <c r="AN13" i="5"/>
  <c r="AI15" i="5"/>
  <c r="AF15" i="5"/>
  <c r="AU40" i="5"/>
  <c r="AX40" i="5"/>
  <c r="BC38" i="5"/>
  <c r="AZ38" i="5"/>
  <c r="AN80" i="5"/>
  <c r="AK80" i="5"/>
  <c r="AN87" i="5"/>
  <c r="AK87" i="5"/>
  <c r="AK11" i="5"/>
  <c r="AN11" i="5"/>
  <c r="AN75" i="5"/>
  <c r="AK75" i="5"/>
  <c r="AK65" i="5"/>
  <c r="AN65" i="5"/>
  <c r="AU34" i="5"/>
  <c r="AX34" i="5"/>
  <c r="AK76" i="5"/>
  <c r="AN76" i="5"/>
  <c r="AK64" i="5"/>
  <c r="AN64" i="5"/>
  <c r="AK77" i="5"/>
  <c r="AN77" i="5"/>
  <c r="AN66" i="5"/>
  <c r="AK66" i="5"/>
  <c r="AI14" i="5"/>
  <c r="AF14" i="5"/>
  <c r="AU56" i="5"/>
  <c r="AX56" i="5"/>
  <c r="AK25" i="5"/>
  <c r="AN25" i="5"/>
  <c r="AK30" i="5"/>
  <c r="AN30" i="5"/>
  <c r="AP78" i="5"/>
  <c r="AS78" i="5"/>
  <c r="AW9" i="4"/>
  <c r="AW7" i="4"/>
  <c r="AX24" i="3"/>
  <c r="AX18" i="3"/>
  <c r="AX17" i="3"/>
  <c r="AX16" i="3"/>
  <c r="AX15" i="3"/>
  <c r="AX14" i="3"/>
  <c r="AX11" i="3"/>
  <c r="AX10" i="3"/>
  <c r="AX8" i="3"/>
  <c r="AX71" i="1"/>
  <c r="AX69" i="1"/>
  <c r="AX68" i="1"/>
  <c r="AX51" i="1"/>
  <c r="AX50" i="1"/>
  <c r="AX49" i="1"/>
  <c r="AX48" i="1"/>
  <c r="AX47" i="1"/>
  <c r="AX46" i="1"/>
  <c r="AX45" i="1"/>
  <c r="AX44" i="1"/>
  <c r="AX36" i="1"/>
  <c r="AX35" i="1"/>
  <c r="AX34" i="1"/>
  <c r="AX33" i="1"/>
  <c r="AX32" i="1"/>
  <c r="AX31" i="1"/>
  <c r="AX30" i="1"/>
  <c r="AX29" i="1"/>
  <c r="AX28" i="1"/>
  <c r="AX27" i="1"/>
  <c r="AX26" i="1"/>
  <c r="AX25" i="1"/>
  <c r="AX17" i="1"/>
  <c r="AX16" i="1"/>
  <c r="AX15" i="1"/>
  <c r="AX14" i="1"/>
  <c r="AX13" i="1"/>
  <c r="AX12" i="1"/>
  <c r="AX11" i="1"/>
  <c r="AX10" i="1"/>
  <c r="AX9" i="1"/>
  <c r="AX8" i="1"/>
  <c r="AX7" i="1"/>
  <c r="BJ32" i="5" l="1"/>
  <c r="BM32" i="5"/>
  <c r="BJ42" i="5"/>
  <c r="BM42" i="5"/>
  <c r="BJ33" i="5"/>
  <c r="BM33" i="5"/>
  <c r="BJ35" i="5"/>
  <c r="BM35" i="5"/>
  <c r="BJ37" i="5"/>
  <c r="BM37" i="5"/>
  <c r="BE54" i="5"/>
  <c r="BI54" i="5"/>
  <c r="BE38" i="5"/>
  <c r="BH38" i="5"/>
  <c r="AS17" i="5"/>
  <c r="AP17" i="5"/>
  <c r="AZ57" i="5"/>
  <c r="BC57" i="5"/>
  <c r="AZ41" i="5"/>
  <c r="BC41" i="5"/>
  <c r="AP16" i="5"/>
  <c r="AS16" i="5"/>
  <c r="AP61" i="5"/>
  <c r="AS61" i="5"/>
  <c r="AP30" i="5"/>
  <c r="AS30" i="5"/>
  <c r="AZ34" i="5"/>
  <c r="BC34" i="5"/>
  <c r="AP27" i="5"/>
  <c r="AS27" i="5"/>
  <c r="AP20" i="5"/>
  <c r="AS20" i="5"/>
  <c r="AP22" i="5"/>
  <c r="AS22" i="5"/>
  <c r="AP62" i="5"/>
  <c r="AS62" i="5"/>
  <c r="AN14" i="5"/>
  <c r="AK14" i="5"/>
  <c r="AS66" i="5"/>
  <c r="AP66" i="5"/>
  <c r="AP87" i="5"/>
  <c r="AS87" i="5"/>
  <c r="AK15" i="5"/>
  <c r="AN15" i="5"/>
  <c r="AS24" i="5"/>
  <c r="AP24" i="5"/>
  <c r="AP19" i="5"/>
  <c r="AS19" i="5"/>
  <c r="AS29" i="5"/>
  <c r="AP29" i="5"/>
  <c r="AP11" i="5"/>
  <c r="AS11" i="5"/>
  <c r="AS79" i="5"/>
  <c r="AP79" i="5"/>
  <c r="BC36" i="5"/>
  <c r="AZ36" i="5"/>
  <c r="AP80" i="5"/>
  <c r="AS80" i="5"/>
  <c r="AP21" i="5"/>
  <c r="AS21" i="5"/>
  <c r="AP10" i="5"/>
  <c r="AS10" i="5"/>
  <c r="AP28" i="5"/>
  <c r="AS28" i="5"/>
  <c r="AP76" i="5"/>
  <c r="AS76" i="5"/>
  <c r="AK18" i="5"/>
  <c r="AN18" i="5"/>
  <c r="BC39" i="5"/>
  <c r="AZ39" i="5"/>
  <c r="AS77" i="5"/>
  <c r="AP77" i="5"/>
  <c r="AP13" i="5"/>
  <c r="AS13" i="5"/>
  <c r="BC56" i="5"/>
  <c r="AZ56" i="5"/>
  <c r="AP64" i="5"/>
  <c r="AS64" i="5"/>
  <c r="AZ58" i="5"/>
  <c r="BC58" i="5"/>
  <c r="AN12" i="5"/>
  <c r="AK12" i="5"/>
  <c r="AU78" i="5"/>
  <c r="AX78" i="5"/>
  <c r="AZ40" i="5"/>
  <c r="BC40" i="5"/>
  <c r="AP25" i="5"/>
  <c r="AS25" i="5"/>
  <c r="AS65" i="5"/>
  <c r="AP65" i="5"/>
  <c r="AP26" i="5"/>
  <c r="AS26" i="5"/>
  <c r="BC55" i="5"/>
  <c r="AZ55" i="5"/>
  <c r="AP75" i="5"/>
  <c r="AS75" i="5"/>
  <c r="AS59" i="5"/>
  <c r="AP59" i="5"/>
  <c r="AK23" i="5"/>
  <c r="AN23" i="5"/>
  <c r="AS31" i="5"/>
  <c r="AP31" i="5"/>
  <c r="AP81" i="5"/>
  <c r="AS81" i="5"/>
  <c r="AS63" i="5"/>
  <c r="AP63" i="5"/>
  <c r="AT9" i="4"/>
  <c r="AT7" i="4"/>
  <c r="AU24" i="3"/>
  <c r="AU18" i="3"/>
  <c r="AU17" i="3"/>
  <c r="AU16" i="3"/>
  <c r="AU15" i="3"/>
  <c r="AU14" i="3"/>
  <c r="AU11" i="3"/>
  <c r="AU10" i="3"/>
  <c r="AU8" i="3"/>
  <c r="AU71" i="1"/>
  <c r="AU69" i="1"/>
  <c r="AU68" i="1"/>
  <c r="AU51" i="1"/>
  <c r="AU50" i="1"/>
  <c r="AU49" i="1"/>
  <c r="AU48" i="1"/>
  <c r="AU47" i="1"/>
  <c r="AU46" i="1"/>
  <c r="AU45" i="1"/>
  <c r="AU44" i="1"/>
  <c r="AU36" i="1"/>
  <c r="AU35" i="1"/>
  <c r="AU34" i="1"/>
  <c r="AU33" i="1"/>
  <c r="AU32" i="1"/>
  <c r="AU31" i="1"/>
  <c r="AU30" i="1"/>
  <c r="AU29" i="1"/>
  <c r="AU28" i="1"/>
  <c r="AU27" i="1"/>
  <c r="AU26" i="1"/>
  <c r="AU25" i="1"/>
  <c r="AU17" i="1"/>
  <c r="AU16" i="1"/>
  <c r="AU15" i="1"/>
  <c r="AU14" i="1"/>
  <c r="AU13" i="1"/>
  <c r="AU12" i="1"/>
  <c r="AU11" i="1"/>
  <c r="AU10" i="1"/>
  <c r="AU9" i="1"/>
  <c r="AU8" i="1"/>
  <c r="AU7" i="1"/>
  <c r="BO37" i="5" l="1"/>
  <c r="BR37" i="5"/>
  <c r="BO35" i="5"/>
  <c r="BR35" i="5"/>
  <c r="BO33" i="5"/>
  <c r="BR33" i="5"/>
  <c r="BO42" i="5"/>
  <c r="BR42" i="5"/>
  <c r="BO32" i="5"/>
  <c r="BR32" i="5"/>
  <c r="BJ54" i="5"/>
  <c r="BN54" i="5"/>
  <c r="BJ38" i="5"/>
  <c r="BM38" i="5"/>
  <c r="BE36" i="5"/>
  <c r="BH36" i="5"/>
  <c r="BE57" i="5"/>
  <c r="BH57" i="5"/>
  <c r="BE39" i="5"/>
  <c r="BH39" i="5"/>
  <c r="BE56" i="5"/>
  <c r="BH56" i="5"/>
  <c r="BE58" i="5"/>
  <c r="BH58" i="5"/>
  <c r="BE40" i="5"/>
  <c r="BH40" i="5"/>
  <c r="BE34" i="5"/>
  <c r="BH34" i="5"/>
  <c r="BE41" i="5"/>
  <c r="BH41" i="5"/>
  <c r="BE55" i="5"/>
  <c r="BH55" i="5"/>
  <c r="AU79" i="5"/>
  <c r="AX79" i="5"/>
  <c r="AU24" i="5"/>
  <c r="AX24" i="5"/>
  <c r="AP23" i="5"/>
  <c r="AS23" i="5"/>
  <c r="AX26" i="5"/>
  <c r="AU26" i="5"/>
  <c r="BC78" i="5"/>
  <c r="AZ78" i="5"/>
  <c r="AS18" i="5"/>
  <c r="AP18" i="5"/>
  <c r="AU21" i="5"/>
  <c r="AX21" i="5"/>
  <c r="AU11" i="5"/>
  <c r="AX11" i="5"/>
  <c r="AS15" i="5"/>
  <c r="AP15" i="5"/>
  <c r="AU62" i="5"/>
  <c r="AX62" i="5"/>
  <c r="AU31" i="5"/>
  <c r="AX31" i="5"/>
  <c r="AP14" i="5"/>
  <c r="AS14" i="5"/>
  <c r="AU10" i="5"/>
  <c r="AX10" i="5"/>
  <c r="AU76" i="5"/>
  <c r="AX76" i="5"/>
  <c r="AX63" i="5"/>
  <c r="AU63" i="5"/>
  <c r="AX59" i="5"/>
  <c r="AU59" i="5"/>
  <c r="AX65" i="5"/>
  <c r="AU65" i="5"/>
  <c r="AS12" i="5"/>
  <c r="AP12" i="5"/>
  <c r="AU29" i="5"/>
  <c r="AX29" i="5"/>
  <c r="AU16" i="5"/>
  <c r="AX16" i="5"/>
  <c r="AU30" i="5"/>
  <c r="AX30" i="5"/>
  <c r="AU81" i="5"/>
  <c r="AX81" i="5"/>
  <c r="AU75" i="5"/>
  <c r="AX75" i="5"/>
  <c r="AU25" i="5"/>
  <c r="AX25" i="5"/>
  <c r="AU28" i="5"/>
  <c r="AX28" i="5"/>
  <c r="AU19" i="5"/>
  <c r="AX19" i="5"/>
  <c r="AX20" i="5"/>
  <c r="AU20" i="5"/>
  <c r="AU61" i="5"/>
  <c r="AX61" i="5"/>
  <c r="AU64" i="5"/>
  <c r="AX64" i="5"/>
  <c r="AU27" i="5"/>
  <c r="AX27" i="5"/>
  <c r="AU13" i="5"/>
  <c r="AX13" i="5"/>
  <c r="AU80" i="5"/>
  <c r="AX80" i="5"/>
  <c r="AU87" i="5"/>
  <c r="AX87" i="5"/>
  <c r="AU22" i="5"/>
  <c r="AX22" i="5"/>
  <c r="AX77" i="5"/>
  <c r="AU77" i="5"/>
  <c r="AX66" i="5"/>
  <c r="AU66" i="5"/>
  <c r="AU17" i="5"/>
  <c r="AX17" i="5"/>
  <c r="AR24" i="3"/>
  <c r="AR18" i="3"/>
  <c r="AR17" i="3"/>
  <c r="AR16" i="3"/>
  <c r="AR15" i="3"/>
  <c r="AR14" i="3"/>
  <c r="AR11" i="3"/>
  <c r="AR10" i="3"/>
  <c r="AR8" i="3"/>
  <c r="AQ9" i="4"/>
  <c r="AQ7" i="4"/>
  <c r="AR72" i="1"/>
  <c r="AR71" i="1"/>
  <c r="AR69" i="1"/>
  <c r="AR68" i="1"/>
  <c r="AR51" i="1"/>
  <c r="AR50" i="1"/>
  <c r="AR49" i="1"/>
  <c r="AR48" i="1"/>
  <c r="AR47" i="1"/>
  <c r="AR46" i="1"/>
  <c r="AR45" i="1"/>
  <c r="AR44" i="1"/>
  <c r="AR36" i="1"/>
  <c r="AR35" i="1"/>
  <c r="AR34" i="1"/>
  <c r="AR33" i="1"/>
  <c r="AR32" i="1"/>
  <c r="AR31" i="1"/>
  <c r="AR30" i="1"/>
  <c r="AR29" i="1"/>
  <c r="AR28" i="1"/>
  <c r="AR27" i="1"/>
  <c r="AR26" i="1"/>
  <c r="AR25" i="1"/>
  <c r="AR17" i="1"/>
  <c r="AR16" i="1"/>
  <c r="AR15" i="1"/>
  <c r="AR14" i="1"/>
  <c r="AR13" i="1"/>
  <c r="AR12" i="1"/>
  <c r="AR11" i="1"/>
  <c r="AR10" i="1"/>
  <c r="AR9" i="1"/>
  <c r="AR8" i="1"/>
  <c r="AR7" i="1"/>
  <c r="AN9" i="4"/>
  <c r="AN7" i="4"/>
  <c r="AO24" i="3"/>
  <c r="AO18" i="3"/>
  <c r="AO17" i="3"/>
  <c r="AO16" i="3"/>
  <c r="AO15" i="3"/>
  <c r="AO14" i="3"/>
  <c r="AO11" i="3"/>
  <c r="AO10" i="3"/>
  <c r="AO8" i="3"/>
  <c r="AO72" i="1"/>
  <c r="AO71" i="1"/>
  <c r="AO69" i="1"/>
  <c r="AO68" i="1"/>
  <c r="AO51" i="1"/>
  <c r="AO50" i="1"/>
  <c r="AO49" i="1"/>
  <c r="AO48" i="1"/>
  <c r="AO47" i="1"/>
  <c r="AO46" i="1"/>
  <c r="AO45" i="1"/>
  <c r="AO44" i="1"/>
  <c r="AO36" i="1"/>
  <c r="AO35" i="1"/>
  <c r="AO34" i="1"/>
  <c r="AO33" i="1"/>
  <c r="AO32" i="1"/>
  <c r="AO31" i="1"/>
  <c r="AO30" i="1"/>
  <c r="AO29" i="1"/>
  <c r="AO28" i="1"/>
  <c r="AO27" i="1"/>
  <c r="AO26" i="1"/>
  <c r="AO25" i="1"/>
  <c r="AO17" i="1"/>
  <c r="AO16" i="1"/>
  <c r="AO15" i="1"/>
  <c r="AO14" i="1"/>
  <c r="AO13" i="1"/>
  <c r="AO12" i="1"/>
  <c r="AO11" i="1"/>
  <c r="AO10" i="1"/>
  <c r="AO9" i="1"/>
  <c r="AO8" i="1"/>
  <c r="AO7" i="1"/>
  <c r="BO54" i="5" l="1"/>
  <c r="BS54" i="5"/>
  <c r="BT32" i="5"/>
  <c r="BW32" i="5"/>
  <c r="BY32" i="5" s="1"/>
  <c r="BW42" i="5"/>
  <c r="BY42" i="5" s="1"/>
  <c r="BT42" i="5"/>
  <c r="BW33" i="5"/>
  <c r="BY33" i="5" s="1"/>
  <c r="BT33" i="5"/>
  <c r="BW35" i="5"/>
  <c r="BY35" i="5" s="1"/>
  <c r="BT35" i="5"/>
  <c r="BO38" i="5"/>
  <c r="BR38" i="5"/>
  <c r="BW37" i="5"/>
  <c r="BY37" i="5" s="1"/>
  <c r="BT37" i="5"/>
  <c r="BJ55" i="5"/>
  <c r="BM55" i="5"/>
  <c r="BJ39" i="5"/>
  <c r="BM39" i="5"/>
  <c r="BJ41" i="5"/>
  <c r="BM41" i="5"/>
  <c r="BJ57" i="5"/>
  <c r="BM57" i="5"/>
  <c r="BJ34" i="5"/>
  <c r="BM34" i="5"/>
  <c r="BJ36" i="5"/>
  <c r="BM36" i="5"/>
  <c r="BJ40" i="5"/>
  <c r="BM40" i="5"/>
  <c r="BJ56" i="5"/>
  <c r="BM56" i="5"/>
  <c r="BJ58" i="5"/>
  <c r="BM58" i="5"/>
  <c r="BE78" i="5"/>
  <c r="BH78" i="5"/>
  <c r="AZ80" i="5"/>
  <c r="BC80" i="5"/>
  <c r="BC11" i="5"/>
  <c r="AZ11" i="5"/>
  <c r="AZ66" i="5"/>
  <c r="BC66" i="5"/>
  <c r="BC13" i="5"/>
  <c r="AZ13" i="5"/>
  <c r="AZ75" i="5"/>
  <c r="BC75" i="5"/>
  <c r="BC29" i="5"/>
  <c r="AZ29" i="5"/>
  <c r="BC31" i="5"/>
  <c r="AZ31" i="5"/>
  <c r="BC21" i="5"/>
  <c r="AZ21" i="5"/>
  <c r="AU23" i="5"/>
  <c r="AX23" i="5"/>
  <c r="BC16" i="5"/>
  <c r="AZ16" i="5"/>
  <c r="AZ26" i="5"/>
  <c r="BC26" i="5"/>
  <c r="BC77" i="5"/>
  <c r="AZ77" i="5"/>
  <c r="BC20" i="5"/>
  <c r="AZ20" i="5"/>
  <c r="BC63" i="5"/>
  <c r="AZ63" i="5"/>
  <c r="BC27" i="5"/>
  <c r="AZ27" i="5"/>
  <c r="BC24" i="5"/>
  <c r="AZ24" i="5"/>
  <c r="AX12" i="5"/>
  <c r="AU12" i="5"/>
  <c r="AX18" i="5"/>
  <c r="AU18" i="5"/>
  <c r="BC25" i="5"/>
  <c r="AZ25" i="5"/>
  <c r="AU14" i="5"/>
  <c r="AX14" i="5"/>
  <c r="BC59" i="5"/>
  <c r="AZ59" i="5"/>
  <c r="BC22" i="5"/>
  <c r="AZ22" i="5"/>
  <c r="BC81" i="5"/>
  <c r="AZ81" i="5"/>
  <c r="BC62" i="5"/>
  <c r="AZ62" i="5"/>
  <c r="AZ17" i="5"/>
  <c r="BC17" i="5"/>
  <c r="AZ87" i="5"/>
  <c r="BC87" i="5"/>
  <c r="BC64" i="5"/>
  <c r="AZ64" i="5"/>
  <c r="BC28" i="5"/>
  <c r="AZ28" i="5"/>
  <c r="BC30" i="5"/>
  <c r="AZ30" i="5"/>
  <c r="BC10" i="5"/>
  <c r="AZ10" i="5"/>
  <c r="BC79" i="5"/>
  <c r="AZ79" i="5"/>
  <c r="BC61" i="5"/>
  <c r="AZ61" i="5"/>
  <c r="BC19" i="5"/>
  <c r="AZ19" i="5"/>
  <c r="BC76" i="5"/>
  <c r="AZ76" i="5"/>
  <c r="AZ65" i="5"/>
  <c r="BC65" i="5"/>
  <c r="AU15" i="5"/>
  <c r="AX15" i="5"/>
  <c r="AK9" i="4"/>
  <c r="AK7" i="4"/>
  <c r="AL24" i="3"/>
  <c r="AL18" i="3"/>
  <c r="AL17" i="3"/>
  <c r="AL16" i="3"/>
  <c r="AL15" i="3"/>
  <c r="AL14" i="3"/>
  <c r="AL11" i="3"/>
  <c r="AL10" i="3"/>
  <c r="AL8" i="3"/>
  <c r="AL72" i="1"/>
  <c r="AL71" i="1"/>
  <c r="AL69" i="1"/>
  <c r="AL68" i="1"/>
  <c r="AL51" i="1"/>
  <c r="AL50" i="1"/>
  <c r="AL49" i="1"/>
  <c r="AL48" i="1"/>
  <c r="AL47" i="1"/>
  <c r="AL46" i="1"/>
  <c r="AL45" i="1"/>
  <c r="AL44" i="1"/>
  <c r="AL36" i="1"/>
  <c r="AL35" i="1"/>
  <c r="AL34" i="1"/>
  <c r="AL33" i="1"/>
  <c r="AL32" i="1"/>
  <c r="AL31" i="1"/>
  <c r="AL30" i="1"/>
  <c r="AL29" i="1"/>
  <c r="AL28" i="1"/>
  <c r="AL27" i="1"/>
  <c r="AL26" i="1"/>
  <c r="AL25" i="1"/>
  <c r="AL17" i="1"/>
  <c r="AL16" i="1"/>
  <c r="AL15" i="1"/>
  <c r="AL14" i="1"/>
  <c r="AL13" i="1"/>
  <c r="AL12" i="1"/>
  <c r="AL11" i="1"/>
  <c r="AL10" i="1"/>
  <c r="AL9" i="1"/>
  <c r="AL8" i="1"/>
  <c r="AL7" i="1"/>
  <c r="BO34" i="5" l="1"/>
  <c r="BR34" i="5"/>
  <c r="BT38" i="5"/>
  <c r="BW38" i="5"/>
  <c r="BY38" i="5" s="1"/>
  <c r="BO58" i="5"/>
  <c r="BR58" i="5"/>
  <c r="BO41" i="5"/>
  <c r="BR41" i="5"/>
  <c r="BO56" i="5"/>
  <c r="BR56" i="5"/>
  <c r="BO39" i="5"/>
  <c r="BR39" i="5"/>
  <c r="BO57" i="5"/>
  <c r="BR57" i="5"/>
  <c r="BO40" i="5"/>
  <c r="BR40" i="5"/>
  <c r="BO55" i="5"/>
  <c r="BR55" i="5"/>
  <c r="BO36" i="5"/>
  <c r="BR36" i="5"/>
  <c r="BX54" i="5"/>
  <c r="BY54" i="5" s="1"/>
  <c r="BT54" i="5"/>
  <c r="BJ78" i="5"/>
  <c r="BM78" i="5"/>
  <c r="BE76" i="5"/>
  <c r="BH76" i="5"/>
  <c r="BE16" i="5"/>
  <c r="BH16" i="5"/>
  <c r="BE13" i="5"/>
  <c r="BH13" i="5"/>
  <c r="BE26" i="5"/>
  <c r="BH26" i="5"/>
  <c r="BE66" i="5"/>
  <c r="BH66" i="5"/>
  <c r="BE65" i="5"/>
  <c r="BH65" i="5"/>
  <c r="BE81" i="5"/>
  <c r="BH81" i="5"/>
  <c r="BE19" i="5"/>
  <c r="BH19" i="5"/>
  <c r="BE64" i="5"/>
  <c r="BH64" i="5"/>
  <c r="BE59" i="5"/>
  <c r="BH59" i="5"/>
  <c r="BE27" i="5"/>
  <c r="BH27" i="5"/>
  <c r="BE28" i="5"/>
  <c r="BH28" i="5"/>
  <c r="BE87" i="5"/>
  <c r="BH87" i="5"/>
  <c r="BE61" i="5"/>
  <c r="BH61" i="5"/>
  <c r="BE63" i="5"/>
  <c r="BH63" i="5"/>
  <c r="BE21" i="5"/>
  <c r="BH21" i="5"/>
  <c r="BE11" i="5"/>
  <c r="BH11" i="5"/>
  <c r="BE17" i="5"/>
  <c r="BH17" i="5"/>
  <c r="BE80" i="5"/>
  <c r="BH80" i="5"/>
  <c r="BE22" i="5"/>
  <c r="BH22" i="5"/>
  <c r="BE79" i="5"/>
  <c r="BH79" i="5"/>
  <c r="BE25" i="5"/>
  <c r="BH25" i="5"/>
  <c r="BE20" i="5"/>
  <c r="BH20" i="5"/>
  <c r="BE31" i="5"/>
  <c r="BH31" i="5"/>
  <c r="BE30" i="5"/>
  <c r="BH30" i="5"/>
  <c r="BE24" i="5"/>
  <c r="BH24" i="5"/>
  <c r="BE75" i="5"/>
  <c r="BH75" i="5"/>
  <c r="BE10" i="5"/>
  <c r="BH10" i="5"/>
  <c r="BE62" i="5"/>
  <c r="BH62" i="5"/>
  <c r="BE77" i="5"/>
  <c r="BH77" i="5"/>
  <c r="BE29" i="5"/>
  <c r="BH29" i="5"/>
  <c r="BC14" i="5"/>
  <c r="AZ14" i="5"/>
  <c r="AZ18" i="5"/>
  <c r="BC18" i="5"/>
  <c r="BC15" i="5"/>
  <c r="AZ15" i="5"/>
  <c r="BC23" i="5"/>
  <c r="AZ23" i="5"/>
  <c r="BC12" i="5"/>
  <c r="AZ12" i="5"/>
  <c r="AH9" i="4"/>
  <c r="AH7" i="4"/>
  <c r="AI24" i="3"/>
  <c r="AI18" i="3"/>
  <c r="AI17" i="3"/>
  <c r="AI16" i="3"/>
  <c r="AI15" i="3"/>
  <c r="AI14" i="3"/>
  <c r="AI11" i="3"/>
  <c r="AI10" i="3"/>
  <c r="AI8" i="3"/>
  <c r="AI72" i="1"/>
  <c r="AI71" i="1"/>
  <c r="AI69" i="1"/>
  <c r="AI68" i="1"/>
  <c r="AI46" i="1"/>
  <c r="AI51" i="1"/>
  <c r="AI50" i="1"/>
  <c r="AI49" i="1"/>
  <c r="AI48" i="1"/>
  <c r="AI47" i="1"/>
  <c r="AI45" i="1"/>
  <c r="AI44" i="1"/>
  <c r="AI36" i="1"/>
  <c r="AI35" i="1"/>
  <c r="AI34" i="1"/>
  <c r="AI33" i="1"/>
  <c r="AI32" i="1"/>
  <c r="AI31" i="1"/>
  <c r="AI30" i="1"/>
  <c r="AI29" i="1"/>
  <c r="AI28" i="1"/>
  <c r="AI27" i="1"/>
  <c r="AI26" i="1"/>
  <c r="AI25" i="1"/>
  <c r="AI17" i="1"/>
  <c r="AI16" i="1"/>
  <c r="AI15" i="1"/>
  <c r="AI14" i="1"/>
  <c r="AI13" i="1"/>
  <c r="AI12" i="1"/>
  <c r="AI11" i="1"/>
  <c r="AI10" i="1"/>
  <c r="AI9" i="1"/>
  <c r="AI8" i="1"/>
  <c r="AI7" i="1"/>
  <c r="BO78" i="5" l="1"/>
  <c r="BR78" i="5"/>
  <c r="BW39" i="5"/>
  <c r="BY39" i="5" s="1"/>
  <c r="BT39" i="5"/>
  <c r="BT56" i="5"/>
  <c r="BW56" i="5"/>
  <c r="BY56" i="5" s="1"/>
  <c r="BW36" i="5"/>
  <c r="BY36" i="5" s="1"/>
  <c r="BT36" i="5"/>
  <c r="BW41" i="5"/>
  <c r="BY41" i="5" s="1"/>
  <c r="BT41" i="5"/>
  <c r="BW55" i="5"/>
  <c r="BY55" i="5" s="1"/>
  <c r="BT55" i="5"/>
  <c r="BW58" i="5"/>
  <c r="BY58" i="5" s="1"/>
  <c r="BT58" i="5"/>
  <c r="BW40" i="5"/>
  <c r="BY40" i="5" s="1"/>
  <c r="BT40" i="5"/>
  <c r="BW57" i="5"/>
  <c r="BY57" i="5" s="1"/>
  <c r="BT57" i="5"/>
  <c r="BW34" i="5"/>
  <c r="BY34" i="5" s="1"/>
  <c r="BT34" i="5"/>
  <c r="BJ20" i="5"/>
  <c r="BM20" i="5"/>
  <c r="BJ26" i="5"/>
  <c r="BM26" i="5"/>
  <c r="BJ27" i="5"/>
  <c r="BM27" i="5"/>
  <c r="BJ75" i="5"/>
  <c r="BJ13" i="5"/>
  <c r="BM13" i="5"/>
  <c r="BJ25" i="5"/>
  <c r="BM25" i="5"/>
  <c r="BJ11" i="5"/>
  <c r="BM11" i="5"/>
  <c r="BJ19" i="5"/>
  <c r="BM19" i="5"/>
  <c r="BJ16" i="5"/>
  <c r="BM16" i="5"/>
  <c r="BJ10" i="5"/>
  <c r="BM10" i="5"/>
  <c r="BJ64" i="5"/>
  <c r="BM64" i="5"/>
  <c r="BJ22" i="5"/>
  <c r="BM22" i="5"/>
  <c r="BJ30" i="5"/>
  <c r="BM30" i="5"/>
  <c r="BJ80" i="5"/>
  <c r="BM80" i="5"/>
  <c r="BJ87" i="5"/>
  <c r="BM87" i="5"/>
  <c r="BJ81" i="5"/>
  <c r="BM81" i="5"/>
  <c r="BJ76" i="5"/>
  <c r="BM76" i="5"/>
  <c r="BJ59" i="5"/>
  <c r="BM59" i="5"/>
  <c r="BJ63" i="5"/>
  <c r="BM63" i="5"/>
  <c r="BJ66" i="5"/>
  <c r="BM66" i="5"/>
  <c r="BJ24" i="5"/>
  <c r="BM24" i="5"/>
  <c r="BJ77" i="5"/>
  <c r="BM77" i="5"/>
  <c r="BJ31" i="5"/>
  <c r="BM31" i="5"/>
  <c r="BJ17" i="5"/>
  <c r="BM17" i="5"/>
  <c r="BJ28" i="5"/>
  <c r="BM28" i="5"/>
  <c r="BJ65" i="5"/>
  <c r="BM65" i="5"/>
  <c r="BJ62" i="5"/>
  <c r="BM62" i="5"/>
  <c r="BJ21" i="5"/>
  <c r="BM21" i="5"/>
  <c r="BJ79" i="5"/>
  <c r="BM79" i="5"/>
  <c r="BJ61" i="5"/>
  <c r="BM61" i="5"/>
  <c r="BJ29" i="5"/>
  <c r="BM29" i="5"/>
  <c r="BE12" i="5"/>
  <c r="BH12" i="5"/>
  <c r="BE15" i="5"/>
  <c r="BH15" i="5"/>
  <c r="BE18" i="5"/>
  <c r="BH18" i="5"/>
  <c r="BE14" i="5"/>
  <c r="BH14" i="5"/>
  <c r="BE23" i="5"/>
  <c r="BH23" i="5"/>
  <c r="AE9" i="4"/>
  <c r="AE7" i="4"/>
  <c r="AF24" i="3"/>
  <c r="AF18" i="3"/>
  <c r="AF17" i="3"/>
  <c r="AF16" i="3"/>
  <c r="AF15" i="3"/>
  <c r="AF14" i="3"/>
  <c r="AF11" i="3"/>
  <c r="AF10" i="3"/>
  <c r="AF8" i="3"/>
  <c r="AF72" i="1"/>
  <c r="AF71" i="1"/>
  <c r="AF69" i="1"/>
  <c r="AF68" i="1"/>
  <c r="AF51" i="1"/>
  <c r="AF50" i="1"/>
  <c r="AF49" i="1"/>
  <c r="AF48" i="1"/>
  <c r="AF47" i="1"/>
  <c r="AF45" i="1"/>
  <c r="AF44" i="1"/>
  <c r="AF36" i="1"/>
  <c r="AF35" i="1"/>
  <c r="AF34" i="1"/>
  <c r="AF33" i="1"/>
  <c r="AF32" i="1"/>
  <c r="AF31" i="1"/>
  <c r="AF30" i="1"/>
  <c r="AF29" i="1"/>
  <c r="AF28" i="1"/>
  <c r="AF27" i="1"/>
  <c r="AF26" i="1"/>
  <c r="AF25" i="1"/>
  <c r="AF17" i="1"/>
  <c r="AF16" i="1"/>
  <c r="AF15" i="1"/>
  <c r="AF14" i="1"/>
  <c r="AF13" i="1"/>
  <c r="AF12" i="1"/>
  <c r="AF11" i="1"/>
  <c r="AF10" i="1"/>
  <c r="AF9" i="1"/>
  <c r="AF8" i="1"/>
  <c r="AF7" i="1"/>
  <c r="BO26" i="5" l="1"/>
  <c r="BR26" i="5"/>
  <c r="BO20" i="5"/>
  <c r="BR20" i="5"/>
  <c r="BO11" i="5"/>
  <c r="BR11" i="5"/>
  <c r="BO65" i="5"/>
  <c r="BR65" i="5"/>
  <c r="BO80" i="5"/>
  <c r="BR80" i="5"/>
  <c r="BO61" i="5"/>
  <c r="BR61" i="5"/>
  <c r="BO59" i="5"/>
  <c r="BR59" i="5"/>
  <c r="BO22" i="5"/>
  <c r="BR22" i="5"/>
  <c r="BO25" i="5"/>
  <c r="BR25" i="5"/>
  <c r="BO66" i="5"/>
  <c r="BR66" i="5"/>
  <c r="BO28" i="5"/>
  <c r="BR28" i="5"/>
  <c r="BO79" i="5"/>
  <c r="BR79" i="5"/>
  <c r="BO31" i="5"/>
  <c r="BR31" i="5"/>
  <c r="BO76" i="5"/>
  <c r="BR76" i="5"/>
  <c r="BO64" i="5"/>
  <c r="BR64" i="5"/>
  <c r="BO13" i="5"/>
  <c r="BR13" i="5"/>
  <c r="BO19" i="5"/>
  <c r="BR19" i="5"/>
  <c r="BO29" i="5"/>
  <c r="BR29" i="5"/>
  <c r="BO21" i="5"/>
  <c r="BR21" i="5"/>
  <c r="BO77" i="5"/>
  <c r="BR77" i="5"/>
  <c r="BO81" i="5"/>
  <c r="BR81" i="5"/>
  <c r="BO10" i="5"/>
  <c r="BR10" i="5"/>
  <c r="BO30" i="5"/>
  <c r="BR30" i="5"/>
  <c r="BO27" i="5"/>
  <c r="BR27" i="5"/>
  <c r="BW78" i="5"/>
  <c r="BY78" i="5" s="1"/>
  <c r="BT78" i="5"/>
  <c r="BO63" i="5"/>
  <c r="BR63" i="5"/>
  <c r="BO17" i="5"/>
  <c r="BR17" i="5"/>
  <c r="BO62" i="5"/>
  <c r="BR62" i="5"/>
  <c r="BO24" i="5"/>
  <c r="BR24" i="5"/>
  <c r="BO87" i="5"/>
  <c r="BR87" i="5"/>
  <c r="BO16" i="5"/>
  <c r="BR16" i="5"/>
  <c r="BJ23" i="5"/>
  <c r="BM23" i="5"/>
  <c r="BJ15" i="5"/>
  <c r="BM15" i="5"/>
  <c r="BJ12" i="5"/>
  <c r="BM12" i="5"/>
  <c r="BJ14" i="5"/>
  <c r="BM14" i="5"/>
  <c r="BJ18" i="5"/>
  <c r="BM18" i="5"/>
  <c r="AB9" i="4"/>
  <c r="AB7" i="4"/>
  <c r="AC24" i="3"/>
  <c r="AC18" i="3"/>
  <c r="AC17" i="3"/>
  <c r="AC16" i="3"/>
  <c r="AC15" i="3"/>
  <c r="AC14" i="3"/>
  <c r="AC11" i="3"/>
  <c r="AC10" i="3"/>
  <c r="AC8" i="3"/>
  <c r="AC72" i="1"/>
  <c r="AC71" i="1"/>
  <c r="AC69" i="1"/>
  <c r="AC68" i="1"/>
  <c r="AC61" i="1"/>
  <c r="AC60" i="1"/>
  <c r="AC51" i="1"/>
  <c r="AC50" i="1"/>
  <c r="AC49" i="1"/>
  <c r="AC48" i="1"/>
  <c r="AC47" i="1"/>
  <c r="AC46" i="1"/>
  <c r="AC45" i="1"/>
  <c r="AC44" i="1"/>
  <c r="AC36" i="1"/>
  <c r="AC35" i="1"/>
  <c r="AC34" i="1"/>
  <c r="AC33" i="1"/>
  <c r="AC32" i="1"/>
  <c r="AC31" i="1"/>
  <c r="AC30" i="1"/>
  <c r="AC29" i="1"/>
  <c r="AC28" i="1"/>
  <c r="AC27" i="1"/>
  <c r="AC26" i="1"/>
  <c r="AC25" i="1"/>
  <c r="AC17" i="1"/>
  <c r="AC16" i="1"/>
  <c r="AC15" i="1"/>
  <c r="AC14" i="1"/>
  <c r="AC13" i="1"/>
  <c r="AC12" i="1"/>
  <c r="AC11" i="1"/>
  <c r="AC10" i="1"/>
  <c r="AC9" i="1"/>
  <c r="AC8" i="1"/>
  <c r="AC7" i="1"/>
  <c r="BW87" i="5" l="1"/>
  <c r="BY87" i="5" s="1"/>
  <c r="BT87" i="5"/>
  <c r="BW27" i="5"/>
  <c r="BY27" i="5" s="1"/>
  <c r="BT27" i="5"/>
  <c r="BW29" i="5"/>
  <c r="BY29" i="5" s="1"/>
  <c r="BT29" i="5"/>
  <c r="BW79" i="5"/>
  <c r="BY79" i="5" s="1"/>
  <c r="BT79" i="5"/>
  <c r="BW61" i="5"/>
  <c r="BY61" i="5" s="1"/>
  <c r="BT61" i="5"/>
  <c r="BO18" i="5"/>
  <c r="BR18" i="5"/>
  <c r="BW24" i="5"/>
  <c r="BY24" i="5" s="1"/>
  <c r="BT24" i="5"/>
  <c r="BO12" i="5"/>
  <c r="BR12" i="5"/>
  <c r="BW62" i="5"/>
  <c r="BY62" i="5" s="1"/>
  <c r="BT62" i="5"/>
  <c r="BT10" i="5"/>
  <c r="BW10" i="5"/>
  <c r="BY10" i="5" s="1"/>
  <c r="BW13" i="5"/>
  <c r="BY13" i="5" s="1"/>
  <c r="BT13" i="5"/>
  <c r="BW66" i="5"/>
  <c r="BY66" i="5" s="1"/>
  <c r="BT66" i="5"/>
  <c r="BW65" i="5"/>
  <c r="BY65" i="5" s="1"/>
  <c r="BT65" i="5"/>
  <c r="BW19" i="5"/>
  <c r="BY19" i="5" s="1"/>
  <c r="BT19" i="5"/>
  <c r="BO15" i="5"/>
  <c r="BR15" i="5"/>
  <c r="BW17" i="5"/>
  <c r="BY17" i="5" s="1"/>
  <c r="BT17" i="5"/>
  <c r="BW81" i="5"/>
  <c r="BY81" i="5" s="1"/>
  <c r="BT81" i="5"/>
  <c r="BW64" i="5"/>
  <c r="BY64" i="5" s="1"/>
  <c r="BT64" i="5"/>
  <c r="BW25" i="5"/>
  <c r="BY25" i="5" s="1"/>
  <c r="BT25" i="5"/>
  <c r="BW11" i="5"/>
  <c r="BY11" i="5" s="1"/>
  <c r="BT11" i="5"/>
  <c r="BW80" i="5"/>
  <c r="BY80" i="5" s="1"/>
  <c r="BT80" i="5"/>
  <c r="BT28" i="5"/>
  <c r="BW28" i="5"/>
  <c r="BY28" i="5" s="1"/>
  <c r="BO23" i="5"/>
  <c r="BR23" i="5"/>
  <c r="BW63" i="5"/>
  <c r="BY63" i="5" s="1"/>
  <c r="BT63" i="5"/>
  <c r="BW77" i="5"/>
  <c r="BY77" i="5" s="1"/>
  <c r="BT77" i="5"/>
  <c r="BW76" i="5"/>
  <c r="BY76" i="5" s="1"/>
  <c r="BT76" i="5"/>
  <c r="BT22" i="5"/>
  <c r="BW22" i="5"/>
  <c r="BY22" i="5" s="1"/>
  <c r="BW20" i="5"/>
  <c r="BY20" i="5" s="1"/>
  <c r="BT20" i="5"/>
  <c r="BO14" i="5"/>
  <c r="BR14" i="5"/>
  <c r="BW16" i="5"/>
  <c r="BY16" i="5" s="1"/>
  <c r="BT16" i="5"/>
  <c r="BW21" i="5"/>
  <c r="BY21" i="5" s="1"/>
  <c r="BT21" i="5"/>
  <c r="BW31" i="5"/>
  <c r="BY31" i="5" s="1"/>
  <c r="BT31" i="5"/>
  <c r="BW59" i="5"/>
  <c r="BY59" i="5" s="1"/>
  <c r="BT59" i="5"/>
  <c r="BW26" i="5"/>
  <c r="BY26" i="5" s="1"/>
  <c r="BT26" i="5"/>
  <c r="BW30" i="5"/>
  <c r="BY30" i="5" s="1"/>
  <c r="BT30" i="5"/>
  <c r="Y9" i="4"/>
  <c r="Y7" i="4"/>
  <c r="Z24" i="3"/>
  <c r="Z18" i="3"/>
  <c r="Z17" i="3"/>
  <c r="Z16" i="3"/>
  <c r="Z15" i="3"/>
  <c r="Z14" i="3"/>
  <c r="Z11" i="3"/>
  <c r="Z10" i="3"/>
  <c r="Z8" i="3"/>
  <c r="Z72" i="1"/>
  <c r="Z71" i="1"/>
  <c r="Z69" i="1"/>
  <c r="Z68" i="1"/>
  <c r="Z62" i="1"/>
  <c r="Z61" i="1"/>
  <c r="Z60" i="1"/>
  <c r="Z51" i="1"/>
  <c r="Z50" i="1"/>
  <c r="Z49" i="1"/>
  <c r="Z48" i="1"/>
  <c r="Z47" i="1"/>
  <c r="Z46" i="1"/>
  <c r="Z45" i="1"/>
  <c r="Z44" i="1"/>
  <c r="Z36" i="1"/>
  <c r="Z35" i="1"/>
  <c r="Z34" i="1"/>
  <c r="Z33" i="1"/>
  <c r="Z32" i="1"/>
  <c r="Z31" i="1"/>
  <c r="Z30" i="1"/>
  <c r="Z29" i="1"/>
  <c r="Z28" i="1"/>
  <c r="Z27" i="1"/>
  <c r="Z26" i="1"/>
  <c r="Z25" i="1"/>
  <c r="Z17" i="1"/>
  <c r="Z16" i="1"/>
  <c r="Z15" i="1"/>
  <c r="Z14" i="1"/>
  <c r="Z13" i="1"/>
  <c r="Z12" i="1"/>
  <c r="Z11" i="1"/>
  <c r="Z10" i="1"/>
  <c r="Z9" i="1"/>
  <c r="Z8" i="1"/>
  <c r="Z7" i="1"/>
  <c r="BW18" i="5" l="1"/>
  <c r="BY18" i="5" s="1"/>
  <c r="BT18" i="5"/>
  <c r="BT14" i="5"/>
  <c r="BW14" i="5"/>
  <c r="BY14" i="5" s="1"/>
  <c r="BW15" i="5"/>
  <c r="BY15" i="5" s="1"/>
  <c r="BT15" i="5"/>
  <c r="BW23" i="5"/>
  <c r="BY23" i="5" s="1"/>
  <c r="BT23" i="5"/>
  <c r="BW12" i="5"/>
  <c r="BY12" i="5" s="1"/>
  <c r="BT12" i="5"/>
  <c r="V9" i="4"/>
  <c r="V7" i="4"/>
  <c r="W24" i="3"/>
  <c r="W18" i="3"/>
  <c r="W17" i="3"/>
  <c r="W16" i="3"/>
  <c r="W15" i="3"/>
  <c r="W14" i="3"/>
  <c r="W11" i="3"/>
  <c r="W10" i="3"/>
  <c r="W8" i="3"/>
  <c r="W72" i="1"/>
  <c r="W71" i="1"/>
  <c r="W69" i="1"/>
  <c r="W68" i="1"/>
  <c r="W67" i="1"/>
  <c r="W66" i="1"/>
  <c r="W65" i="1"/>
  <c r="W64" i="1"/>
  <c r="W63" i="1"/>
  <c r="W62" i="1"/>
  <c r="W61" i="1"/>
  <c r="W60" i="1"/>
  <c r="W51" i="1"/>
  <c r="W50" i="1"/>
  <c r="W49" i="1"/>
  <c r="W48" i="1"/>
  <c r="W47" i="1"/>
  <c r="W46" i="1"/>
  <c r="W45" i="1"/>
  <c r="W44" i="1"/>
  <c r="W36" i="1"/>
  <c r="W35" i="1"/>
  <c r="W34" i="1"/>
  <c r="W33" i="1"/>
  <c r="W32" i="1"/>
  <c r="W31" i="1"/>
  <c r="W30" i="1"/>
  <c r="W29" i="1"/>
  <c r="W28" i="1"/>
  <c r="W27" i="1"/>
  <c r="W26" i="1"/>
  <c r="W25" i="1"/>
  <c r="W17" i="1"/>
  <c r="W16" i="1"/>
  <c r="W15" i="1"/>
  <c r="W14" i="1"/>
  <c r="W13" i="1"/>
  <c r="W12" i="1"/>
  <c r="W11" i="1"/>
  <c r="W10" i="1"/>
  <c r="W9" i="1"/>
  <c r="W8" i="1"/>
  <c r="W7" i="1"/>
  <c r="S9" i="4" l="1"/>
  <c r="S7" i="4"/>
  <c r="T24" i="3"/>
  <c r="T18" i="3"/>
  <c r="T17" i="3"/>
  <c r="T16" i="3"/>
  <c r="T15" i="3"/>
  <c r="T14" i="3"/>
  <c r="T11" i="3"/>
  <c r="T10" i="3"/>
  <c r="T8" i="3"/>
  <c r="T72" i="1"/>
  <c r="T71" i="1"/>
  <c r="T69" i="1"/>
  <c r="T68" i="1"/>
  <c r="T67" i="1"/>
  <c r="T66" i="1"/>
  <c r="T65" i="1"/>
  <c r="T64" i="1"/>
  <c r="T63" i="1"/>
  <c r="T62" i="1"/>
  <c r="T61" i="1"/>
  <c r="T60" i="1"/>
  <c r="T51" i="1"/>
  <c r="T50" i="1"/>
  <c r="T49" i="1"/>
  <c r="T48" i="1"/>
  <c r="T47" i="1"/>
  <c r="T46" i="1"/>
  <c r="T45" i="1"/>
  <c r="T44" i="1"/>
  <c r="T36" i="1"/>
  <c r="T35" i="1"/>
  <c r="T34" i="1"/>
  <c r="T33" i="1"/>
  <c r="T32" i="1"/>
  <c r="T31" i="1"/>
  <c r="T30" i="1"/>
  <c r="T29" i="1"/>
  <c r="T28" i="1"/>
  <c r="T27" i="1"/>
  <c r="T26" i="1"/>
  <c r="T25" i="1"/>
  <c r="T17" i="1"/>
  <c r="T16" i="1"/>
  <c r="T15" i="1"/>
  <c r="T14" i="1"/>
  <c r="T13" i="1"/>
  <c r="T12" i="1"/>
  <c r="T11" i="1"/>
  <c r="T10" i="1"/>
  <c r="T9" i="1"/>
  <c r="T8" i="1"/>
  <c r="T7" i="1"/>
  <c r="P9" i="4" l="1"/>
  <c r="P7" i="4"/>
  <c r="Q24" i="3"/>
  <c r="Q18" i="3"/>
  <c r="Q17" i="3"/>
  <c r="Q16" i="3"/>
  <c r="Q15" i="3"/>
  <c r="Q14" i="3"/>
  <c r="Q11" i="3"/>
  <c r="Q10" i="3"/>
  <c r="Q8" i="3"/>
  <c r="Q68" i="1"/>
  <c r="Q72" i="1"/>
  <c r="Q71" i="1"/>
  <c r="Q69" i="1"/>
  <c r="Q67" i="1"/>
  <c r="Q66" i="1"/>
  <c r="Q65" i="1"/>
  <c r="Q64" i="1"/>
  <c r="Q63" i="1"/>
  <c r="Q62" i="1"/>
  <c r="Q61" i="1"/>
  <c r="Q60" i="1"/>
  <c r="Q51" i="1"/>
  <c r="Q50" i="1"/>
  <c r="Q49" i="1"/>
  <c r="Q48" i="1"/>
  <c r="Q47" i="1"/>
  <c r="Q46" i="1"/>
  <c r="Q45" i="1"/>
  <c r="Q44" i="1"/>
  <c r="Q36" i="1"/>
  <c r="Q35" i="1"/>
  <c r="Q34" i="1"/>
  <c r="Q33" i="1"/>
  <c r="Q32" i="1"/>
  <c r="Q31" i="1"/>
  <c r="Q30" i="1"/>
  <c r="Q29" i="1"/>
  <c r="Q28" i="1"/>
  <c r="Q27" i="1"/>
  <c r="Q26" i="1"/>
  <c r="Q25" i="1"/>
  <c r="Q17" i="1"/>
  <c r="Q16" i="1"/>
  <c r="Q15" i="1"/>
  <c r="Q14" i="1"/>
  <c r="Q13" i="1"/>
  <c r="Q12" i="1"/>
  <c r="Q11" i="1"/>
  <c r="Q10" i="1"/>
  <c r="Q9" i="1"/>
  <c r="Q8" i="1"/>
  <c r="Q7" i="1"/>
  <c r="M9" i="4" l="1"/>
  <c r="M7" i="4"/>
  <c r="N24" i="3"/>
  <c r="N18" i="3"/>
  <c r="N17" i="3"/>
  <c r="N16" i="3"/>
  <c r="N15" i="3"/>
  <c r="N14" i="3"/>
  <c r="N11" i="3"/>
  <c r="N10" i="3"/>
  <c r="N8" i="3"/>
  <c r="N72" i="1"/>
  <c r="N71" i="1"/>
  <c r="N69" i="1"/>
  <c r="N68" i="1"/>
  <c r="N67" i="1"/>
  <c r="N66" i="1"/>
  <c r="N65" i="1"/>
  <c r="N64" i="1"/>
  <c r="N63" i="1"/>
  <c r="N62" i="1"/>
  <c r="N61" i="1"/>
  <c r="N60" i="1"/>
  <c r="N51" i="1"/>
  <c r="N50" i="1"/>
  <c r="N49" i="1"/>
  <c r="N48" i="1"/>
  <c r="N47" i="1"/>
  <c r="N46" i="1"/>
  <c r="N45" i="1"/>
  <c r="N44" i="1"/>
  <c r="N36" i="1"/>
  <c r="N35" i="1"/>
  <c r="N34" i="1"/>
  <c r="N33" i="1"/>
  <c r="N32" i="1"/>
  <c r="N31" i="1"/>
  <c r="N30" i="1"/>
  <c r="N29" i="1"/>
  <c r="N28" i="1"/>
  <c r="N27" i="1"/>
  <c r="N26" i="1"/>
  <c r="N25" i="1"/>
  <c r="N17" i="1"/>
  <c r="N16" i="1"/>
  <c r="N15" i="1"/>
  <c r="N14" i="1"/>
  <c r="N13" i="1"/>
  <c r="N12" i="1"/>
  <c r="N11" i="1"/>
  <c r="N10" i="1"/>
  <c r="N9" i="1"/>
  <c r="N8" i="1"/>
  <c r="N7" i="1"/>
  <c r="J9" i="4" l="1"/>
  <c r="J7" i="4"/>
  <c r="K24" i="3"/>
  <c r="K18" i="3"/>
  <c r="K17" i="3"/>
  <c r="K16" i="3"/>
  <c r="K15" i="3"/>
  <c r="K14" i="3"/>
  <c r="K11" i="3"/>
  <c r="K10" i="3"/>
  <c r="K8" i="3"/>
  <c r="K67" i="1"/>
  <c r="L67" i="1" s="1"/>
  <c r="O67" i="1" s="1"/>
  <c r="R67" i="1" s="1"/>
  <c r="U67" i="1" s="1"/>
  <c r="X67" i="1" s="1"/>
  <c r="AA67" i="1" s="1"/>
  <c r="AD67" i="1" s="1"/>
  <c r="AG67" i="1" s="1"/>
  <c r="AJ67" i="1" s="1"/>
  <c r="AM67" i="1" s="1"/>
  <c r="AP67" i="1" s="1"/>
  <c r="AS67" i="1" s="1"/>
  <c r="AV67" i="1" s="1"/>
  <c r="AY67" i="1" s="1"/>
  <c r="BB67" i="1" s="1"/>
  <c r="BE67" i="1" s="1"/>
  <c r="BH67" i="1" s="1"/>
  <c r="BK67" i="1" s="1"/>
  <c r="BN67" i="1" s="1"/>
  <c r="BQ67" i="1" s="1"/>
  <c r="BT67" i="1" s="1"/>
  <c r="BW67" i="1" s="1"/>
  <c r="BZ67" i="1" s="1"/>
  <c r="K72" i="1"/>
  <c r="K71" i="1"/>
  <c r="K70" i="1"/>
  <c r="K69" i="1"/>
  <c r="K68" i="1"/>
  <c r="K66" i="1"/>
  <c r="K65" i="1"/>
  <c r="K64" i="1"/>
  <c r="K63" i="1"/>
  <c r="K62" i="1"/>
  <c r="K61" i="1"/>
  <c r="K60" i="1"/>
  <c r="K59" i="1"/>
  <c r="K51" i="1"/>
  <c r="K50" i="1"/>
  <c r="K49" i="1"/>
  <c r="K48" i="1"/>
  <c r="K47" i="1"/>
  <c r="K46" i="1"/>
  <c r="K45" i="1"/>
  <c r="K44" i="1"/>
  <c r="K36" i="1"/>
  <c r="K35" i="1"/>
  <c r="K34" i="1"/>
  <c r="K33" i="1"/>
  <c r="K32" i="1"/>
  <c r="K31" i="1"/>
  <c r="K30" i="1"/>
  <c r="K29" i="1"/>
  <c r="K28" i="1"/>
  <c r="K27" i="1"/>
  <c r="K26" i="1"/>
  <c r="K25" i="1"/>
  <c r="K17" i="1"/>
  <c r="K16" i="1"/>
  <c r="K15" i="1"/>
  <c r="K14" i="1"/>
  <c r="K13" i="1"/>
  <c r="K12" i="1"/>
  <c r="K11" i="1"/>
  <c r="K10" i="1"/>
  <c r="K9" i="1"/>
  <c r="K8" i="1"/>
  <c r="K7" i="1"/>
  <c r="G9" i="4" l="1"/>
  <c r="H9" i="4" s="1"/>
  <c r="K9" i="4" s="1"/>
  <c r="N9" i="4" s="1"/>
  <c r="Q9" i="4" s="1"/>
  <c r="T9" i="4" s="1"/>
  <c r="W9" i="4" s="1"/>
  <c r="Z9" i="4" s="1"/>
  <c r="AC9" i="4" s="1"/>
  <c r="AF9" i="4" s="1"/>
  <c r="AI9" i="4" s="1"/>
  <c r="AL9" i="4" s="1"/>
  <c r="AO9" i="4" s="1"/>
  <c r="AR9" i="4" s="1"/>
  <c r="AU9" i="4" s="1"/>
  <c r="AX9" i="4" s="1"/>
  <c r="BA9" i="4" s="1"/>
  <c r="BD9" i="4" s="1"/>
  <c r="BG9" i="4" s="1"/>
  <c r="BJ9" i="4" s="1"/>
  <c r="BM9" i="4" s="1"/>
  <c r="BP9" i="4" s="1"/>
  <c r="BS9" i="4" s="1"/>
  <c r="BV9" i="4" s="1"/>
  <c r="BY9" i="4" s="1"/>
  <c r="G7" i="4"/>
  <c r="H7" i="4" s="1"/>
  <c r="K7" i="4" s="1"/>
  <c r="N7" i="4" s="1"/>
  <c r="Q7" i="4" s="1"/>
  <c r="T7" i="4" s="1"/>
  <c r="W7" i="4" s="1"/>
  <c r="Z7" i="4" s="1"/>
  <c r="AC7" i="4" s="1"/>
  <c r="AF7" i="4" s="1"/>
  <c r="AI7" i="4" s="1"/>
  <c r="AL7" i="4" s="1"/>
  <c r="AO7" i="4" s="1"/>
  <c r="AR7" i="4" s="1"/>
  <c r="AU7" i="4" s="1"/>
  <c r="AX7" i="4" s="1"/>
  <c r="BA7" i="4" s="1"/>
  <c r="BD7" i="4" s="1"/>
  <c r="BG7" i="4" s="1"/>
  <c r="BJ7" i="4" s="1"/>
  <c r="BM7" i="4" s="1"/>
  <c r="BP7" i="4" s="1"/>
  <c r="BS7" i="4" s="1"/>
  <c r="BV7" i="4" s="1"/>
  <c r="BY7" i="4" s="1"/>
  <c r="H24" i="3"/>
  <c r="I24" i="3" s="1"/>
  <c r="L24" i="3" s="1"/>
  <c r="O24" i="3" s="1"/>
  <c r="R24" i="3" s="1"/>
  <c r="U24" i="3" s="1"/>
  <c r="X24" i="3" s="1"/>
  <c r="AA24" i="3" s="1"/>
  <c r="AD24" i="3" s="1"/>
  <c r="AG24" i="3" s="1"/>
  <c r="AJ24" i="3" s="1"/>
  <c r="AM24" i="3" s="1"/>
  <c r="AP24" i="3" s="1"/>
  <c r="AS24" i="3" s="1"/>
  <c r="AV24" i="3" s="1"/>
  <c r="AY24" i="3" s="1"/>
  <c r="BB24" i="3" s="1"/>
  <c r="BE24" i="3" s="1"/>
  <c r="BH24" i="3" s="1"/>
  <c r="BK24" i="3" s="1"/>
  <c r="BN24" i="3" s="1"/>
  <c r="BQ24" i="3" s="1"/>
  <c r="BT24" i="3" s="1"/>
  <c r="BW24" i="3" s="1"/>
  <c r="BZ24" i="3" s="1"/>
  <c r="H18" i="3"/>
  <c r="I18" i="3" s="1"/>
  <c r="L18" i="3" s="1"/>
  <c r="O18" i="3" s="1"/>
  <c r="R18" i="3" s="1"/>
  <c r="U18" i="3" s="1"/>
  <c r="X18" i="3" s="1"/>
  <c r="AA18" i="3" s="1"/>
  <c r="AD18" i="3" s="1"/>
  <c r="AG18" i="3" s="1"/>
  <c r="AJ18" i="3" s="1"/>
  <c r="AM18" i="3" s="1"/>
  <c r="AP18" i="3" s="1"/>
  <c r="AS18" i="3" s="1"/>
  <c r="AV18" i="3" s="1"/>
  <c r="AY18" i="3" s="1"/>
  <c r="BB18" i="3" s="1"/>
  <c r="BE18" i="3" s="1"/>
  <c r="BH18" i="3" s="1"/>
  <c r="BK18" i="3" s="1"/>
  <c r="BN18" i="3" s="1"/>
  <c r="BQ18" i="3" s="1"/>
  <c r="BT18" i="3" s="1"/>
  <c r="BW18" i="3" s="1"/>
  <c r="BZ18" i="3" s="1"/>
  <c r="H17" i="3"/>
  <c r="I17" i="3" s="1"/>
  <c r="L17" i="3" s="1"/>
  <c r="O17" i="3" s="1"/>
  <c r="R17" i="3" s="1"/>
  <c r="U17" i="3" s="1"/>
  <c r="X17" i="3" s="1"/>
  <c r="AA17" i="3" s="1"/>
  <c r="AD17" i="3" s="1"/>
  <c r="AG17" i="3" s="1"/>
  <c r="AJ17" i="3" s="1"/>
  <c r="AM17" i="3" s="1"/>
  <c r="AP17" i="3" s="1"/>
  <c r="AS17" i="3" s="1"/>
  <c r="AV17" i="3" s="1"/>
  <c r="AY17" i="3" s="1"/>
  <c r="BB17" i="3" s="1"/>
  <c r="BE17" i="3" s="1"/>
  <c r="BH17" i="3" s="1"/>
  <c r="BK17" i="3" s="1"/>
  <c r="BN17" i="3" s="1"/>
  <c r="BQ17" i="3" s="1"/>
  <c r="BT17" i="3" s="1"/>
  <c r="BW17" i="3" s="1"/>
  <c r="BZ17" i="3" s="1"/>
  <c r="H16" i="3"/>
  <c r="I16" i="3" s="1"/>
  <c r="L16" i="3" s="1"/>
  <c r="O16" i="3" s="1"/>
  <c r="R16" i="3" s="1"/>
  <c r="U16" i="3" s="1"/>
  <c r="X16" i="3" s="1"/>
  <c r="AA16" i="3" s="1"/>
  <c r="AD16" i="3" s="1"/>
  <c r="AG16" i="3" s="1"/>
  <c r="AJ16" i="3" s="1"/>
  <c r="AM16" i="3" s="1"/>
  <c r="AP16" i="3" s="1"/>
  <c r="AS16" i="3" s="1"/>
  <c r="AV16" i="3" s="1"/>
  <c r="AY16" i="3" s="1"/>
  <c r="BB16" i="3" s="1"/>
  <c r="BE16" i="3" s="1"/>
  <c r="BH16" i="3" s="1"/>
  <c r="BK16" i="3" s="1"/>
  <c r="BN16" i="3" s="1"/>
  <c r="BQ16" i="3" s="1"/>
  <c r="BT16" i="3" s="1"/>
  <c r="BW16" i="3" s="1"/>
  <c r="BZ16" i="3" s="1"/>
  <c r="H15" i="3"/>
  <c r="I15" i="3" s="1"/>
  <c r="L15" i="3" s="1"/>
  <c r="O15" i="3" s="1"/>
  <c r="R15" i="3" s="1"/>
  <c r="U15" i="3" s="1"/>
  <c r="X15" i="3" s="1"/>
  <c r="AA15" i="3" s="1"/>
  <c r="AD15" i="3" s="1"/>
  <c r="AG15" i="3" s="1"/>
  <c r="AJ15" i="3" s="1"/>
  <c r="AM15" i="3" s="1"/>
  <c r="AP15" i="3" s="1"/>
  <c r="AS15" i="3" s="1"/>
  <c r="AV15" i="3" s="1"/>
  <c r="AY15" i="3" s="1"/>
  <c r="BB15" i="3" s="1"/>
  <c r="BE15" i="3" s="1"/>
  <c r="BH15" i="3" s="1"/>
  <c r="BK15" i="3" s="1"/>
  <c r="BN15" i="3" s="1"/>
  <c r="BQ15" i="3" s="1"/>
  <c r="BT15" i="3" s="1"/>
  <c r="BW15" i="3" s="1"/>
  <c r="BZ15" i="3" s="1"/>
  <c r="H14" i="3"/>
  <c r="I14" i="3" s="1"/>
  <c r="L14" i="3" s="1"/>
  <c r="O14" i="3" s="1"/>
  <c r="R14" i="3" s="1"/>
  <c r="U14" i="3" s="1"/>
  <c r="X14" i="3" s="1"/>
  <c r="AA14" i="3" s="1"/>
  <c r="AD14" i="3" s="1"/>
  <c r="AG14" i="3" s="1"/>
  <c r="AJ14" i="3" s="1"/>
  <c r="AM14" i="3" s="1"/>
  <c r="AP14" i="3" s="1"/>
  <c r="AS14" i="3" s="1"/>
  <c r="AV14" i="3" s="1"/>
  <c r="AY14" i="3" s="1"/>
  <c r="BB14" i="3" s="1"/>
  <c r="BE14" i="3" s="1"/>
  <c r="BH14" i="3" s="1"/>
  <c r="BK14" i="3" s="1"/>
  <c r="BN14" i="3" s="1"/>
  <c r="BQ14" i="3" s="1"/>
  <c r="BT14" i="3" s="1"/>
  <c r="BW14" i="3" s="1"/>
  <c r="BZ14" i="3" s="1"/>
  <c r="H11" i="3"/>
  <c r="I11" i="3" s="1"/>
  <c r="L11" i="3" s="1"/>
  <c r="O11" i="3" s="1"/>
  <c r="R11" i="3" s="1"/>
  <c r="U11" i="3" s="1"/>
  <c r="X11" i="3" s="1"/>
  <c r="AA11" i="3" s="1"/>
  <c r="AD11" i="3" s="1"/>
  <c r="AG11" i="3" s="1"/>
  <c r="AJ11" i="3" s="1"/>
  <c r="AM11" i="3" s="1"/>
  <c r="AP11" i="3" s="1"/>
  <c r="AS11" i="3" s="1"/>
  <c r="AV11" i="3" s="1"/>
  <c r="AY11" i="3" s="1"/>
  <c r="BB11" i="3" s="1"/>
  <c r="BE11" i="3" s="1"/>
  <c r="BH11" i="3" s="1"/>
  <c r="BK11" i="3" s="1"/>
  <c r="BN11" i="3" s="1"/>
  <c r="BQ11" i="3" s="1"/>
  <c r="BT11" i="3" s="1"/>
  <c r="BW11" i="3" s="1"/>
  <c r="BZ11" i="3" s="1"/>
  <c r="H10" i="3"/>
  <c r="I10" i="3" s="1"/>
  <c r="L10" i="3" s="1"/>
  <c r="O10" i="3" s="1"/>
  <c r="R10" i="3" s="1"/>
  <c r="U10" i="3" s="1"/>
  <c r="X10" i="3" s="1"/>
  <c r="AA10" i="3" s="1"/>
  <c r="AD10" i="3" s="1"/>
  <c r="AG10" i="3" s="1"/>
  <c r="AJ10" i="3" s="1"/>
  <c r="AM10" i="3" s="1"/>
  <c r="AP10" i="3" s="1"/>
  <c r="AS10" i="3" s="1"/>
  <c r="AV10" i="3" s="1"/>
  <c r="AY10" i="3" s="1"/>
  <c r="BB10" i="3" s="1"/>
  <c r="BE10" i="3" s="1"/>
  <c r="BH10" i="3" s="1"/>
  <c r="BK10" i="3" s="1"/>
  <c r="BN10" i="3" s="1"/>
  <c r="BQ10" i="3" s="1"/>
  <c r="BT10" i="3" s="1"/>
  <c r="BW10" i="3" s="1"/>
  <c r="BZ10" i="3" s="1"/>
  <c r="H8" i="3"/>
  <c r="I8" i="3" s="1"/>
  <c r="L8" i="3" s="1"/>
  <c r="O8" i="3" s="1"/>
  <c r="R8" i="3" s="1"/>
  <c r="U8" i="3" s="1"/>
  <c r="X8" i="3" s="1"/>
  <c r="AA8" i="3" s="1"/>
  <c r="AD8" i="3" s="1"/>
  <c r="AG8" i="3" s="1"/>
  <c r="AJ8" i="3" s="1"/>
  <c r="AM8" i="3" s="1"/>
  <c r="AP8" i="3" s="1"/>
  <c r="AS8" i="3" s="1"/>
  <c r="AV8" i="3" s="1"/>
  <c r="AY8" i="3" s="1"/>
  <c r="BB8" i="3" s="1"/>
  <c r="BE8" i="3" s="1"/>
  <c r="BH8" i="3" s="1"/>
  <c r="BK8" i="3" s="1"/>
  <c r="BN8" i="3" s="1"/>
  <c r="BQ8" i="3" s="1"/>
  <c r="BT8" i="3" s="1"/>
  <c r="BW8" i="3" s="1"/>
  <c r="BZ8" i="3" s="1"/>
  <c r="H60" i="1"/>
  <c r="I60" i="1" s="1"/>
  <c r="L60" i="1" s="1"/>
  <c r="O60" i="1" s="1"/>
  <c r="R60" i="1" s="1"/>
  <c r="U60" i="1" s="1"/>
  <c r="X60" i="1" s="1"/>
  <c r="AA60" i="1" s="1"/>
  <c r="AD60" i="1" s="1"/>
  <c r="AG60" i="1" s="1"/>
  <c r="AJ60" i="1" s="1"/>
  <c r="AM60" i="1" s="1"/>
  <c r="AP60" i="1" s="1"/>
  <c r="AS60" i="1" s="1"/>
  <c r="AV60" i="1" s="1"/>
  <c r="AY60" i="1" s="1"/>
  <c r="BB60" i="1" s="1"/>
  <c r="BE60" i="1" s="1"/>
  <c r="BH60" i="1" s="1"/>
  <c r="BK60" i="1" s="1"/>
  <c r="BN60" i="1" s="1"/>
  <c r="BQ60" i="1" s="1"/>
  <c r="BT60" i="1" s="1"/>
  <c r="BW60" i="1" s="1"/>
  <c r="BZ60" i="1" s="1"/>
  <c r="H61" i="1"/>
  <c r="I61" i="1" s="1"/>
  <c r="L61" i="1" s="1"/>
  <c r="O61" i="1" s="1"/>
  <c r="R61" i="1" s="1"/>
  <c r="U61" i="1" s="1"/>
  <c r="X61" i="1" s="1"/>
  <c r="AA61" i="1" s="1"/>
  <c r="AD61" i="1" s="1"/>
  <c r="AG61" i="1" s="1"/>
  <c r="AJ61" i="1" s="1"/>
  <c r="AM61" i="1" s="1"/>
  <c r="AP61" i="1" s="1"/>
  <c r="AS61" i="1" s="1"/>
  <c r="AV61" i="1" s="1"/>
  <c r="AY61" i="1" s="1"/>
  <c r="BB61" i="1" s="1"/>
  <c r="BE61" i="1" s="1"/>
  <c r="BH61" i="1" s="1"/>
  <c r="BK61" i="1" s="1"/>
  <c r="BN61" i="1" s="1"/>
  <c r="BQ61" i="1" s="1"/>
  <c r="BT61" i="1" s="1"/>
  <c r="BW61" i="1" s="1"/>
  <c r="BZ61" i="1" s="1"/>
  <c r="H62" i="1"/>
  <c r="I62" i="1" s="1"/>
  <c r="L62" i="1" s="1"/>
  <c r="O62" i="1" s="1"/>
  <c r="R62" i="1" s="1"/>
  <c r="U62" i="1" s="1"/>
  <c r="X62" i="1" s="1"/>
  <c r="AA62" i="1" s="1"/>
  <c r="AD62" i="1" s="1"/>
  <c r="AG62" i="1" s="1"/>
  <c r="AJ62" i="1" s="1"/>
  <c r="AM62" i="1" s="1"/>
  <c r="AP62" i="1" s="1"/>
  <c r="AS62" i="1" s="1"/>
  <c r="AV62" i="1" s="1"/>
  <c r="AY62" i="1" s="1"/>
  <c r="BB62" i="1" s="1"/>
  <c r="BE62" i="1" s="1"/>
  <c r="BH62" i="1" s="1"/>
  <c r="BK62" i="1" s="1"/>
  <c r="BN62" i="1" s="1"/>
  <c r="BQ62" i="1" s="1"/>
  <c r="BT62" i="1" s="1"/>
  <c r="BW62" i="1" s="1"/>
  <c r="BZ62" i="1" s="1"/>
  <c r="H63" i="1"/>
  <c r="I63" i="1" s="1"/>
  <c r="L63" i="1" s="1"/>
  <c r="O63" i="1" s="1"/>
  <c r="R63" i="1" s="1"/>
  <c r="U63" i="1" s="1"/>
  <c r="X63" i="1" s="1"/>
  <c r="AA63" i="1" s="1"/>
  <c r="AD63" i="1" s="1"/>
  <c r="AG63" i="1" s="1"/>
  <c r="AJ63" i="1" s="1"/>
  <c r="AM63" i="1" s="1"/>
  <c r="AP63" i="1" s="1"/>
  <c r="AS63" i="1" s="1"/>
  <c r="AV63" i="1" s="1"/>
  <c r="AY63" i="1" s="1"/>
  <c r="BB63" i="1" s="1"/>
  <c r="BE63" i="1" s="1"/>
  <c r="BH63" i="1" s="1"/>
  <c r="BK63" i="1" s="1"/>
  <c r="BN63" i="1" s="1"/>
  <c r="BQ63" i="1" s="1"/>
  <c r="BT63" i="1" s="1"/>
  <c r="BW63" i="1" s="1"/>
  <c r="BZ63" i="1" s="1"/>
  <c r="H64" i="1"/>
  <c r="I64" i="1" s="1"/>
  <c r="L64" i="1" s="1"/>
  <c r="O64" i="1" s="1"/>
  <c r="R64" i="1" s="1"/>
  <c r="U64" i="1" s="1"/>
  <c r="X64" i="1" s="1"/>
  <c r="AA64" i="1" s="1"/>
  <c r="AD64" i="1" s="1"/>
  <c r="AG64" i="1" s="1"/>
  <c r="AJ64" i="1" s="1"/>
  <c r="AM64" i="1" s="1"/>
  <c r="AP64" i="1" s="1"/>
  <c r="AS64" i="1" s="1"/>
  <c r="AV64" i="1" s="1"/>
  <c r="AY64" i="1" s="1"/>
  <c r="BB64" i="1" s="1"/>
  <c r="BE64" i="1" s="1"/>
  <c r="BH64" i="1" s="1"/>
  <c r="BK64" i="1" s="1"/>
  <c r="BN64" i="1" s="1"/>
  <c r="BQ64" i="1" s="1"/>
  <c r="BT64" i="1" s="1"/>
  <c r="BW64" i="1" s="1"/>
  <c r="BZ64" i="1" s="1"/>
  <c r="H65" i="1"/>
  <c r="I65" i="1" s="1"/>
  <c r="L65" i="1" s="1"/>
  <c r="O65" i="1" s="1"/>
  <c r="R65" i="1" s="1"/>
  <c r="U65" i="1" s="1"/>
  <c r="X65" i="1" s="1"/>
  <c r="AA65" i="1" s="1"/>
  <c r="AD65" i="1" s="1"/>
  <c r="AG65" i="1" s="1"/>
  <c r="AJ65" i="1" s="1"/>
  <c r="AM65" i="1" s="1"/>
  <c r="AP65" i="1" s="1"/>
  <c r="AS65" i="1" s="1"/>
  <c r="AV65" i="1" s="1"/>
  <c r="AY65" i="1" s="1"/>
  <c r="BB65" i="1" s="1"/>
  <c r="BE65" i="1" s="1"/>
  <c r="BH65" i="1" s="1"/>
  <c r="BK65" i="1" s="1"/>
  <c r="BN65" i="1" s="1"/>
  <c r="BQ65" i="1" s="1"/>
  <c r="BT65" i="1" s="1"/>
  <c r="BW65" i="1" s="1"/>
  <c r="BZ65" i="1" s="1"/>
  <c r="H66" i="1"/>
  <c r="I66" i="1" s="1"/>
  <c r="L66" i="1" s="1"/>
  <c r="O66" i="1" s="1"/>
  <c r="R66" i="1" s="1"/>
  <c r="U66" i="1" s="1"/>
  <c r="X66" i="1" s="1"/>
  <c r="AA66" i="1" s="1"/>
  <c r="AD66" i="1" s="1"/>
  <c r="AG66" i="1" s="1"/>
  <c r="AJ66" i="1" s="1"/>
  <c r="AM66" i="1" s="1"/>
  <c r="AP66" i="1" s="1"/>
  <c r="AS66" i="1" s="1"/>
  <c r="AV66" i="1" s="1"/>
  <c r="AY66" i="1" s="1"/>
  <c r="BB66" i="1" s="1"/>
  <c r="BE66" i="1" s="1"/>
  <c r="BH66" i="1" s="1"/>
  <c r="BK66" i="1" s="1"/>
  <c r="BN66" i="1" s="1"/>
  <c r="BQ66" i="1" s="1"/>
  <c r="BT66" i="1" s="1"/>
  <c r="BW66" i="1" s="1"/>
  <c r="BZ66" i="1" s="1"/>
  <c r="H68" i="1"/>
  <c r="I68" i="1" s="1"/>
  <c r="L68" i="1" s="1"/>
  <c r="O68" i="1" s="1"/>
  <c r="R68" i="1" s="1"/>
  <c r="U68" i="1" s="1"/>
  <c r="X68" i="1" s="1"/>
  <c r="AA68" i="1" s="1"/>
  <c r="AD68" i="1" s="1"/>
  <c r="AG68" i="1" s="1"/>
  <c r="AJ68" i="1" s="1"/>
  <c r="AM68" i="1" s="1"/>
  <c r="AP68" i="1" s="1"/>
  <c r="AS68" i="1" s="1"/>
  <c r="AV68" i="1" s="1"/>
  <c r="AY68" i="1" s="1"/>
  <c r="BB68" i="1" s="1"/>
  <c r="BE68" i="1" s="1"/>
  <c r="BH68" i="1" s="1"/>
  <c r="BK68" i="1" s="1"/>
  <c r="BN68" i="1" s="1"/>
  <c r="BQ68" i="1" s="1"/>
  <c r="BT68" i="1" s="1"/>
  <c r="BW68" i="1" s="1"/>
  <c r="BZ68" i="1" s="1"/>
  <c r="H69" i="1"/>
  <c r="I69" i="1" s="1"/>
  <c r="L69" i="1" s="1"/>
  <c r="O69" i="1" s="1"/>
  <c r="R69" i="1" s="1"/>
  <c r="U69" i="1" s="1"/>
  <c r="X69" i="1" s="1"/>
  <c r="AA69" i="1" s="1"/>
  <c r="AD69" i="1" s="1"/>
  <c r="AG69" i="1" s="1"/>
  <c r="AJ69" i="1" s="1"/>
  <c r="AM69" i="1" s="1"/>
  <c r="AP69" i="1" s="1"/>
  <c r="AS69" i="1" s="1"/>
  <c r="AV69" i="1" s="1"/>
  <c r="AY69" i="1" s="1"/>
  <c r="BB69" i="1" s="1"/>
  <c r="BE69" i="1" s="1"/>
  <c r="BH69" i="1" s="1"/>
  <c r="BK69" i="1" s="1"/>
  <c r="BN69" i="1" s="1"/>
  <c r="BQ69" i="1" s="1"/>
  <c r="BT69" i="1" s="1"/>
  <c r="BW69" i="1" s="1"/>
  <c r="BZ69" i="1" s="1"/>
  <c r="H70" i="1"/>
  <c r="I70" i="1" s="1"/>
  <c r="L70" i="1" s="1"/>
  <c r="O70" i="1" s="1"/>
  <c r="R70" i="1" s="1"/>
  <c r="U70" i="1" s="1"/>
  <c r="X70" i="1" s="1"/>
  <c r="AA70" i="1" s="1"/>
  <c r="AD70" i="1" s="1"/>
  <c r="AG70" i="1" s="1"/>
  <c r="AJ70" i="1" s="1"/>
  <c r="AM70" i="1" s="1"/>
  <c r="AP70" i="1" s="1"/>
  <c r="AS70" i="1" s="1"/>
  <c r="AV70" i="1" s="1"/>
  <c r="AY70" i="1" s="1"/>
  <c r="BB70" i="1" s="1"/>
  <c r="BE70" i="1" s="1"/>
  <c r="BH70" i="1" s="1"/>
  <c r="BK70" i="1" s="1"/>
  <c r="BN70" i="1" s="1"/>
  <c r="BQ70" i="1" s="1"/>
  <c r="BT70" i="1" s="1"/>
  <c r="BW70" i="1" s="1"/>
  <c r="BZ70" i="1" s="1"/>
  <c r="H71" i="1"/>
  <c r="I71" i="1" s="1"/>
  <c r="L71" i="1" s="1"/>
  <c r="O71" i="1" s="1"/>
  <c r="R71" i="1" s="1"/>
  <c r="U71" i="1" s="1"/>
  <c r="X71" i="1" s="1"/>
  <c r="AA71" i="1" s="1"/>
  <c r="AD71" i="1" s="1"/>
  <c r="AG71" i="1" s="1"/>
  <c r="AJ71" i="1" s="1"/>
  <c r="AM71" i="1" s="1"/>
  <c r="AP71" i="1" s="1"/>
  <c r="AS71" i="1" s="1"/>
  <c r="AV71" i="1" s="1"/>
  <c r="AY71" i="1" s="1"/>
  <c r="BB71" i="1" s="1"/>
  <c r="BE71" i="1" s="1"/>
  <c r="BH71" i="1" s="1"/>
  <c r="BK71" i="1" s="1"/>
  <c r="BN71" i="1" s="1"/>
  <c r="BQ71" i="1" s="1"/>
  <c r="BT71" i="1" s="1"/>
  <c r="BW71" i="1" s="1"/>
  <c r="BZ71" i="1" s="1"/>
  <c r="H72" i="1"/>
  <c r="I72" i="1" s="1"/>
  <c r="L72" i="1" s="1"/>
  <c r="O72" i="1" s="1"/>
  <c r="R72" i="1" s="1"/>
  <c r="U72" i="1" s="1"/>
  <c r="X72" i="1" s="1"/>
  <c r="AA72" i="1" s="1"/>
  <c r="AD72" i="1" s="1"/>
  <c r="AG72" i="1" s="1"/>
  <c r="AJ72" i="1" s="1"/>
  <c r="AM72" i="1" s="1"/>
  <c r="AP72" i="1" s="1"/>
  <c r="AS72" i="1" s="1"/>
  <c r="AV72" i="1" s="1"/>
  <c r="AY72" i="1" s="1"/>
  <c r="BB72" i="1" s="1"/>
  <c r="BE72" i="1" s="1"/>
  <c r="BH72" i="1" s="1"/>
  <c r="BK72" i="1" s="1"/>
  <c r="BN72" i="1" s="1"/>
  <c r="BQ72" i="1" s="1"/>
  <c r="BT72" i="1" s="1"/>
  <c r="BW72" i="1" s="1"/>
  <c r="BZ72" i="1" s="1"/>
  <c r="H59" i="1"/>
  <c r="I59" i="1" s="1"/>
  <c r="L59" i="1" s="1"/>
  <c r="O59" i="1" s="1"/>
  <c r="R59" i="1" s="1"/>
  <c r="U59" i="1" s="1"/>
  <c r="X59" i="1" s="1"/>
  <c r="AA59" i="1" s="1"/>
  <c r="AD59" i="1" s="1"/>
  <c r="AG59" i="1" s="1"/>
  <c r="AJ59" i="1" s="1"/>
  <c r="AM59" i="1" s="1"/>
  <c r="AP59" i="1" s="1"/>
  <c r="AS59" i="1" s="1"/>
  <c r="AV59" i="1" s="1"/>
  <c r="AY59" i="1" s="1"/>
  <c r="BB59" i="1" s="1"/>
  <c r="BE59" i="1" s="1"/>
  <c r="BH59" i="1" s="1"/>
  <c r="BK59" i="1" s="1"/>
  <c r="BN59" i="1" s="1"/>
  <c r="BQ59" i="1" s="1"/>
  <c r="BT59" i="1" s="1"/>
  <c r="BW59" i="1" s="1"/>
  <c r="BZ59" i="1" s="1"/>
  <c r="H45" i="1"/>
  <c r="I45" i="1" s="1"/>
  <c r="L45" i="1" s="1"/>
  <c r="O45" i="1" s="1"/>
  <c r="R45" i="1" s="1"/>
  <c r="U45" i="1" s="1"/>
  <c r="X45" i="1" s="1"/>
  <c r="AA45" i="1" s="1"/>
  <c r="AD45" i="1" s="1"/>
  <c r="AG45" i="1" s="1"/>
  <c r="AJ45" i="1" s="1"/>
  <c r="AM45" i="1" s="1"/>
  <c r="AP45" i="1" s="1"/>
  <c r="AS45" i="1" s="1"/>
  <c r="AV45" i="1" s="1"/>
  <c r="AY45" i="1" s="1"/>
  <c r="BB45" i="1" s="1"/>
  <c r="BE45" i="1" s="1"/>
  <c r="BH45" i="1" s="1"/>
  <c r="BK45" i="1" s="1"/>
  <c r="BN45" i="1" s="1"/>
  <c r="BQ45" i="1" s="1"/>
  <c r="BT45" i="1" s="1"/>
  <c r="BW45" i="1" s="1"/>
  <c r="BZ45" i="1" s="1"/>
  <c r="H46" i="1"/>
  <c r="I46" i="1" s="1"/>
  <c r="L46" i="1" s="1"/>
  <c r="O46" i="1" s="1"/>
  <c r="R46" i="1" s="1"/>
  <c r="U46" i="1" s="1"/>
  <c r="X46" i="1" s="1"/>
  <c r="AA46" i="1" s="1"/>
  <c r="AD46" i="1" s="1"/>
  <c r="AG46" i="1" s="1"/>
  <c r="AJ46" i="1" s="1"/>
  <c r="AM46" i="1" s="1"/>
  <c r="AP46" i="1" s="1"/>
  <c r="AS46" i="1" s="1"/>
  <c r="AV46" i="1" s="1"/>
  <c r="AY46" i="1" s="1"/>
  <c r="BB46" i="1" s="1"/>
  <c r="BE46" i="1" s="1"/>
  <c r="BH46" i="1" s="1"/>
  <c r="BK46" i="1" s="1"/>
  <c r="BN46" i="1" s="1"/>
  <c r="BQ46" i="1" s="1"/>
  <c r="BT46" i="1" s="1"/>
  <c r="BW46" i="1" s="1"/>
  <c r="BZ46" i="1" s="1"/>
  <c r="H47" i="1"/>
  <c r="I47" i="1" s="1"/>
  <c r="L47" i="1" s="1"/>
  <c r="O47" i="1" s="1"/>
  <c r="R47" i="1" s="1"/>
  <c r="U47" i="1" s="1"/>
  <c r="X47" i="1" s="1"/>
  <c r="AA47" i="1" s="1"/>
  <c r="AD47" i="1" s="1"/>
  <c r="AG47" i="1" s="1"/>
  <c r="AJ47" i="1" s="1"/>
  <c r="AM47" i="1" s="1"/>
  <c r="AP47" i="1" s="1"/>
  <c r="AS47" i="1" s="1"/>
  <c r="AV47" i="1" s="1"/>
  <c r="AY47" i="1" s="1"/>
  <c r="BB47" i="1" s="1"/>
  <c r="BE47" i="1" s="1"/>
  <c r="BH47" i="1" s="1"/>
  <c r="BK47" i="1" s="1"/>
  <c r="BN47" i="1" s="1"/>
  <c r="BQ47" i="1" s="1"/>
  <c r="BT47" i="1" s="1"/>
  <c r="BW47" i="1" s="1"/>
  <c r="BZ47" i="1" s="1"/>
  <c r="H48" i="1"/>
  <c r="I48" i="1" s="1"/>
  <c r="L48" i="1" s="1"/>
  <c r="O48" i="1" s="1"/>
  <c r="R48" i="1" s="1"/>
  <c r="U48" i="1" s="1"/>
  <c r="X48" i="1" s="1"/>
  <c r="AA48" i="1" s="1"/>
  <c r="AD48" i="1" s="1"/>
  <c r="AG48" i="1" s="1"/>
  <c r="AJ48" i="1" s="1"/>
  <c r="AM48" i="1" s="1"/>
  <c r="AP48" i="1" s="1"/>
  <c r="AS48" i="1" s="1"/>
  <c r="AV48" i="1" s="1"/>
  <c r="AY48" i="1" s="1"/>
  <c r="BB48" i="1" s="1"/>
  <c r="BE48" i="1" s="1"/>
  <c r="BH48" i="1" s="1"/>
  <c r="BK48" i="1" s="1"/>
  <c r="BN48" i="1" s="1"/>
  <c r="BQ48" i="1" s="1"/>
  <c r="BT48" i="1" s="1"/>
  <c r="BW48" i="1" s="1"/>
  <c r="BZ48" i="1" s="1"/>
  <c r="H49" i="1"/>
  <c r="I49" i="1" s="1"/>
  <c r="L49" i="1" s="1"/>
  <c r="O49" i="1" s="1"/>
  <c r="R49" i="1" s="1"/>
  <c r="U49" i="1" s="1"/>
  <c r="X49" i="1" s="1"/>
  <c r="AA49" i="1" s="1"/>
  <c r="AD49" i="1" s="1"/>
  <c r="AG49" i="1" s="1"/>
  <c r="AJ49" i="1" s="1"/>
  <c r="AM49" i="1" s="1"/>
  <c r="AP49" i="1" s="1"/>
  <c r="AS49" i="1" s="1"/>
  <c r="AV49" i="1" s="1"/>
  <c r="AY49" i="1" s="1"/>
  <c r="BB49" i="1" s="1"/>
  <c r="BE49" i="1" s="1"/>
  <c r="BH49" i="1" s="1"/>
  <c r="BK49" i="1" s="1"/>
  <c r="BN49" i="1" s="1"/>
  <c r="BQ49" i="1" s="1"/>
  <c r="BT49" i="1" s="1"/>
  <c r="BW49" i="1" s="1"/>
  <c r="BZ49" i="1" s="1"/>
  <c r="H50" i="1"/>
  <c r="I50" i="1" s="1"/>
  <c r="L50" i="1" s="1"/>
  <c r="O50" i="1" s="1"/>
  <c r="R50" i="1" s="1"/>
  <c r="U50" i="1" s="1"/>
  <c r="X50" i="1" s="1"/>
  <c r="AA50" i="1" s="1"/>
  <c r="AD50" i="1" s="1"/>
  <c r="AG50" i="1" s="1"/>
  <c r="AJ50" i="1" s="1"/>
  <c r="AM50" i="1" s="1"/>
  <c r="AP50" i="1" s="1"/>
  <c r="AS50" i="1" s="1"/>
  <c r="AV50" i="1" s="1"/>
  <c r="AY50" i="1" s="1"/>
  <c r="BB50" i="1" s="1"/>
  <c r="BE50" i="1" s="1"/>
  <c r="BH50" i="1" s="1"/>
  <c r="BK50" i="1" s="1"/>
  <c r="BN50" i="1" s="1"/>
  <c r="BQ50" i="1" s="1"/>
  <c r="BT50" i="1" s="1"/>
  <c r="BW50" i="1" s="1"/>
  <c r="H51" i="1"/>
  <c r="I51" i="1" s="1"/>
  <c r="L51" i="1" s="1"/>
  <c r="O51" i="1" s="1"/>
  <c r="R51" i="1" s="1"/>
  <c r="U51" i="1" s="1"/>
  <c r="X51" i="1" s="1"/>
  <c r="AA51" i="1" s="1"/>
  <c r="AD51" i="1" s="1"/>
  <c r="AG51" i="1" s="1"/>
  <c r="AJ51" i="1" s="1"/>
  <c r="AM51" i="1" s="1"/>
  <c r="AP51" i="1" s="1"/>
  <c r="AS51" i="1" s="1"/>
  <c r="AV51" i="1" s="1"/>
  <c r="AY51" i="1" s="1"/>
  <c r="BB51" i="1" s="1"/>
  <c r="BE51" i="1" s="1"/>
  <c r="BH51" i="1" s="1"/>
  <c r="BK51" i="1" s="1"/>
  <c r="BN51" i="1" s="1"/>
  <c r="BQ51" i="1" s="1"/>
  <c r="BT51" i="1" s="1"/>
  <c r="BW51" i="1" s="1"/>
  <c r="BZ51" i="1" s="1"/>
  <c r="H44" i="1"/>
  <c r="I44" i="1" s="1"/>
  <c r="L44" i="1" s="1"/>
  <c r="O44" i="1" s="1"/>
  <c r="R44" i="1" s="1"/>
  <c r="U44" i="1" s="1"/>
  <c r="X44" i="1" s="1"/>
  <c r="AA44" i="1" s="1"/>
  <c r="AD44" i="1" s="1"/>
  <c r="AG44" i="1" s="1"/>
  <c r="AJ44" i="1" s="1"/>
  <c r="AM44" i="1" s="1"/>
  <c r="AP44" i="1" s="1"/>
  <c r="AS44" i="1" s="1"/>
  <c r="AV44" i="1" s="1"/>
  <c r="AY44" i="1" s="1"/>
  <c r="BB44" i="1" s="1"/>
  <c r="BE44" i="1" s="1"/>
  <c r="BH44" i="1" s="1"/>
  <c r="BK44" i="1" s="1"/>
  <c r="BN44" i="1" s="1"/>
  <c r="BQ44" i="1" s="1"/>
  <c r="BT44" i="1" s="1"/>
  <c r="BW44" i="1" s="1"/>
  <c r="BZ44" i="1" s="1"/>
  <c r="H26" i="1"/>
  <c r="I26" i="1" s="1"/>
  <c r="L26" i="1" s="1"/>
  <c r="O26" i="1" s="1"/>
  <c r="R26" i="1" s="1"/>
  <c r="U26" i="1" s="1"/>
  <c r="X26" i="1" s="1"/>
  <c r="AA26" i="1" s="1"/>
  <c r="AD26" i="1" s="1"/>
  <c r="AG26" i="1" s="1"/>
  <c r="AJ26" i="1" s="1"/>
  <c r="AM26" i="1" s="1"/>
  <c r="AP26" i="1" s="1"/>
  <c r="AS26" i="1" s="1"/>
  <c r="AV26" i="1" s="1"/>
  <c r="AY26" i="1" s="1"/>
  <c r="BB26" i="1" s="1"/>
  <c r="BE26" i="1" s="1"/>
  <c r="BH26" i="1" s="1"/>
  <c r="BK26" i="1" s="1"/>
  <c r="BN26" i="1" s="1"/>
  <c r="BQ26" i="1" s="1"/>
  <c r="BT26" i="1" s="1"/>
  <c r="BW26" i="1" s="1"/>
  <c r="BZ26" i="1" s="1"/>
  <c r="H27" i="1"/>
  <c r="I27" i="1" s="1"/>
  <c r="L27" i="1" s="1"/>
  <c r="O27" i="1" s="1"/>
  <c r="R27" i="1" s="1"/>
  <c r="U27" i="1" s="1"/>
  <c r="X27" i="1" s="1"/>
  <c r="AA27" i="1" s="1"/>
  <c r="AD27" i="1" s="1"/>
  <c r="AG27" i="1" s="1"/>
  <c r="AJ27" i="1" s="1"/>
  <c r="AM27" i="1" s="1"/>
  <c r="AP27" i="1" s="1"/>
  <c r="AS27" i="1" s="1"/>
  <c r="AV27" i="1" s="1"/>
  <c r="AY27" i="1" s="1"/>
  <c r="BB27" i="1" s="1"/>
  <c r="BE27" i="1" s="1"/>
  <c r="BH27" i="1" s="1"/>
  <c r="BK27" i="1" s="1"/>
  <c r="BN27" i="1" s="1"/>
  <c r="BQ27" i="1" s="1"/>
  <c r="BT27" i="1" s="1"/>
  <c r="BW27" i="1" s="1"/>
  <c r="BZ27" i="1" s="1"/>
  <c r="H28" i="1"/>
  <c r="I28" i="1" s="1"/>
  <c r="L28" i="1" s="1"/>
  <c r="O28" i="1" s="1"/>
  <c r="R28" i="1" s="1"/>
  <c r="U28" i="1" s="1"/>
  <c r="X28" i="1" s="1"/>
  <c r="AA28" i="1" s="1"/>
  <c r="AD28" i="1" s="1"/>
  <c r="AG28" i="1" s="1"/>
  <c r="AJ28" i="1" s="1"/>
  <c r="AM28" i="1" s="1"/>
  <c r="AP28" i="1" s="1"/>
  <c r="AS28" i="1" s="1"/>
  <c r="AV28" i="1" s="1"/>
  <c r="AY28" i="1" s="1"/>
  <c r="BB28" i="1" s="1"/>
  <c r="BE28" i="1" s="1"/>
  <c r="BH28" i="1" s="1"/>
  <c r="BK28" i="1" s="1"/>
  <c r="BN28" i="1" s="1"/>
  <c r="BQ28" i="1" s="1"/>
  <c r="BT28" i="1" s="1"/>
  <c r="BW28" i="1" s="1"/>
  <c r="BZ28" i="1" s="1"/>
  <c r="H29" i="1"/>
  <c r="I29" i="1" s="1"/>
  <c r="L29" i="1" s="1"/>
  <c r="O29" i="1" s="1"/>
  <c r="R29" i="1" s="1"/>
  <c r="U29" i="1" s="1"/>
  <c r="X29" i="1" s="1"/>
  <c r="AA29" i="1" s="1"/>
  <c r="AD29" i="1" s="1"/>
  <c r="AG29" i="1" s="1"/>
  <c r="AJ29" i="1" s="1"/>
  <c r="AM29" i="1" s="1"/>
  <c r="AP29" i="1" s="1"/>
  <c r="AS29" i="1" s="1"/>
  <c r="AV29" i="1" s="1"/>
  <c r="AY29" i="1" s="1"/>
  <c r="BB29" i="1" s="1"/>
  <c r="BE29" i="1" s="1"/>
  <c r="BH29" i="1" s="1"/>
  <c r="BK29" i="1" s="1"/>
  <c r="BN29" i="1" s="1"/>
  <c r="BQ29" i="1" s="1"/>
  <c r="BT29" i="1" s="1"/>
  <c r="BW29" i="1" s="1"/>
  <c r="BZ29" i="1" s="1"/>
  <c r="H30" i="1"/>
  <c r="I30" i="1" s="1"/>
  <c r="L30" i="1" s="1"/>
  <c r="O30" i="1" s="1"/>
  <c r="R30" i="1" s="1"/>
  <c r="U30" i="1" s="1"/>
  <c r="X30" i="1" s="1"/>
  <c r="AA30" i="1" s="1"/>
  <c r="AD30" i="1" s="1"/>
  <c r="AG30" i="1" s="1"/>
  <c r="AJ30" i="1" s="1"/>
  <c r="AM30" i="1" s="1"/>
  <c r="AP30" i="1" s="1"/>
  <c r="AS30" i="1" s="1"/>
  <c r="AV30" i="1" s="1"/>
  <c r="AY30" i="1" s="1"/>
  <c r="BB30" i="1" s="1"/>
  <c r="BE30" i="1" s="1"/>
  <c r="BH30" i="1" s="1"/>
  <c r="BK30" i="1" s="1"/>
  <c r="BN30" i="1" s="1"/>
  <c r="BQ30" i="1" s="1"/>
  <c r="BT30" i="1" s="1"/>
  <c r="BW30" i="1" s="1"/>
  <c r="H31" i="1"/>
  <c r="I31" i="1" s="1"/>
  <c r="L31" i="1" s="1"/>
  <c r="O31" i="1" s="1"/>
  <c r="R31" i="1" s="1"/>
  <c r="U31" i="1" s="1"/>
  <c r="X31" i="1" s="1"/>
  <c r="AA31" i="1" s="1"/>
  <c r="AD31" i="1" s="1"/>
  <c r="AG31" i="1" s="1"/>
  <c r="AJ31" i="1" s="1"/>
  <c r="AM31" i="1" s="1"/>
  <c r="AP31" i="1" s="1"/>
  <c r="AS31" i="1" s="1"/>
  <c r="AV31" i="1" s="1"/>
  <c r="AY31" i="1" s="1"/>
  <c r="BB31" i="1" s="1"/>
  <c r="BE31" i="1" s="1"/>
  <c r="BH31" i="1" s="1"/>
  <c r="BK31" i="1" s="1"/>
  <c r="BN31" i="1" s="1"/>
  <c r="BQ31" i="1" s="1"/>
  <c r="BT31" i="1" s="1"/>
  <c r="BW31" i="1" s="1"/>
  <c r="BZ31" i="1" s="1"/>
  <c r="H32" i="1"/>
  <c r="I32" i="1" s="1"/>
  <c r="L32" i="1" s="1"/>
  <c r="O32" i="1" s="1"/>
  <c r="R32" i="1" s="1"/>
  <c r="U32" i="1" s="1"/>
  <c r="X32" i="1" s="1"/>
  <c r="AA32" i="1" s="1"/>
  <c r="AD32" i="1" s="1"/>
  <c r="AG32" i="1" s="1"/>
  <c r="AJ32" i="1" s="1"/>
  <c r="AM32" i="1" s="1"/>
  <c r="AP32" i="1" s="1"/>
  <c r="AS32" i="1" s="1"/>
  <c r="AV32" i="1" s="1"/>
  <c r="AY32" i="1" s="1"/>
  <c r="BB32" i="1" s="1"/>
  <c r="BE32" i="1" s="1"/>
  <c r="BH32" i="1" s="1"/>
  <c r="BK32" i="1" s="1"/>
  <c r="BN32" i="1" s="1"/>
  <c r="BQ32" i="1" s="1"/>
  <c r="BT32" i="1" s="1"/>
  <c r="BW32" i="1" s="1"/>
  <c r="BZ32" i="1" s="1"/>
  <c r="H33" i="1"/>
  <c r="I33" i="1" s="1"/>
  <c r="L33" i="1" s="1"/>
  <c r="O33" i="1" s="1"/>
  <c r="R33" i="1" s="1"/>
  <c r="U33" i="1" s="1"/>
  <c r="X33" i="1" s="1"/>
  <c r="AA33" i="1" s="1"/>
  <c r="AD33" i="1" s="1"/>
  <c r="AG33" i="1" s="1"/>
  <c r="AJ33" i="1" s="1"/>
  <c r="AM33" i="1" s="1"/>
  <c r="AP33" i="1" s="1"/>
  <c r="AS33" i="1" s="1"/>
  <c r="AV33" i="1" s="1"/>
  <c r="AY33" i="1" s="1"/>
  <c r="BB33" i="1" s="1"/>
  <c r="BE33" i="1" s="1"/>
  <c r="BH33" i="1" s="1"/>
  <c r="BK33" i="1" s="1"/>
  <c r="BN33" i="1" s="1"/>
  <c r="BQ33" i="1" s="1"/>
  <c r="BT33" i="1" s="1"/>
  <c r="BW33" i="1" s="1"/>
  <c r="BZ33" i="1" s="1"/>
  <c r="H34" i="1"/>
  <c r="I34" i="1" s="1"/>
  <c r="L34" i="1" s="1"/>
  <c r="O34" i="1" s="1"/>
  <c r="R34" i="1" s="1"/>
  <c r="U34" i="1" s="1"/>
  <c r="X34" i="1" s="1"/>
  <c r="AA34" i="1" s="1"/>
  <c r="AD34" i="1" s="1"/>
  <c r="AG34" i="1" s="1"/>
  <c r="AJ34" i="1" s="1"/>
  <c r="AM34" i="1" s="1"/>
  <c r="AP34" i="1" s="1"/>
  <c r="AS34" i="1" s="1"/>
  <c r="AV34" i="1" s="1"/>
  <c r="AY34" i="1" s="1"/>
  <c r="BB34" i="1" s="1"/>
  <c r="BE34" i="1" s="1"/>
  <c r="BH34" i="1" s="1"/>
  <c r="BK34" i="1" s="1"/>
  <c r="BN34" i="1" s="1"/>
  <c r="BQ34" i="1" s="1"/>
  <c r="BT34" i="1" s="1"/>
  <c r="BW34" i="1" s="1"/>
  <c r="BZ34" i="1" s="1"/>
  <c r="H35" i="1"/>
  <c r="I35" i="1" s="1"/>
  <c r="L35" i="1" s="1"/>
  <c r="O35" i="1" s="1"/>
  <c r="R35" i="1" s="1"/>
  <c r="U35" i="1" s="1"/>
  <c r="X35" i="1" s="1"/>
  <c r="AA35" i="1" s="1"/>
  <c r="AD35" i="1" s="1"/>
  <c r="AG35" i="1" s="1"/>
  <c r="AJ35" i="1" s="1"/>
  <c r="AM35" i="1" s="1"/>
  <c r="AP35" i="1" s="1"/>
  <c r="AS35" i="1" s="1"/>
  <c r="AV35" i="1" s="1"/>
  <c r="AY35" i="1" s="1"/>
  <c r="BB35" i="1" s="1"/>
  <c r="BE35" i="1" s="1"/>
  <c r="BH35" i="1" s="1"/>
  <c r="BK35" i="1" s="1"/>
  <c r="BN35" i="1" s="1"/>
  <c r="BQ35" i="1" s="1"/>
  <c r="BT35" i="1" s="1"/>
  <c r="BW35" i="1" s="1"/>
  <c r="BZ35" i="1" s="1"/>
  <c r="H36" i="1"/>
  <c r="I36" i="1" s="1"/>
  <c r="L36" i="1" s="1"/>
  <c r="O36" i="1" s="1"/>
  <c r="R36" i="1" s="1"/>
  <c r="U36" i="1" s="1"/>
  <c r="X36" i="1" s="1"/>
  <c r="AA36" i="1" s="1"/>
  <c r="AD36" i="1" s="1"/>
  <c r="AG36" i="1" s="1"/>
  <c r="AJ36" i="1" s="1"/>
  <c r="AM36" i="1" s="1"/>
  <c r="AP36" i="1" s="1"/>
  <c r="AS36" i="1" s="1"/>
  <c r="AV36" i="1" s="1"/>
  <c r="AY36" i="1" s="1"/>
  <c r="BB36" i="1" s="1"/>
  <c r="BE36" i="1" s="1"/>
  <c r="BH36" i="1" s="1"/>
  <c r="BK36" i="1" s="1"/>
  <c r="BN36" i="1" s="1"/>
  <c r="BQ36" i="1" s="1"/>
  <c r="BT36" i="1" s="1"/>
  <c r="BW36" i="1" s="1"/>
  <c r="BZ36" i="1" s="1"/>
  <c r="H25" i="1"/>
  <c r="I25" i="1" s="1"/>
  <c r="L25" i="1" s="1"/>
  <c r="O25" i="1" s="1"/>
  <c r="R25" i="1" s="1"/>
  <c r="U25" i="1" s="1"/>
  <c r="X25" i="1" s="1"/>
  <c r="AA25" i="1" s="1"/>
  <c r="AD25" i="1" s="1"/>
  <c r="AG25" i="1" s="1"/>
  <c r="AJ25" i="1" s="1"/>
  <c r="AM25" i="1" s="1"/>
  <c r="AP25" i="1" s="1"/>
  <c r="AS25" i="1" s="1"/>
  <c r="AV25" i="1" s="1"/>
  <c r="AY25" i="1" s="1"/>
  <c r="BB25" i="1" s="1"/>
  <c r="BE25" i="1" s="1"/>
  <c r="BH25" i="1" s="1"/>
  <c r="BK25" i="1" s="1"/>
  <c r="BN25" i="1" s="1"/>
  <c r="BQ25" i="1" s="1"/>
  <c r="BT25" i="1" s="1"/>
  <c r="BW25" i="1" s="1"/>
  <c r="BZ25" i="1" s="1"/>
  <c r="H8" i="1"/>
  <c r="I8" i="1" s="1"/>
  <c r="L8" i="1" s="1"/>
  <c r="O8" i="1" s="1"/>
  <c r="R8" i="1" s="1"/>
  <c r="U8" i="1" s="1"/>
  <c r="X8" i="1" s="1"/>
  <c r="AA8" i="1" s="1"/>
  <c r="AD8" i="1" s="1"/>
  <c r="AG8" i="1" s="1"/>
  <c r="AJ8" i="1" s="1"/>
  <c r="AM8" i="1" s="1"/>
  <c r="AP8" i="1" s="1"/>
  <c r="AS8" i="1" s="1"/>
  <c r="AV8" i="1" s="1"/>
  <c r="AY8" i="1" s="1"/>
  <c r="BB8" i="1" s="1"/>
  <c r="BE8" i="1" s="1"/>
  <c r="BH8" i="1" s="1"/>
  <c r="BK8" i="1" s="1"/>
  <c r="BN8" i="1" s="1"/>
  <c r="BQ8" i="1" s="1"/>
  <c r="BT8" i="1" s="1"/>
  <c r="BW8" i="1" s="1"/>
  <c r="BZ8" i="1" s="1"/>
  <c r="H9" i="1"/>
  <c r="I9" i="1" s="1"/>
  <c r="L9" i="1" s="1"/>
  <c r="O9" i="1" s="1"/>
  <c r="R9" i="1" s="1"/>
  <c r="U9" i="1" s="1"/>
  <c r="X9" i="1" s="1"/>
  <c r="AA9" i="1" s="1"/>
  <c r="AD9" i="1" s="1"/>
  <c r="AG9" i="1" s="1"/>
  <c r="AJ9" i="1" s="1"/>
  <c r="AM9" i="1" s="1"/>
  <c r="AP9" i="1" s="1"/>
  <c r="AS9" i="1" s="1"/>
  <c r="AV9" i="1" s="1"/>
  <c r="AY9" i="1" s="1"/>
  <c r="BB9" i="1" s="1"/>
  <c r="BE9" i="1" s="1"/>
  <c r="BH9" i="1" s="1"/>
  <c r="BK9" i="1" s="1"/>
  <c r="BN9" i="1" s="1"/>
  <c r="BQ9" i="1" s="1"/>
  <c r="BT9" i="1" s="1"/>
  <c r="BW9" i="1" s="1"/>
  <c r="BZ9" i="1" s="1"/>
  <c r="H10" i="1"/>
  <c r="I10" i="1" s="1"/>
  <c r="L10" i="1" s="1"/>
  <c r="O10" i="1" s="1"/>
  <c r="R10" i="1" s="1"/>
  <c r="U10" i="1" s="1"/>
  <c r="X10" i="1" s="1"/>
  <c r="AA10" i="1" s="1"/>
  <c r="AD10" i="1" s="1"/>
  <c r="AG10" i="1" s="1"/>
  <c r="AJ10" i="1" s="1"/>
  <c r="AM10" i="1" s="1"/>
  <c r="AP10" i="1" s="1"/>
  <c r="AS10" i="1" s="1"/>
  <c r="AV10" i="1" s="1"/>
  <c r="AY10" i="1" s="1"/>
  <c r="BB10" i="1" s="1"/>
  <c r="BE10" i="1" s="1"/>
  <c r="BH10" i="1" s="1"/>
  <c r="BK10" i="1" s="1"/>
  <c r="BN10" i="1" s="1"/>
  <c r="BQ10" i="1" s="1"/>
  <c r="BT10" i="1" s="1"/>
  <c r="BW10" i="1" s="1"/>
  <c r="BZ10" i="1" s="1"/>
  <c r="H11" i="1"/>
  <c r="I11" i="1" s="1"/>
  <c r="L11" i="1" s="1"/>
  <c r="O11" i="1" s="1"/>
  <c r="R11" i="1" s="1"/>
  <c r="U11" i="1" s="1"/>
  <c r="X11" i="1" s="1"/>
  <c r="AA11" i="1" s="1"/>
  <c r="AD11" i="1" s="1"/>
  <c r="AG11" i="1" s="1"/>
  <c r="AJ11" i="1" s="1"/>
  <c r="AM11" i="1" s="1"/>
  <c r="AP11" i="1" s="1"/>
  <c r="AS11" i="1" s="1"/>
  <c r="AV11" i="1" s="1"/>
  <c r="AY11" i="1" s="1"/>
  <c r="BB11" i="1" s="1"/>
  <c r="BE11" i="1" s="1"/>
  <c r="BH11" i="1" s="1"/>
  <c r="BK11" i="1" s="1"/>
  <c r="BN11" i="1" s="1"/>
  <c r="BQ11" i="1" s="1"/>
  <c r="BT11" i="1" s="1"/>
  <c r="BW11" i="1" s="1"/>
  <c r="BZ11" i="1" s="1"/>
  <c r="H12" i="1"/>
  <c r="I12" i="1" s="1"/>
  <c r="L12" i="1" s="1"/>
  <c r="O12" i="1" s="1"/>
  <c r="R12" i="1" s="1"/>
  <c r="U12" i="1" s="1"/>
  <c r="X12" i="1" s="1"/>
  <c r="AA12" i="1" s="1"/>
  <c r="AD12" i="1" s="1"/>
  <c r="AG12" i="1" s="1"/>
  <c r="AJ12" i="1" s="1"/>
  <c r="AM12" i="1" s="1"/>
  <c r="AP12" i="1" s="1"/>
  <c r="AS12" i="1" s="1"/>
  <c r="AV12" i="1" s="1"/>
  <c r="AY12" i="1" s="1"/>
  <c r="BB12" i="1" s="1"/>
  <c r="BE12" i="1" s="1"/>
  <c r="BH12" i="1" s="1"/>
  <c r="BK12" i="1" s="1"/>
  <c r="BN12" i="1" s="1"/>
  <c r="BQ12" i="1" s="1"/>
  <c r="BT12" i="1" s="1"/>
  <c r="BW12" i="1" s="1"/>
  <c r="BZ12" i="1" s="1"/>
  <c r="H13" i="1"/>
  <c r="I13" i="1" s="1"/>
  <c r="L13" i="1" s="1"/>
  <c r="O13" i="1" s="1"/>
  <c r="R13" i="1" s="1"/>
  <c r="U13" i="1" s="1"/>
  <c r="X13" i="1" s="1"/>
  <c r="AA13" i="1" s="1"/>
  <c r="AD13" i="1" s="1"/>
  <c r="AG13" i="1" s="1"/>
  <c r="AJ13" i="1" s="1"/>
  <c r="AM13" i="1" s="1"/>
  <c r="AP13" i="1" s="1"/>
  <c r="AS13" i="1" s="1"/>
  <c r="AV13" i="1" s="1"/>
  <c r="AY13" i="1" s="1"/>
  <c r="BB13" i="1" s="1"/>
  <c r="BE13" i="1" s="1"/>
  <c r="BH13" i="1" s="1"/>
  <c r="BK13" i="1" s="1"/>
  <c r="BN13" i="1" s="1"/>
  <c r="BQ13" i="1" s="1"/>
  <c r="BT13" i="1" s="1"/>
  <c r="BW13" i="1" s="1"/>
  <c r="BZ13" i="1" s="1"/>
  <c r="H14" i="1"/>
  <c r="I14" i="1" s="1"/>
  <c r="L14" i="1" s="1"/>
  <c r="O14" i="1" s="1"/>
  <c r="R14" i="1" s="1"/>
  <c r="U14" i="1" s="1"/>
  <c r="X14" i="1" s="1"/>
  <c r="AA14" i="1" s="1"/>
  <c r="AD14" i="1" s="1"/>
  <c r="AG14" i="1" s="1"/>
  <c r="AJ14" i="1" s="1"/>
  <c r="AM14" i="1" s="1"/>
  <c r="AP14" i="1" s="1"/>
  <c r="AS14" i="1" s="1"/>
  <c r="AV14" i="1" s="1"/>
  <c r="AY14" i="1" s="1"/>
  <c r="BB14" i="1" s="1"/>
  <c r="BE14" i="1" s="1"/>
  <c r="BH14" i="1" s="1"/>
  <c r="BK14" i="1" s="1"/>
  <c r="BN14" i="1" s="1"/>
  <c r="BQ14" i="1" s="1"/>
  <c r="BT14" i="1" s="1"/>
  <c r="BW14" i="1" s="1"/>
  <c r="BZ14" i="1" s="1"/>
  <c r="H15" i="1"/>
  <c r="I15" i="1" s="1"/>
  <c r="L15" i="1" s="1"/>
  <c r="O15" i="1" s="1"/>
  <c r="R15" i="1" s="1"/>
  <c r="U15" i="1" s="1"/>
  <c r="X15" i="1" s="1"/>
  <c r="AA15" i="1" s="1"/>
  <c r="AD15" i="1" s="1"/>
  <c r="AG15" i="1" s="1"/>
  <c r="AJ15" i="1" s="1"/>
  <c r="AM15" i="1" s="1"/>
  <c r="AP15" i="1" s="1"/>
  <c r="AS15" i="1" s="1"/>
  <c r="AV15" i="1" s="1"/>
  <c r="AY15" i="1" s="1"/>
  <c r="BB15" i="1" s="1"/>
  <c r="BE15" i="1" s="1"/>
  <c r="BH15" i="1" s="1"/>
  <c r="BK15" i="1" s="1"/>
  <c r="BN15" i="1" s="1"/>
  <c r="BQ15" i="1" s="1"/>
  <c r="BT15" i="1" s="1"/>
  <c r="BW15" i="1" s="1"/>
  <c r="BZ15" i="1" s="1"/>
  <c r="H16" i="1"/>
  <c r="I16" i="1" s="1"/>
  <c r="L16" i="1" s="1"/>
  <c r="O16" i="1" s="1"/>
  <c r="R16" i="1" s="1"/>
  <c r="U16" i="1" s="1"/>
  <c r="X16" i="1" s="1"/>
  <c r="AA16" i="1" s="1"/>
  <c r="AD16" i="1" s="1"/>
  <c r="AG16" i="1" s="1"/>
  <c r="AJ16" i="1" s="1"/>
  <c r="AM16" i="1" s="1"/>
  <c r="AP16" i="1" s="1"/>
  <c r="AS16" i="1" s="1"/>
  <c r="AV16" i="1" s="1"/>
  <c r="AY16" i="1" s="1"/>
  <c r="BB16" i="1" s="1"/>
  <c r="BE16" i="1" s="1"/>
  <c r="BH16" i="1" s="1"/>
  <c r="BK16" i="1" s="1"/>
  <c r="BN16" i="1" s="1"/>
  <c r="BQ16" i="1" s="1"/>
  <c r="BT16" i="1" s="1"/>
  <c r="BW16" i="1" s="1"/>
  <c r="BZ16" i="1" s="1"/>
  <c r="H17" i="1"/>
  <c r="I17" i="1" s="1"/>
  <c r="L17" i="1" s="1"/>
  <c r="O17" i="1" s="1"/>
  <c r="R17" i="1" s="1"/>
  <c r="U17" i="1" s="1"/>
  <c r="X17" i="1" s="1"/>
  <c r="AA17" i="1" s="1"/>
  <c r="AD17" i="1" s="1"/>
  <c r="AG17" i="1" s="1"/>
  <c r="AJ17" i="1" s="1"/>
  <c r="AM17" i="1" s="1"/>
  <c r="AP17" i="1" s="1"/>
  <c r="AS17" i="1" s="1"/>
  <c r="AV17" i="1" s="1"/>
  <c r="AY17" i="1" s="1"/>
  <c r="BB17" i="1" s="1"/>
  <c r="BE17" i="1" s="1"/>
  <c r="BH17" i="1" s="1"/>
  <c r="BK17" i="1" s="1"/>
  <c r="BN17" i="1" s="1"/>
  <c r="BQ17" i="1" s="1"/>
  <c r="BT17" i="1" s="1"/>
  <c r="BW17" i="1" s="1"/>
  <c r="BZ17" i="1" s="1"/>
  <c r="H7" i="1"/>
  <c r="I7" i="1" s="1"/>
  <c r="L7" i="1" s="1"/>
  <c r="O7" i="1" s="1"/>
  <c r="R7" i="1" s="1"/>
  <c r="U7" i="1" s="1"/>
  <c r="X7" i="1" s="1"/>
  <c r="AA7" i="1" s="1"/>
  <c r="AD7" i="1" s="1"/>
  <c r="AG7" i="1" s="1"/>
  <c r="AJ7" i="1" s="1"/>
  <c r="AM7" i="1" s="1"/>
  <c r="AP7" i="1" s="1"/>
  <c r="AS7" i="1" s="1"/>
  <c r="AV7" i="1" s="1"/>
  <c r="AY7" i="1" s="1"/>
  <c r="BB7" i="1" s="1"/>
  <c r="BE7" i="1" s="1"/>
  <c r="BH7" i="1" s="1"/>
  <c r="BK7" i="1" s="1"/>
  <c r="BN7" i="1" s="1"/>
  <c r="BQ7" i="1" s="1"/>
  <c r="BT7" i="1" s="1"/>
  <c r="BW7" i="1" s="1"/>
  <c r="BZ7" i="1" s="1"/>
  <c r="CB29" i="1" l="1"/>
  <c r="BZ30" i="1"/>
  <c r="BZ50" i="1"/>
  <c r="CB47" i="1" s="1"/>
  <c r="CB11" i="1"/>
</calcChain>
</file>

<file path=xl/sharedStrings.xml><?xml version="1.0" encoding="utf-8"?>
<sst xmlns="http://schemas.openxmlformats.org/spreadsheetml/2006/main" count="6613" uniqueCount="217">
  <si>
    <t>Ведомость</t>
  </si>
  <si>
    <t>№ точки</t>
  </si>
  <si>
    <t>Отметка, м</t>
  </si>
  <si>
    <t>Осадка, мм</t>
  </si>
  <si>
    <t>Общая осадка, мм</t>
  </si>
  <si>
    <t>К1</t>
  </si>
  <si>
    <t>К2</t>
  </si>
  <si>
    <t>К3</t>
  </si>
  <si>
    <t>К4</t>
  </si>
  <si>
    <t>К5</t>
  </si>
  <si>
    <t>К6</t>
  </si>
  <si>
    <t>К7</t>
  </si>
  <si>
    <t>К8</t>
  </si>
  <si>
    <t>К9</t>
  </si>
  <si>
    <t>К10</t>
  </si>
  <si>
    <t>К11</t>
  </si>
  <si>
    <t>К12</t>
  </si>
  <si>
    <t>К13</t>
  </si>
  <si>
    <t>К14</t>
  </si>
  <si>
    <t>К15</t>
  </si>
  <si>
    <t>К16</t>
  </si>
  <si>
    <t>К17</t>
  </si>
  <si>
    <t>Г1</t>
  </si>
  <si>
    <t>Г2</t>
  </si>
  <si>
    <t>Г3</t>
  </si>
  <si>
    <t>Г4</t>
  </si>
  <si>
    <t>Г5</t>
  </si>
  <si>
    <t>Г6</t>
  </si>
  <si>
    <t>Г7</t>
  </si>
  <si>
    <t>Г8</t>
  </si>
  <si>
    <t>Г9</t>
  </si>
  <si>
    <t>Г10</t>
  </si>
  <si>
    <t>Г11</t>
  </si>
  <si>
    <t>Г12</t>
  </si>
  <si>
    <t>Г13</t>
  </si>
  <si>
    <t>Г14</t>
  </si>
  <si>
    <t>Rp1</t>
  </si>
  <si>
    <t>Rp2</t>
  </si>
  <si>
    <t>Rp3</t>
  </si>
  <si>
    <r>
      <t xml:space="preserve">Цикл №  "Нулевой" </t>
    </r>
    <r>
      <rPr>
        <b/>
        <sz val="11"/>
        <color rgb="FF0070C0"/>
        <rFont val="Times New Roman"/>
        <family val="1"/>
        <charset val="204"/>
      </rPr>
      <t>30.08.2023</t>
    </r>
  </si>
  <si>
    <t xml:space="preserve"> - </t>
  </si>
  <si>
    <t>нет доступа</t>
  </si>
  <si>
    <t xml:space="preserve">Ведомость </t>
  </si>
  <si>
    <t xml:space="preserve">устойчивости реперов </t>
  </si>
  <si>
    <t>№ марки</t>
  </si>
  <si>
    <t>грунтовая</t>
  </si>
  <si>
    <t>высот и осадок нивелирных марок, расположенных на инженерных коммуникациях</t>
  </si>
  <si>
    <t>Технические характеристики</t>
  </si>
  <si>
    <t>Максимальные дополнительные деформации, мм [12]</t>
  </si>
  <si>
    <t>Предельно-допустимые деформации, мм [6]</t>
  </si>
  <si>
    <t>В/400</t>
  </si>
  <si>
    <t>В/900</t>
  </si>
  <si>
    <t>В/250</t>
  </si>
  <si>
    <t>В/600</t>
  </si>
  <si>
    <t>В/150</t>
  </si>
  <si>
    <t>С/500</t>
  </si>
  <si>
    <t>Д/150</t>
  </si>
  <si>
    <t>В/2х600</t>
  </si>
  <si>
    <t>Г/219</t>
  </si>
  <si>
    <t>Г/110</t>
  </si>
  <si>
    <r>
      <t xml:space="preserve">Цикл №  "1-й" </t>
    </r>
    <r>
      <rPr>
        <b/>
        <sz val="11"/>
        <color rgb="FF0070C0"/>
        <rFont val="Times New Roman"/>
        <family val="1"/>
        <charset val="204"/>
      </rPr>
      <t>27.09.2023</t>
    </r>
  </si>
  <si>
    <t>деформация</t>
  </si>
  <si>
    <t>Ведомость высот и осадок нивелирных марок,</t>
  </si>
  <si>
    <t>расположенных на здании по адресу: г. Москва, ул. Большая Очаковская, д. 43</t>
  </si>
  <si>
    <t xml:space="preserve"> расположенных на здании по адресу: г. Москва, ул. Никулинская, д. 20</t>
  </si>
  <si>
    <t>расположенных на здании по адресу: г. Москва, ул. Большая Очаковская, д. 47</t>
  </si>
  <si>
    <t xml:space="preserve">расположенных на грунтовом массиве </t>
  </si>
  <si>
    <r>
      <t xml:space="preserve">Цикл №  "2-й" </t>
    </r>
    <r>
      <rPr>
        <b/>
        <sz val="11"/>
        <color rgb="FF0070C0"/>
        <rFont val="Times New Roman"/>
        <family val="1"/>
        <charset val="204"/>
      </rPr>
      <t>24.10.2023</t>
    </r>
  </si>
  <si>
    <r>
      <t xml:space="preserve">Цикл №  "3-й" </t>
    </r>
    <r>
      <rPr>
        <b/>
        <sz val="11"/>
        <color rgb="FF0070C0"/>
        <rFont val="Times New Roman"/>
        <family val="1"/>
        <charset val="204"/>
      </rPr>
      <t>21.11.2023</t>
    </r>
  </si>
  <si>
    <t>уничтожена</t>
  </si>
  <si>
    <r>
      <t xml:space="preserve">Цикл №  "4-й" </t>
    </r>
    <r>
      <rPr>
        <b/>
        <sz val="11"/>
        <color rgb="FF0070C0"/>
        <rFont val="Times New Roman"/>
        <family val="1"/>
        <charset val="204"/>
      </rPr>
      <t>13.12.2023</t>
    </r>
  </si>
  <si>
    <t>2,53/0,0001</t>
  </si>
  <si>
    <t>2,75/0,0001</t>
  </si>
  <si>
    <t>Продолжение таблицы 1</t>
  </si>
  <si>
    <t>Продолжение таблицы 2</t>
  </si>
  <si>
    <t>Продолжение таблицы 3</t>
  </si>
  <si>
    <t>Продолжение таблицы 4</t>
  </si>
  <si>
    <r>
      <t xml:space="preserve">Цикл №  "5-й" </t>
    </r>
    <r>
      <rPr>
        <b/>
        <sz val="11"/>
        <color rgb="FF0070C0"/>
        <rFont val="Times New Roman"/>
        <family val="1"/>
        <charset val="204"/>
      </rPr>
      <t>19.01.2024</t>
    </r>
  </si>
  <si>
    <t>К18</t>
  </si>
  <si>
    <t>нет конструкции</t>
  </si>
  <si>
    <t>-</t>
  </si>
  <si>
    <t>К19</t>
  </si>
  <si>
    <t>К20</t>
  </si>
  <si>
    <t>К21</t>
  </si>
  <si>
    <t>К22</t>
  </si>
  <si>
    <t>К23</t>
  </si>
  <si>
    <t>К24</t>
  </si>
  <si>
    <t>К25</t>
  </si>
  <si>
    <t>К26</t>
  </si>
  <si>
    <t>К27</t>
  </si>
  <si>
    <t>К28</t>
  </si>
  <si>
    <t>К29</t>
  </si>
  <si>
    <t>К30</t>
  </si>
  <si>
    <t>К31</t>
  </si>
  <si>
    <t>К32</t>
  </si>
  <si>
    <t>К33</t>
  </si>
  <si>
    <t>К34</t>
  </si>
  <si>
    <t>К35</t>
  </si>
  <si>
    <t>К36</t>
  </si>
  <si>
    <t>К37</t>
  </si>
  <si>
    <t>К38</t>
  </si>
  <si>
    <t>К39</t>
  </si>
  <si>
    <t>К40</t>
  </si>
  <si>
    <t>К41</t>
  </si>
  <si>
    <t>К42</t>
  </si>
  <si>
    <t>К43</t>
  </si>
  <si>
    <t>К44</t>
  </si>
  <si>
    <t>К45</t>
  </si>
  <si>
    <t>К46</t>
  </si>
  <si>
    <t>К47</t>
  </si>
  <si>
    <t>К48</t>
  </si>
  <si>
    <t>К49</t>
  </si>
  <si>
    <t>К50</t>
  </si>
  <si>
    <t>К51</t>
  </si>
  <si>
    <t>К52</t>
  </si>
  <si>
    <t>К53</t>
  </si>
  <si>
    <t>К54</t>
  </si>
  <si>
    <t>К55</t>
  </si>
  <si>
    <t>К56</t>
  </si>
  <si>
    <t>К57</t>
  </si>
  <si>
    <t>К58</t>
  </si>
  <si>
    <t>К59</t>
  </si>
  <si>
    <t>К60</t>
  </si>
  <si>
    <t>К61</t>
  </si>
  <si>
    <t>К62</t>
  </si>
  <si>
    <t>К63</t>
  </si>
  <si>
    <t>С/400</t>
  </si>
  <si>
    <t>В/100</t>
  </si>
  <si>
    <t>В/101</t>
  </si>
  <si>
    <t>ТС</t>
  </si>
  <si>
    <t>Таблица 5</t>
  </si>
  <si>
    <t>Продолжение таблицы 5</t>
  </si>
  <si>
    <r>
      <t xml:space="preserve">Цикл №  "6-й" </t>
    </r>
    <r>
      <rPr>
        <b/>
        <sz val="11"/>
        <color rgb="FF0070C0"/>
        <rFont val="Times New Roman"/>
        <family val="1"/>
        <charset val="204"/>
      </rPr>
      <t>14.02.2024</t>
    </r>
  </si>
  <si>
    <r>
      <t xml:space="preserve">Цикл №  "7-й" </t>
    </r>
    <r>
      <rPr>
        <b/>
        <sz val="11"/>
        <color rgb="FF0070C0"/>
        <rFont val="Times New Roman"/>
        <family val="1"/>
        <charset val="204"/>
      </rPr>
      <t>13.03.2024</t>
    </r>
  </si>
  <si>
    <r>
      <t xml:space="preserve">Цикл №  "8-й" </t>
    </r>
    <r>
      <rPr>
        <b/>
        <sz val="11"/>
        <color rgb="FF0070C0"/>
        <rFont val="Times New Roman"/>
        <family val="1"/>
        <charset val="204"/>
      </rPr>
      <t>15.04.2024</t>
    </r>
  </si>
  <si>
    <r>
      <t xml:space="preserve">Цикл №  "9-й" </t>
    </r>
    <r>
      <rPr>
        <b/>
        <sz val="11"/>
        <color rgb="FF0070C0"/>
        <rFont val="Times New Roman"/>
        <family val="1"/>
        <charset val="204"/>
      </rPr>
      <t>20.05.2024</t>
    </r>
  </si>
  <si>
    <t>новая</t>
  </si>
  <si>
    <r>
      <t xml:space="preserve">Цикл №  "10-й" </t>
    </r>
    <r>
      <rPr>
        <b/>
        <sz val="11"/>
        <color rgb="FF0070C0"/>
        <rFont val="Times New Roman"/>
        <family val="1"/>
        <charset val="204"/>
      </rPr>
      <t>14.06.2024</t>
    </r>
  </si>
  <si>
    <r>
      <t xml:space="preserve">Цикл №  "11-й" </t>
    </r>
    <r>
      <rPr>
        <b/>
        <sz val="11"/>
        <color rgb="FF0070C0"/>
        <rFont val="Times New Roman"/>
        <family val="1"/>
        <charset val="204"/>
      </rPr>
      <t>11.07.2024</t>
    </r>
  </si>
  <si>
    <r>
      <t xml:space="preserve">Цикл №  "12-й" </t>
    </r>
    <r>
      <rPr>
        <b/>
        <sz val="11"/>
        <color rgb="FF0070C0"/>
        <rFont val="Times New Roman"/>
        <family val="1"/>
        <charset val="204"/>
      </rPr>
      <t>08.08.2024</t>
    </r>
  </si>
  <si>
    <r>
      <t xml:space="preserve">Цикл №  "13-й" </t>
    </r>
    <r>
      <rPr>
        <b/>
        <sz val="11"/>
        <color rgb="FF0070C0"/>
        <rFont val="Times New Roman"/>
        <family val="1"/>
        <charset val="204"/>
      </rPr>
      <t>06.09.2024</t>
    </r>
  </si>
  <si>
    <r>
      <t xml:space="preserve">Цикл №  "14-й" </t>
    </r>
    <r>
      <rPr>
        <b/>
        <sz val="11"/>
        <color rgb="FF0070C0"/>
        <rFont val="Times New Roman"/>
        <family val="1"/>
        <charset val="204"/>
      </rPr>
      <t>08.10.2024</t>
    </r>
  </si>
  <si>
    <r>
      <t xml:space="preserve">Цикл №  "15-й" </t>
    </r>
    <r>
      <rPr>
        <b/>
        <sz val="11"/>
        <color rgb="FF0070C0"/>
        <rFont val="Times New Roman"/>
        <family val="1"/>
        <charset val="204"/>
      </rPr>
      <t>14.11.2024</t>
    </r>
  </si>
  <si>
    <r>
      <t xml:space="preserve">Цикл №  "16-й" </t>
    </r>
    <r>
      <rPr>
        <b/>
        <sz val="11"/>
        <color rgb="FF0070C0"/>
        <rFont val="Times New Roman"/>
        <family val="1"/>
        <charset val="204"/>
      </rPr>
      <t>03.12.2024</t>
    </r>
  </si>
  <si>
    <r>
      <t xml:space="preserve">Цикл №  "17-й" </t>
    </r>
    <r>
      <rPr>
        <b/>
        <sz val="11"/>
        <color rgb="FF0070C0"/>
        <rFont val="Times New Roman"/>
        <family val="1"/>
        <charset val="204"/>
      </rPr>
      <t>13.01.2025</t>
    </r>
  </si>
  <si>
    <r>
      <t xml:space="preserve">Цикл №  "18-й" </t>
    </r>
    <r>
      <rPr>
        <b/>
        <sz val="11"/>
        <color rgb="FF0070C0"/>
        <rFont val="Times New Roman"/>
        <family val="1"/>
        <charset val="204"/>
      </rPr>
      <t>05.02.2025</t>
    </r>
  </si>
  <si>
    <t xml:space="preserve">Ведомость координат и горизонтальных перемещений </t>
  </si>
  <si>
    <t>деформационных марок, расположенных на ограждающих конструкциях котлована</t>
  </si>
  <si>
    <r>
      <rPr>
        <sz val="12"/>
        <color indexed="8"/>
        <rFont val="Times New Roman"/>
        <family val="1"/>
        <charset val="204"/>
      </rPr>
      <t xml:space="preserve">Цикл № 1 (нулевой) </t>
    </r>
    <r>
      <rPr>
        <b/>
        <sz val="12"/>
        <color theme="4" tint="-0.249977111117893"/>
        <rFont val="Times New Roman"/>
        <family val="1"/>
        <charset val="204"/>
      </rPr>
      <t xml:space="preserve"> </t>
    </r>
    <r>
      <rPr>
        <b/>
        <sz val="12"/>
        <color rgb="FF0070C0"/>
        <rFont val="Times New Roman"/>
        <family val="1"/>
        <charset val="204"/>
      </rPr>
      <t>28.01.2025г.</t>
    </r>
  </si>
  <si>
    <r>
      <rPr>
        <sz val="12"/>
        <color indexed="8"/>
        <rFont val="Times New Roman"/>
        <family val="1"/>
        <charset val="204"/>
      </rPr>
      <t>Общие отклонения на</t>
    </r>
    <r>
      <rPr>
        <b/>
        <sz val="12"/>
        <color indexed="8"/>
        <rFont val="Times New Roman"/>
        <family val="1"/>
        <charset val="204"/>
      </rPr>
      <t xml:space="preserve"> </t>
    </r>
    <r>
      <rPr>
        <b/>
        <sz val="12"/>
        <color rgb="FF0070C0"/>
        <rFont val="Times New Roman"/>
        <family val="1"/>
        <charset val="204"/>
      </rPr>
      <t>28.01.2025г.</t>
    </r>
  </si>
  <si>
    <r>
      <rPr>
        <sz val="12"/>
        <color indexed="8"/>
        <rFont val="Times New Roman"/>
        <family val="1"/>
        <charset val="204"/>
      </rPr>
      <t>Общие отклонения на</t>
    </r>
    <r>
      <rPr>
        <b/>
        <sz val="12"/>
        <color indexed="8"/>
        <rFont val="Times New Roman"/>
        <family val="1"/>
        <charset val="204"/>
      </rPr>
      <t xml:space="preserve"> </t>
    </r>
    <r>
      <rPr>
        <b/>
        <sz val="12"/>
        <color rgb="FF0070C0"/>
        <rFont val="Times New Roman"/>
        <family val="1"/>
        <charset val="204"/>
      </rPr>
      <t>05.02.2025г.</t>
    </r>
  </si>
  <si>
    <r>
      <rPr>
        <sz val="12"/>
        <color indexed="8"/>
        <rFont val="Times New Roman"/>
        <family val="1"/>
        <charset val="204"/>
      </rPr>
      <t>Общие отклонения на</t>
    </r>
    <r>
      <rPr>
        <b/>
        <sz val="12"/>
        <color indexed="8"/>
        <rFont val="Times New Roman"/>
        <family val="1"/>
        <charset val="204"/>
      </rPr>
      <t xml:space="preserve"> </t>
    </r>
    <r>
      <rPr>
        <b/>
        <sz val="12"/>
        <color rgb="FF0070C0"/>
        <rFont val="Times New Roman"/>
        <family val="1"/>
        <charset val="204"/>
      </rPr>
      <t>26.02.2025г.</t>
    </r>
  </si>
  <si>
    <t>X</t>
  </si>
  <si>
    <t>Y</t>
  </si>
  <si>
    <t>dX(мм)</t>
  </si>
  <si>
    <t>dY(мм)</t>
  </si>
  <si>
    <t>Вектор</t>
  </si>
  <si>
    <r>
      <rPr>
        <sz val="12"/>
        <color indexed="8"/>
        <rFont val="Times New Roman"/>
        <family val="1"/>
        <charset val="204"/>
      </rPr>
      <t>Цикл № "Нулевой"</t>
    </r>
    <r>
      <rPr>
        <b/>
        <sz val="12"/>
        <color theme="4" tint="-0.249977111117893"/>
        <rFont val="Times New Roman"/>
        <family val="1"/>
        <charset val="204"/>
      </rPr>
      <t xml:space="preserve"> </t>
    </r>
    <r>
      <rPr>
        <b/>
        <sz val="12"/>
        <color rgb="FF0070C0"/>
        <rFont val="Times New Roman"/>
        <family val="1"/>
        <charset val="204"/>
      </rPr>
      <t>05.02.2025г.</t>
    </r>
  </si>
  <si>
    <r>
      <rPr>
        <sz val="12"/>
        <color indexed="8"/>
        <rFont val="Times New Roman"/>
        <family val="1"/>
        <charset val="204"/>
      </rPr>
      <t>Цикл № 1</t>
    </r>
    <r>
      <rPr>
        <b/>
        <sz val="12"/>
        <color theme="4" tint="-0.249977111117893"/>
        <rFont val="Times New Roman"/>
        <family val="1"/>
        <charset val="204"/>
      </rPr>
      <t xml:space="preserve"> </t>
    </r>
    <r>
      <rPr>
        <b/>
        <sz val="12"/>
        <color rgb="FF0070C0"/>
        <rFont val="Times New Roman"/>
        <family val="1"/>
        <charset val="204"/>
      </rPr>
      <t>26.02.2025г.</t>
    </r>
  </si>
  <si>
    <r>
      <rPr>
        <sz val="12"/>
        <color indexed="8"/>
        <rFont val="Times New Roman"/>
        <family val="1"/>
        <charset val="204"/>
      </rPr>
      <t>Общие отклонения на</t>
    </r>
    <r>
      <rPr>
        <b/>
        <sz val="12"/>
        <color indexed="8"/>
        <rFont val="Times New Roman"/>
        <family val="1"/>
        <charset val="204"/>
      </rPr>
      <t xml:space="preserve"> </t>
    </r>
    <r>
      <rPr>
        <b/>
        <sz val="12"/>
        <color rgb="FF0070C0"/>
        <rFont val="Times New Roman"/>
        <family val="1"/>
        <charset val="204"/>
      </rPr>
      <t>10.03.2025г.</t>
    </r>
  </si>
  <si>
    <r>
      <rPr>
        <sz val="12"/>
        <color indexed="8"/>
        <rFont val="Times New Roman"/>
        <family val="1"/>
        <charset val="204"/>
      </rPr>
      <t>Общие отклонения на</t>
    </r>
    <r>
      <rPr>
        <b/>
        <sz val="12"/>
        <color indexed="8"/>
        <rFont val="Times New Roman"/>
        <family val="1"/>
        <charset val="204"/>
      </rPr>
      <t xml:space="preserve"> </t>
    </r>
    <r>
      <rPr>
        <b/>
        <sz val="12"/>
        <color rgb="FF0070C0"/>
        <rFont val="Times New Roman"/>
        <family val="1"/>
        <charset val="204"/>
      </rPr>
      <t>17.03.2025г.</t>
    </r>
  </si>
  <si>
    <r>
      <rPr>
        <sz val="12"/>
        <color indexed="8"/>
        <rFont val="Times New Roman"/>
        <family val="1"/>
        <charset val="204"/>
      </rPr>
      <t>Цикл № 2</t>
    </r>
    <r>
      <rPr>
        <b/>
        <sz val="12"/>
        <color theme="4" tint="-0.249977111117893"/>
        <rFont val="Times New Roman"/>
        <family val="1"/>
        <charset val="204"/>
      </rPr>
      <t xml:space="preserve"> </t>
    </r>
    <r>
      <rPr>
        <b/>
        <sz val="12"/>
        <color rgb="FF0070C0"/>
        <rFont val="Times New Roman"/>
        <family val="1"/>
        <charset val="204"/>
      </rPr>
      <t>10.03.2025г.</t>
    </r>
  </si>
  <si>
    <r>
      <rPr>
        <sz val="12"/>
        <color indexed="8"/>
        <rFont val="Times New Roman"/>
        <family val="1"/>
        <charset val="204"/>
      </rPr>
      <t>Цикл № 3</t>
    </r>
    <r>
      <rPr>
        <b/>
        <sz val="12"/>
        <color theme="4" tint="-0.249977111117893"/>
        <rFont val="Times New Roman"/>
        <family val="1"/>
        <charset val="204"/>
      </rPr>
      <t xml:space="preserve"> </t>
    </r>
    <r>
      <rPr>
        <b/>
        <sz val="12"/>
        <color rgb="FF0070C0"/>
        <rFont val="Times New Roman"/>
        <family val="1"/>
        <charset val="204"/>
      </rPr>
      <t>17.03.2025г.</t>
    </r>
  </si>
  <si>
    <r>
      <t xml:space="preserve">Цикл №  "19-й" </t>
    </r>
    <r>
      <rPr>
        <b/>
        <sz val="11"/>
        <color rgb="FF0070C0"/>
        <rFont val="Times New Roman"/>
        <family val="1"/>
        <charset val="204"/>
      </rPr>
      <t>17.03.2025</t>
    </r>
  </si>
  <si>
    <t>Продолжение таблицы № 6</t>
  </si>
  <si>
    <r>
      <rPr>
        <sz val="12"/>
        <color indexed="8"/>
        <rFont val="Times New Roman"/>
        <family val="1"/>
        <charset val="204"/>
      </rPr>
      <t>Цикл № 4</t>
    </r>
    <r>
      <rPr>
        <b/>
        <sz val="12"/>
        <color theme="4" tint="-0.249977111117893"/>
        <rFont val="Times New Roman"/>
        <family val="1"/>
        <charset val="204"/>
      </rPr>
      <t xml:space="preserve"> </t>
    </r>
    <r>
      <rPr>
        <b/>
        <sz val="12"/>
        <color rgb="FF0070C0"/>
        <rFont val="Times New Roman"/>
        <family val="1"/>
        <charset val="204"/>
      </rPr>
      <t>03.04.2025г.</t>
    </r>
  </si>
  <si>
    <r>
      <rPr>
        <sz val="12"/>
        <color indexed="8"/>
        <rFont val="Times New Roman"/>
        <family val="1"/>
        <charset val="204"/>
      </rPr>
      <t>Общие отклонения на</t>
    </r>
    <r>
      <rPr>
        <b/>
        <sz val="12"/>
        <color indexed="8"/>
        <rFont val="Times New Roman"/>
        <family val="1"/>
        <charset val="204"/>
      </rPr>
      <t xml:space="preserve"> </t>
    </r>
    <r>
      <rPr>
        <b/>
        <sz val="12"/>
        <color rgb="FF0070C0"/>
        <rFont val="Times New Roman"/>
        <family val="1"/>
        <charset val="204"/>
      </rPr>
      <t>03.04.2025г.</t>
    </r>
  </si>
  <si>
    <r>
      <rPr>
        <sz val="12"/>
        <color indexed="8"/>
        <rFont val="Times New Roman"/>
        <family val="1"/>
        <charset val="204"/>
      </rPr>
      <t>Цикл № 5</t>
    </r>
    <r>
      <rPr>
        <b/>
        <sz val="12"/>
        <color theme="4" tint="-0.249977111117893"/>
        <rFont val="Times New Roman"/>
        <family val="1"/>
        <charset val="204"/>
      </rPr>
      <t xml:space="preserve"> </t>
    </r>
    <r>
      <rPr>
        <b/>
        <sz val="12"/>
        <color rgb="FF0070C0"/>
        <rFont val="Times New Roman"/>
        <family val="1"/>
        <charset val="204"/>
      </rPr>
      <t>30.04.2025г.</t>
    </r>
  </si>
  <si>
    <r>
      <rPr>
        <sz val="12"/>
        <color indexed="8"/>
        <rFont val="Times New Roman"/>
        <family val="1"/>
        <charset val="204"/>
      </rPr>
      <t>Общие отклонения на</t>
    </r>
    <r>
      <rPr>
        <b/>
        <sz val="12"/>
        <color indexed="8"/>
        <rFont val="Times New Roman"/>
        <family val="1"/>
        <charset val="204"/>
      </rPr>
      <t xml:space="preserve"> </t>
    </r>
    <r>
      <rPr>
        <b/>
        <sz val="12"/>
        <color rgb="FF0070C0"/>
        <rFont val="Times New Roman"/>
        <family val="1"/>
        <charset val="204"/>
      </rPr>
      <t>30.04.2025г.</t>
    </r>
  </si>
  <si>
    <r>
      <t xml:space="preserve">Цикл №  "20-й" </t>
    </r>
    <r>
      <rPr>
        <b/>
        <sz val="11"/>
        <color rgb="FF0070C0"/>
        <rFont val="Times New Roman"/>
        <family val="1"/>
        <charset val="204"/>
      </rPr>
      <t>03.04.2025</t>
    </r>
  </si>
  <si>
    <r>
      <rPr>
        <sz val="12"/>
        <color indexed="8"/>
        <rFont val="Times New Roman"/>
        <family val="1"/>
        <charset val="204"/>
      </rPr>
      <t>Цикл № 6</t>
    </r>
    <r>
      <rPr>
        <b/>
        <sz val="12"/>
        <color theme="4" tint="-0.249977111117893"/>
        <rFont val="Times New Roman"/>
        <family val="1"/>
        <charset val="204"/>
      </rPr>
      <t xml:space="preserve"> </t>
    </r>
    <r>
      <rPr>
        <b/>
        <sz val="12"/>
        <color rgb="FF0070C0"/>
        <rFont val="Times New Roman"/>
        <family val="1"/>
        <charset val="204"/>
      </rPr>
      <t>12.05.2025г.</t>
    </r>
  </si>
  <si>
    <r>
      <rPr>
        <sz val="12"/>
        <color indexed="8"/>
        <rFont val="Times New Roman"/>
        <family val="1"/>
        <charset val="204"/>
      </rPr>
      <t>Общие отклонения на</t>
    </r>
    <r>
      <rPr>
        <b/>
        <sz val="12"/>
        <color indexed="8"/>
        <rFont val="Times New Roman"/>
        <family val="1"/>
        <charset val="204"/>
      </rPr>
      <t xml:space="preserve"> </t>
    </r>
    <r>
      <rPr>
        <b/>
        <sz val="12"/>
        <color rgb="FF0070C0"/>
        <rFont val="Times New Roman"/>
        <family val="1"/>
        <charset val="204"/>
      </rPr>
      <t>12.05.2025г.</t>
    </r>
  </si>
  <si>
    <r>
      <rPr>
        <sz val="12"/>
        <color indexed="8"/>
        <rFont val="Times New Roman"/>
        <family val="1"/>
        <charset val="204"/>
      </rPr>
      <t>Цикл № 7</t>
    </r>
    <r>
      <rPr>
        <b/>
        <sz val="12"/>
        <color theme="4" tint="-0.249977111117893"/>
        <rFont val="Times New Roman"/>
        <family val="1"/>
        <charset val="204"/>
      </rPr>
      <t xml:space="preserve"> </t>
    </r>
    <r>
      <rPr>
        <b/>
        <sz val="12"/>
        <color rgb="FF0070C0"/>
        <rFont val="Times New Roman"/>
        <family val="1"/>
        <charset val="204"/>
      </rPr>
      <t>27.05.2025г.</t>
    </r>
  </si>
  <si>
    <r>
      <rPr>
        <sz val="12"/>
        <color indexed="8"/>
        <rFont val="Times New Roman"/>
        <family val="1"/>
        <charset val="204"/>
      </rPr>
      <t>Общие отклонения на</t>
    </r>
    <r>
      <rPr>
        <b/>
        <sz val="12"/>
        <color indexed="8"/>
        <rFont val="Times New Roman"/>
        <family val="1"/>
        <charset val="204"/>
      </rPr>
      <t xml:space="preserve"> </t>
    </r>
    <r>
      <rPr>
        <b/>
        <sz val="12"/>
        <color rgb="FF0070C0"/>
        <rFont val="Times New Roman"/>
        <family val="1"/>
        <charset val="204"/>
      </rPr>
      <t>27.05.2025г.</t>
    </r>
  </si>
  <si>
    <r>
      <t xml:space="preserve">Цикл №  "21-й" </t>
    </r>
    <r>
      <rPr>
        <b/>
        <sz val="11"/>
        <color rgb="FF0070C0"/>
        <rFont val="Times New Roman"/>
        <family val="1"/>
        <charset val="204"/>
      </rPr>
      <t>12.05.2025</t>
    </r>
  </si>
  <si>
    <r>
      <rPr>
        <sz val="12"/>
        <color indexed="8"/>
        <rFont val="Times New Roman"/>
        <family val="1"/>
        <charset val="204"/>
      </rPr>
      <t>Цикл № 8</t>
    </r>
    <r>
      <rPr>
        <b/>
        <sz val="12"/>
        <color theme="4" tint="-0.249977111117893"/>
        <rFont val="Times New Roman"/>
        <family val="1"/>
        <charset val="204"/>
      </rPr>
      <t xml:space="preserve"> </t>
    </r>
    <r>
      <rPr>
        <b/>
        <sz val="12"/>
        <color rgb="FF0070C0"/>
        <rFont val="Times New Roman"/>
        <family val="1"/>
        <charset val="204"/>
      </rPr>
      <t>05.06.2025г.</t>
    </r>
  </si>
  <si>
    <r>
      <rPr>
        <sz val="12"/>
        <color indexed="8"/>
        <rFont val="Times New Roman"/>
        <family val="1"/>
        <charset val="204"/>
      </rPr>
      <t>Общие отклонения на</t>
    </r>
    <r>
      <rPr>
        <b/>
        <sz val="12"/>
        <color indexed="8"/>
        <rFont val="Times New Roman"/>
        <family val="1"/>
        <charset val="204"/>
      </rPr>
      <t xml:space="preserve"> </t>
    </r>
    <r>
      <rPr>
        <b/>
        <sz val="12"/>
        <color rgb="FF0070C0"/>
        <rFont val="Times New Roman"/>
        <family val="1"/>
        <charset val="204"/>
      </rPr>
      <t>05.06.2025г.</t>
    </r>
  </si>
  <si>
    <r>
      <rPr>
        <sz val="12"/>
        <color indexed="8"/>
        <rFont val="Times New Roman"/>
        <family val="1"/>
        <charset val="204"/>
      </rPr>
      <t>Цикл № 9</t>
    </r>
    <r>
      <rPr>
        <b/>
        <sz val="12"/>
        <color theme="4" tint="-0.249977111117893"/>
        <rFont val="Times New Roman"/>
        <family val="1"/>
        <charset val="204"/>
      </rPr>
      <t xml:space="preserve"> </t>
    </r>
    <r>
      <rPr>
        <b/>
        <sz val="12"/>
        <color rgb="FF0070C0"/>
        <rFont val="Times New Roman"/>
        <family val="1"/>
        <charset val="204"/>
      </rPr>
      <t>19.06.2025г.</t>
    </r>
  </si>
  <si>
    <r>
      <rPr>
        <sz val="12"/>
        <color indexed="8"/>
        <rFont val="Times New Roman"/>
        <family val="1"/>
        <charset val="204"/>
      </rPr>
      <t>Общие отклонения на</t>
    </r>
    <r>
      <rPr>
        <b/>
        <sz val="12"/>
        <color indexed="8"/>
        <rFont val="Times New Roman"/>
        <family val="1"/>
        <charset val="204"/>
      </rPr>
      <t xml:space="preserve"> </t>
    </r>
    <r>
      <rPr>
        <b/>
        <sz val="12"/>
        <color rgb="FF0070C0"/>
        <rFont val="Times New Roman"/>
        <family val="1"/>
        <charset val="204"/>
      </rPr>
      <t>19.06.2025г.</t>
    </r>
  </si>
  <si>
    <r>
      <t xml:space="preserve">Цикл №  "22-й" </t>
    </r>
    <r>
      <rPr>
        <b/>
        <sz val="11"/>
        <color rgb="FF0070C0"/>
        <rFont val="Times New Roman"/>
        <family val="1"/>
        <charset val="204"/>
      </rPr>
      <t>05.06.2025</t>
    </r>
  </si>
  <si>
    <r>
      <t xml:space="preserve">Цикл №  "23-й" </t>
    </r>
    <r>
      <rPr>
        <b/>
        <sz val="11"/>
        <color rgb="FF0070C0"/>
        <rFont val="Times New Roman"/>
        <family val="1"/>
        <charset val="204"/>
      </rPr>
      <t>17.07.2025</t>
    </r>
  </si>
  <si>
    <r>
      <rPr>
        <sz val="12"/>
        <color indexed="8"/>
        <rFont val="Times New Roman"/>
        <family val="1"/>
        <charset val="204"/>
      </rPr>
      <t>Цикл № 10</t>
    </r>
    <r>
      <rPr>
        <b/>
        <sz val="12"/>
        <color theme="4" tint="-0.249977111117893"/>
        <rFont val="Times New Roman"/>
        <family val="1"/>
        <charset val="204"/>
      </rPr>
      <t xml:space="preserve"> </t>
    </r>
    <r>
      <rPr>
        <b/>
        <sz val="12"/>
        <color rgb="FF0070C0"/>
        <rFont val="Times New Roman"/>
        <family val="1"/>
        <charset val="204"/>
      </rPr>
      <t>17.07.2025г.</t>
    </r>
  </si>
  <si>
    <r>
      <rPr>
        <sz val="12"/>
        <color indexed="8"/>
        <rFont val="Times New Roman"/>
        <family val="1"/>
        <charset val="204"/>
      </rPr>
      <t>Общие отклонения на</t>
    </r>
    <r>
      <rPr>
        <b/>
        <sz val="12"/>
        <color indexed="8"/>
        <rFont val="Times New Roman"/>
        <family val="1"/>
        <charset val="204"/>
      </rPr>
      <t xml:space="preserve"> </t>
    </r>
    <r>
      <rPr>
        <b/>
        <sz val="12"/>
        <color rgb="FF0070C0"/>
        <rFont val="Times New Roman"/>
        <family val="1"/>
        <charset val="204"/>
      </rPr>
      <t>17.07.2025г.</t>
    </r>
  </si>
  <si>
    <r>
      <rPr>
        <sz val="12"/>
        <color indexed="8"/>
        <rFont val="Times New Roman"/>
        <family val="1"/>
        <charset val="204"/>
      </rPr>
      <t>Цикл № 11</t>
    </r>
    <r>
      <rPr>
        <b/>
        <sz val="12"/>
        <color theme="4" tint="-0.249977111117893"/>
        <rFont val="Times New Roman"/>
        <family val="1"/>
        <charset val="204"/>
      </rPr>
      <t xml:space="preserve"> </t>
    </r>
    <r>
      <rPr>
        <b/>
        <sz val="12"/>
        <color rgb="FF0070C0"/>
        <rFont val="Times New Roman"/>
        <family val="1"/>
        <charset val="204"/>
      </rPr>
      <t>30.07.2025г.</t>
    </r>
  </si>
  <si>
    <r>
      <rPr>
        <sz val="12"/>
        <color indexed="8"/>
        <rFont val="Times New Roman"/>
        <family val="1"/>
        <charset val="204"/>
      </rPr>
      <t>Общие отклонения на</t>
    </r>
    <r>
      <rPr>
        <b/>
        <sz val="12"/>
        <color indexed="8"/>
        <rFont val="Times New Roman"/>
        <family val="1"/>
        <charset val="204"/>
      </rPr>
      <t xml:space="preserve"> </t>
    </r>
    <r>
      <rPr>
        <b/>
        <sz val="12"/>
        <color rgb="FF0070C0"/>
        <rFont val="Times New Roman"/>
        <family val="1"/>
        <charset val="204"/>
      </rPr>
      <t>30.07.2025г.</t>
    </r>
  </si>
  <si>
    <r>
      <t xml:space="preserve">Цикл №  "Нулевой" </t>
    </r>
    <r>
      <rPr>
        <b/>
        <sz val="12"/>
        <color rgb="FF0070C0"/>
        <rFont val="Times New Roman"/>
        <family val="1"/>
        <charset val="204"/>
      </rPr>
      <t>30.08.2023</t>
    </r>
  </si>
  <si>
    <r>
      <t xml:space="preserve">Цикл №  "1-й" </t>
    </r>
    <r>
      <rPr>
        <b/>
        <sz val="12"/>
        <color rgb="FF0070C0"/>
        <rFont val="Times New Roman"/>
        <family val="1"/>
        <charset val="204"/>
      </rPr>
      <t>27.09.2023</t>
    </r>
  </si>
  <si>
    <r>
      <t xml:space="preserve">Цикл №  "2-й" </t>
    </r>
    <r>
      <rPr>
        <b/>
        <sz val="12"/>
        <color rgb="FF0070C0"/>
        <rFont val="Times New Roman"/>
        <family val="1"/>
        <charset val="204"/>
      </rPr>
      <t>24.10.2023</t>
    </r>
  </si>
  <si>
    <r>
      <t xml:space="preserve">Цикл №  "3-й" </t>
    </r>
    <r>
      <rPr>
        <b/>
        <sz val="12"/>
        <color rgb="FF0070C0"/>
        <rFont val="Times New Roman"/>
        <family val="1"/>
        <charset val="204"/>
      </rPr>
      <t>21.11.2023</t>
    </r>
  </si>
  <si>
    <r>
      <t xml:space="preserve">Цикл №  "4-й" </t>
    </r>
    <r>
      <rPr>
        <b/>
        <sz val="12"/>
        <color rgb="FF0070C0"/>
        <rFont val="Times New Roman"/>
        <family val="1"/>
        <charset val="204"/>
      </rPr>
      <t>13.12.2023</t>
    </r>
  </si>
  <si>
    <r>
      <t xml:space="preserve">Цикл №  "5-й" </t>
    </r>
    <r>
      <rPr>
        <b/>
        <sz val="12"/>
        <color rgb="FF0070C0"/>
        <rFont val="Times New Roman"/>
        <family val="1"/>
        <charset val="204"/>
      </rPr>
      <t>19.01.2024</t>
    </r>
  </si>
  <si>
    <r>
      <t xml:space="preserve">Цикл №  "6-й" </t>
    </r>
    <r>
      <rPr>
        <b/>
        <sz val="12"/>
        <color rgb="FF0070C0"/>
        <rFont val="Times New Roman"/>
        <family val="1"/>
        <charset val="204"/>
      </rPr>
      <t>14.02.2024</t>
    </r>
  </si>
  <si>
    <r>
      <t xml:space="preserve">Цикл №  "7-й" </t>
    </r>
    <r>
      <rPr>
        <b/>
        <sz val="12"/>
        <color rgb="FF0070C0"/>
        <rFont val="Times New Roman"/>
        <family val="1"/>
        <charset val="204"/>
      </rPr>
      <t>13.03.2024</t>
    </r>
  </si>
  <si>
    <r>
      <t xml:space="preserve">Цикл №  "8-й" </t>
    </r>
    <r>
      <rPr>
        <b/>
        <sz val="12"/>
        <color rgb="FF0070C0"/>
        <rFont val="Times New Roman"/>
        <family val="1"/>
        <charset val="204"/>
      </rPr>
      <t>15.04.2024</t>
    </r>
  </si>
  <si>
    <r>
      <t xml:space="preserve">Цикл №  "9-й" </t>
    </r>
    <r>
      <rPr>
        <b/>
        <sz val="12"/>
        <color rgb="FF0070C0"/>
        <rFont val="Times New Roman"/>
        <family val="1"/>
        <charset val="204"/>
      </rPr>
      <t>20.05.2024</t>
    </r>
  </si>
  <si>
    <r>
      <t xml:space="preserve">Цикл №  "10-й" </t>
    </r>
    <r>
      <rPr>
        <b/>
        <sz val="12"/>
        <color rgb="FF0070C0"/>
        <rFont val="Times New Roman"/>
        <family val="1"/>
        <charset val="204"/>
      </rPr>
      <t>14.06.2024</t>
    </r>
  </si>
  <si>
    <r>
      <t xml:space="preserve">Цикл №  "11-й" </t>
    </r>
    <r>
      <rPr>
        <b/>
        <sz val="12"/>
        <color rgb="FF0070C0"/>
        <rFont val="Times New Roman"/>
        <family val="1"/>
        <charset val="204"/>
      </rPr>
      <t>11.07.2024</t>
    </r>
  </si>
  <si>
    <r>
      <t xml:space="preserve">Цикл №  "12-й" </t>
    </r>
    <r>
      <rPr>
        <b/>
        <sz val="12"/>
        <color rgb="FF0070C0"/>
        <rFont val="Times New Roman"/>
        <family val="1"/>
        <charset val="204"/>
      </rPr>
      <t>08.08.2024</t>
    </r>
  </si>
  <si>
    <r>
      <t xml:space="preserve">Цикл №  "13-й" </t>
    </r>
    <r>
      <rPr>
        <b/>
        <sz val="12"/>
        <color rgb="FF0070C0"/>
        <rFont val="Times New Roman"/>
        <family val="1"/>
        <charset val="204"/>
      </rPr>
      <t>06.09.2024</t>
    </r>
  </si>
  <si>
    <r>
      <t xml:space="preserve">Цикл №  "14-й" </t>
    </r>
    <r>
      <rPr>
        <b/>
        <sz val="12"/>
        <color rgb="FF0070C0"/>
        <rFont val="Times New Roman"/>
        <family val="1"/>
        <charset val="204"/>
      </rPr>
      <t>08.10.2024</t>
    </r>
  </si>
  <si>
    <r>
      <t xml:space="preserve">Цикл №  "15-й" </t>
    </r>
    <r>
      <rPr>
        <b/>
        <sz val="12"/>
        <color rgb="FF0070C0"/>
        <rFont val="Times New Roman"/>
        <family val="1"/>
        <charset val="204"/>
      </rPr>
      <t>14.11.2024</t>
    </r>
  </si>
  <si>
    <r>
      <t xml:space="preserve">Цикл №  "16-й" </t>
    </r>
    <r>
      <rPr>
        <b/>
        <sz val="12"/>
        <color rgb="FF0070C0"/>
        <rFont val="Times New Roman"/>
        <family val="1"/>
        <charset val="204"/>
      </rPr>
      <t>03.12.2024</t>
    </r>
  </si>
  <si>
    <r>
      <t xml:space="preserve">Цикл №  "17-й" </t>
    </r>
    <r>
      <rPr>
        <b/>
        <sz val="12"/>
        <color rgb="FF0070C0"/>
        <rFont val="Times New Roman"/>
        <family val="1"/>
        <charset val="204"/>
      </rPr>
      <t>13.01.2025</t>
    </r>
  </si>
  <si>
    <r>
      <t xml:space="preserve">Цикл №  "18-й" </t>
    </r>
    <r>
      <rPr>
        <b/>
        <sz val="12"/>
        <color rgb="FF0070C0"/>
        <rFont val="Times New Roman"/>
        <family val="1"/>
        <charset val="204"/>
      </rPr>
      <t>05.02.2025</t>
    </r>
  </si>
  <si>
    <r>
      <t xml:space="preserve">Цикл №  "19-й" </t>
    </r>
    <r>
      <rPr>
        <b/>
        <sz val="12"/>
        <color rgb="FF0070C0"/>
        <rFont val="Times New Roman"/>
        <family val="1"/>
        <charset val="204"/>
      </rPr>
      <t>17.03.2025</t>
    </r>
  </si>
  <si>
    <r>
      <t xml:space="preserve">Цикл №  "20-й" </t>
    </r>
    <r>
      <rPr>
        <b/>
        <sz val="12"/>
        <color rgb="FF0070C0"/>
        <rFont val="Times New Roman"/>
        <family val="1"/>
        <charset val="204"/>
      </rPr>
      <t>03.04.2025</t>
    </r>
  </si>
  <si>
    <r>
      <t xml:space="preserve">Цикл №  "21" </t>
    </r>
    <r>
      <rPr>
        <b/>
        <sz val="12"/>
        <color rgb="FF0070C0"/>
        <rFont val="Times New Roman"/>
        <family val="1"/>
        <charset val="204"/>
      </rPr>
      <t>12.05.2025</t>
    </r>
  </si>
  <si>
    <r>
      <t xml:space="preserve">Цикл №  "22" </t>
    </r>
    <r>
      <rPr>
        <b/>
        <sz val="12"/>
        <color rgb="FF0070C0"/>
        <rFont val="Times New Roman"/>
        <family val="1"/>
        <charset val="204"/>
      </rPr>
      <t>05.06.2025</t>
    </r>
  </si>
  <si>
    <r>
      <t xml:space="preserve">Цикл №  "23" </t>
    </r>
    <r>
      <rPr>
        <b/>
        <sz val="12"/>
        <color rgb="FF0070C0"/>
        <rFont val="Times New Roman"/>
        <family val="1"/>
        <charset val="204"/>
      </rPr>
      <t>17.07.2025</t>
    </r>
  </si>
  <si>
    <t>42 цикла</t>
  </si>
  <si>
    <r>
      <rPr>
        <sz val="12"/>
        <color indexed="8"/>
        <rFont val="Times New Roman"/>
        <family val="1"/>
        <charset val="204"/>
      </rPr>
      <t>Цикл № 13</t>
    </r>
    <r>
      <rPr>
        <b/>
        <sz val="12"/>
        <color theme="4" tint="-0.249977111117893"/>
        <rFont val="Times New Roman"/>
        <family val="1"/>
        <charset val="204"/>
      </rPr>
      <t xml:space="preserve"> </t>
    </r>
    <r>
      <rPr>
        <b/>
        <sz val="12"/>
        <color rgb="FF0070C0"/>
        <rFont val="Times New Roman"/>
        <family val="1"/>
        <charset val="204"/>
      </rPr>
      <t>28.08.2025г.</t>
    </r>
  </si>
  <si>
    <r>
      <rPr>
        <sz val="12"/>
        <color indexed="8"/>
        <rFont val="Times New Roman"/>
        <family val="1"/>
        <charset val="204"/>
      </rPr>
      <t>Общие отклонения на</t>
    </r>
    <r>
      <rPr>
        <b/>
        <sz val="12"/>
        <color indexed="8"/>
        <rFont val="Times New Roman"/>
        <family val="1"/>
        <charset val="204"/>
      </rPr>
      <t xml:space="preserve"> </t>
    </r>
    <r>
      <rPr>
        <b/>
        <sz val="12"/>
        <color rgb="FF0070C0"/>
        <rFont val="Times New Roman"/>
        <family val="1"/>
        <charset val="204"/>
      </rPr>
      <t>28.08.2025г.</t>
    </r>
  </si>
  <si>
    <r>
      <rPr>
        <sz val="12"/>
        <color indexed="8"/>
        <rFont val="Times New Roman"/>
        <family val="1"/>
        <charset val="204"/>
      </rPr>
      <t>Цикл № 12</t>
    </r>
    <r>
      <rPr>
        <b/>
        <sz val="12"/>
        <color theme="4" tint="-0.249977111117893"/>
        <rFont val="Times New Roman"/>
        <family val="1"/>
        <charset val="204"/>
      </rPr>
      <t xml:space="preserve"> </t>
    </r>
    <r>
      <rPr>
        <b/>
        <sz val="12"/>
        <color rgb="FF0070C0"/>
        <rFont val="Times New Roman"/>
        <family val="1"/>
        <charset val="204"/>
      </rPr>
      <t>15.08.2025г.</t>
    </r>
  </si>
  <si>
    <r>
      <rPr>
        <sz val="12"/>
        <color indexed="8"/>
        <rFont val="Times New Roman"/>
        <family val="1"/>
        <charset val="204"/>
      </rPr>
      <t>Общие отклонения на</t>
    </r>
    <r>
      <rPr>
        <b/>
        <sz val="12"/>
        <color indexed="8"/>
        <rFont val="Times New Roman"/>
        <family val="1"/>
        <charset val="204"/>
      </rPr>
      <t xml:space="preserve"> </t>
    </r>
    <r>
      <rPr>
        <b/>
        <sz val="12"/>
        <color rgb="FF0070C0"/>
        <rFont val="Times New Roman"/>
        <family val="1"/>
        <charset val="204"/>
      </rPr>
      <t>15.08.2025г.</t>
    </r>
  </si>
  <si>
    <r>
      <t xml:space="preserve">Цикл №  "24" </t>
    </r>
    <r>
      <rPr>
        <b/>
        <sz val="12"/>
        <color rgb="FF0070C0"/>
        <rFont val="Times New Roman"/>
        <family val="1"/>
        <charset val="204"/>
      </rPr>
      <t>15.08.2025</t>
    </r>
  </si>
  <si>
    <r>
      <t xml:space="preserve">Цикл №  "24-й" </t>
    </r>
    <r>
      <rPr>
        <b/>
        <sz val="11"/>
        <color rgb="FF0070C0"/>
        <rFont val="Times New Roman"/>
        <family val="1"/>
        <charset val="204"/>
      </rPr>
      <t>15.08.2025</t>
    </r>
  </si>
  <si>
    <t>50.1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</si>
</sst>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.0000"/>
    <numFmt numFmtId="166" formatCode="0.00000"/>
    <numFmt numFmtId="167" formatCode="0.000"/>
  </numFmts>
  <fonts count="22" x14ac:knownFonts="1">
    <font>
      <sz val="11"/>
      <color theme="1"/>
      <name val="Calibri"/>
      <family val="2"/>
      <charset val="204"/>
      <scheme val="minor"/>
    </font>
    <font>
      <sz val="11"/>
      <color indexed="8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rgb="FF0070C0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1"/>
      <color rgb="FFFF0000"/>
      <name val="Calibri"/>
      <family val="2"/>
      <charset val="204"/>
      <scheme val="minor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12"/>
      <name val="Times New Roman"/>
      <family val="1"/>
      <charset val="204"/>
    </font>
    <font>
      <sz val="10"/>
      <name val="Arial"/>
      <family val="2"/>
      <charset val="204"/>
    </font>
    <font>
      <sz val="11"/>
      <color theme="1"/>
      <name val="Calibri"/>
      <family val="2"/>
      <scheme val="minor"/>
    </font>
    <font>
      <sz val="12"/>
      <color rgb="FFFF0000"/>
      <name val="Calibri"/>
      <family val="2"/>
      <charset val="204"/>
      <scheme val="minor"/>
    </font>
    <font>
      <sz val="11"/>
      <color rgb="FFFF0000"/>
      <name val="Times New Roman"/>
      <family val="1"/>
      <charset val="204"/>
    </font>
    <font>
      <sz val="12"/>
      <color theme="1"/>
      <name val="Times New Roman"/>
      <family val="2"/>
      <charset val="204"/>
    </font>
    <font>
      <b/>
      <sz val="12"/>
      <color indexed="8"/>
      <name val="Times New Roman"/>
      <family val="1"/>
      <charset val="204"/>
    </font>
    <font>
      <b/>
      <sz val="12"/>
      <color theme="4" tint="-0.249977111117893"/>
      <name val="Times New Roman"/>
      <family val="1"/>
      <charset val="204"/>
    </font>
    <font>
      <b/>
      <sz val="12"/>
      <color rgb="FF0070C0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1"/>
      <color rgb="FFFF0000"/>
      <name val="Calibri"/>
      <family val="2"/>
      <charset val="204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11" fillId="0" borderId="0"/>
    <xf numFmtId="0" fontId="12" fillId="0" borderId="0"/>
    <xf numFmtId="0" fontId="15" fillId="0" borderId="0"/>
    <xf numFmtId="0" fontId="11" fillId="0" borderId="0"/>
  </cellStyleXfs>
  <cellXfs count="212">
    <xf numFmtId="0" fontId="0" fillId="0" borderId="0" xfId="0"/>
    <xf numFmtId="0" fontId="4" fillId="0" borderId="0" xfId="0" applyFont="1"/>
    <xf numFmtId="0" fontId="1" fillId="2" borderId="0" xfId="0" applyFont="1" applyFill="1" applyAlignment="1">
      <alignment vertical="center"/>
    </xf>
    <xf numFmtId="0" fontId="10" fillId="2" borderId="0" xfId="0" applyFont="1" applyFill="1"/>
    <xf numFmtId="0" fontId="10" fillId="2" borderId="0" xfId="0" applyFont="1" applyFill="1" applyAlignment="1">
      <alignment horizontal="right"/>
    </xf>
    <xf numFmtId="0" fontId="5" fillId="2" borderId="0" xfId="0" applyFont="1" applyFill="1"/>
    <xf numFmtId="0" fontId="8" fillId="2" borderId="1" xfId="2" applyFont="1" applyFill="1" applyBorder="1" applyAlignment="1">
      <alignment horizontal="center"/>
    </xf>
    <xf numFmtId="165" fontId="7" fillId="2" borderId="1" xfId="1" applyNumberFormat="1" applyFont="1" applyFill="1" applyBorder="1" applyAlignment="1">
      <alignment horizontal="center"/>
    </xf>
    <xf numFmtId="164" fontId="8" fillId="2" borderId="1" xfId="1" applyNumberFormat="1" applyFont="1" applyFill="1" applyBorder="1" applyAlignment="1">
      <alignment horizontal="center"/>
    </xf>
    <xf numFmtId="0" fontId="13" fillId="0" borderId="0" xfId="0" applyFont="1"/>
    <xf numFmtId="165" fontId="0" fillId="0" borderId="0" xfId="0" applyNumberFormat="1"/>
    <xf numFmtId="165" fontId="8" fillId="2" borderId="1" xfId="1" applyNumberFormat="1" applyFont="1" applyFill="1" applyBorder="1" applyAlignment="1">
      <alignment horizontal="center"/>
    </xf>
    <xf numFmtId="0" fontId="7" fillId="2" borderId="1" xfId="2" applyFont="1" applyFill="1" applyBorder="1" applyAlignment="1">
      <alignment horizontal="center"/>
    </xf>
    <xf numFmtId="164" fontId="7" fillId="2" borderId="1" xfId="1" applyNumberFormat="1" applyFont="1" applyFill="1" applyBorder="1" applyAlignment="1">
      <alignment horizontal="center"/>
    </xf>
    <xf numFmtId="2" fontId="1" fillId="2" borderId="0" xfId="0" applyNumberFormat="1" applyFont="1" applyFill="1" applyAlignment="1">
      <alignment vertical="center"/>
    </xf>
    <xf numFmtId="2" fontId="5" fillId="2" borderId="0" xfId="0" applyNumberFormat="1" applyFont="1" applyFill="1"/>
    <xf numFmtId="2" fontId="0" fillId="0" borderId="0" xfId="0" applyNumberFormat="1"/>
    <xf numFmtId="0" fontId="0" fillId="4" borderId="0" xfId="0" applyFill="1"/>
    <xf numFmtId="0" fontId="4" fillId="4" borderId="0" xfId="0" applyFont="1" applyFill="1"/>
    <xf numFmtId="0" fontId="0" fillId="5" borderId="0" xfId="0" applyFill="1"/>
    <xf numFmtId="0" fontId="4" fillId="5" borderId="0" xfId="0" applyFont="1" applyFill="1"/>
    <xf numFmtId="0" fontId="0" fillId="6" borderId="0" xfId="0" applyFill="1"/>
    <xf numFmtId="0" fontId="0" fillId="7" borderId="0" xfId="0" applyFill="1"/>
    <xf numFmtId="0" fontId="4" fillId="7" borderId="0" xfId="0" applyFont="1" applyFill="1"/>
    <xf numFmtId="0" fontId="0" fillId="3" borderId="0" xfId="0" applyFill="1"/>
    <xf numFmtId="0" fontId="4" fillId="3" borderId="0" xfId="0" applyFont="1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14" fillId="11" borderId="8" xfId="0" applyFont="1" applyFill="1" applyBorder="1" applyAlignment="1">
      <alignment horizontal="center"/>
    </xf>
    <xf numFmtId="0" fontId="4" fillId="11" borderId="0" xfId="0" applyFont="1" applyFill="1"/>
    <xf numFmtId="0" fontId="0" fillId="11" borderId="0" xfId="0" applyFill="1"/>
    <xf numFmtId="0" fontId="0" fillId="2" borderId="0" xfId="0" applyFill="1"/>
    <xf numFmtId="0" fontId="0" fillId="12" borderId="0" xfId="0" applyFill="1"/>
    <xf numFmtId="0" fontId="4" fillId="12" borderId="0" xfId="0" applyFont="1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0" borderId="0" xfId="0" applyAlignment="1">
      <alignment vertical="center"/>
    </xf>
    <xf numFmtId="0" fontId="5" fillId="2" borderId="0" xfId="0" applyFont="1" applyFill="1" applyAlignment="1">
      <alignment horizontal="right" vertical="center"/>
    </xf>
    <xf numFmtId="165" fontId="10" fillId="2" borderId="0" xfId="0" applyNumberFormat="1" applyFont="1" applyFill="1"/>
    <xf numFmtId="165" fontId="1" fillId="2" borderId="0" xfId="0" applyNumberFormat="1" applyFont="1" applyFill="1" applyAlignment="1">
      <alignment vertical="center"/>
    </xf>
    <xf numFmtId="165" fontId="5" fillId="2" borderId="0" xfId="0" applyNumberFormat="1" applyFont="1" applyFill="1"/>
    <xf numFmtId="0" fontId="2" fillId="8" borderId="1" xfId="0" applyFont="1" applyFill="1" applyBorder="1" applyAlignment="1">
      <alignment horizontal="center"/>
    </xf>
    <xf numFmtId="164" fontId="2" fillId="8" borderId="1" xfId="0" applyNumberFormat="1" applyFont="1" applyFill="1" applyBorder="1" applyAlignment="1">
      <alignment horizontal="center"/>
    </xf>
    <xf numFmtId="165" fontId="2" fillId="8" borderId="1" xfId="0" applyNumberFormat="1" applyFont="1" applyFill="1" applyBorder="1" applyAlignment="1">
      <alignment horizontal="center"/>
    </xf>
    <xf numFmtId="2" fontId="2" fillId="8" borderId="1" xfId="0" applyNumberFormat="1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164" fontId="2" fillId="12" borderId="1" xfId="0" applyNumberFormat="1" applyFont="1" applyFill="1" applyBorder="1" applyAlignment="1">
      <alignment horizontal="center"/>
    </xf>
    <xf numFmtId="165" fontId="2" fillId="12" borderId="1" xfId="0" applyNumberFormat="1" applyFont="1" applyFill="1" applyBorder="1" applyAlignment="1">
      <alignment horizontal="center"/>
    </xf>
    <xf numFmtId="2" fontId="2" fillId="12" borderId="1" xfId="0" applyNumberFormat="1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164" fontId="2" fillId="14" borderId="1" xfId="0" applyNumberFormat="1" applyFont="1" applyFill="1" applyBorder="1" applyAlignment="1">
      <alignment horizontal="center"/>
    </xf>
    <xf numFmtId="165" fontId="2" fillId="14" borderId="1" xfId="0" applyNumberFormat="1" applyFont="1" applyFill="1" applyBorder="1" applyAlignment="1">
      <alignment horizontal="center"/>
    </xf>
    <xf numFmtId="2" fontId="2" fillId="14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165" fontId="2" fillId="4" borderId="1" xfId="0" applyNumberFormat="1" applyFont="1" applyFill="1" applyBorder="1" applyAlignment="1">
      <alignment horizontal="center"/>
    </xf>
    <xf numFmtId="2" fontId="2" fillId="4" borderId="1" xfId="0" applyNumberFormat="1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164" fontId="2" fillId="7" borderId="1" xfId="0" applyNumberFormat="1" applyFont="1" applyFill="1" applyBorder="1" applyAlignment="1">
      <alignment horizontal="center"/>
    </xf>
    <xf numFmtId="165" fontId="2" fillId="7" borderId="1" xfId="0" applyNumberFormat="1" applyFont="1" applyFill="1" applyBorder="1" applyAlignment="1">
      <alignment horizontal="center"/>
    </xf>
    <xf numFmtId="2" fontId="2" fillId="7" borderId="1" xfId="0" applyNumberFormat="1" applyFont="1" applyFill="1" applyBorder="1" applyAlignment="1">
      <alignment horizontal="center"/>
    </xf>
    <xf numFmtId="0" fontId="2" fillId="17" borderId="1" xfId="0" applyFont="1" applyFill="1" applyBorder="1" applyAlignment="1">
      <alignment horizontal="center"/>
    </xf>
    <xf numFmtId="164" fontId="2" fillId="17" borderId="1" xfId="0" applyNumberFormat="1" applyFont="1" applyFill="1" applyBorder="1" applyAlignment="1">
      <alignment horizontal="center"/>
    </xf>
    <xf numFmtId="165" fontId="2" fillId="17" borderId="1" xfId="0" applyNumberFormat="1" applyFont="1" applyFill="1" applyBorder="1" applyAlignment="1">
      <alignment horizontal="center"/>
    </xf>
    <xf numFmtId="2" fontId="2" fillId="17" borderId="1" xfId="0" applyNumberFormat="1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164" fontId="2" fillId="6" borderId="1" xfId="0" applyNumberFormat="1" applyFont="1" applyFill="1" applyBorder="1" applyAlignment="1">
      <alignment horizontal="center"/>
    </xf>
    <xf numFmtId="165" fontId="2" fillId="6" borderId="1" xfId="0" applyNumberFormat="1" applyFont="1" applyFill="1" applyBorder="1" applyAlignment="1">
      <alignment horizontal="center"/>
    </xf>
    <xf numFmtId="2" fontId="2" fillId="6" borderId="1" xfId="0" applyNumberFormat="1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164" fontId="2" fillId="15" borderId="1" xfId="0" applyNumberFormat="1" applyFont="1" applyFill="1" applyBorder="1" applyAlignment="1">
      <alignment horizontal="center"/>
    </xf>
    <xf numFmtId="165" fontId="2" fillId="15" borderId="1" xfId="0" applyNumberFormat="1" applyFont="1" applyFill="1" applyBorder="1" applyAlignment="1">
      <alignment horizontal="center"/>
    </xf>
    <xf numFmtId="2" fontId="2" fillId="1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164" fontId="2" fillId="5" borderId="1" xfId="0" applyNumberFormat="1" applyFont="1" applyFill="1" applyBorder="1" applyAlignment="1">
      <alignment horizontal="center"/>
    </xf>
    <xf numFmtId="165" fontId="2" fillId="5" borderId="1" xfId="0" applyNumberFormat="1" applyFont="1" applyFill="1" applyBorder="1" applyAlignment="1">
      <alignment horizontal="center"/>
    </xf>
    <xf numFmtId="2" fontId="2" fillId="5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164" fontId="2" fillId="13" borderId="1" xfId="0" applyNumberFormat="1" applyFont="1" applyFill="1" applyBorder="1" applyAlignment="1">
      <alignment horizontal="center"/>
    </xf>
    <xf numFmtId="165" fontId="2" fillId="13" borderId="1" xfId="0" applyNumberFormat="1" applyFont="1" applyFill="1" applyBorder="1" applyAlignment="1">
      <alignment horizontal="center"/>
    </xf>
    <xf numFmtId="2" fontId="2" fillId="13" borderId="1" xfId="0" applyNumberFormat="1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164" fontId="2" fillId="9" borderId="1" xfId="0" applyNumberFormat="1" applyFont="1" applyFill="1" applyBorder="1" applyAlignment="1">
      <alignment horizontal="center"/>
    </xf>
    <xf numFmtId="165" fontId="2" fillId="9" borderId="1" xfId="0" applyNumberFormat="1" applyFont="1" applyFill="1" applyBorder="1" applyAlignment="1">
      <alignment horizontal="center"/>
    </xf>
    <xf numFmtId="2" fontId="2" fillId="9" borderId="1" xfId="0" applyNumberFormat="1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164" fontId="2" fillId="10" borderId="1" xfId="0" applyNumberFormat="1" applyFont="1" applyFill="1" applyBorder="1" applyAlignment="1">
      <alignment horizontal="center"/>
    </xf>
    <xf numFmtId="165" fontId="2" fillId="10" borderId="1" xfId="0" applyNumberFormat="1" applyFont="1" applyFill="1" applyBorder="1" applyAlignment="1">
      <alignment horizontal="center"/>
    </xf>
    <xf numFmtId="2" fontId="2" fillId="10" borderId="1" xfId="0" applyNumberFormat="1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164" fontId="2" fillId="16" borderId="1" xfId="0" applyNumberFormat="1" applyFont="1" applyFill="1" applyBorder="1" applyAlignment="1">
      <alignment horizontal="center"/>
    </xf>
    <xf numFmtId="165" fontId="2" fillId="16" borderId="1" xfId="0" applyNumberFormat="1" applyFont="1" applyFill="1" applyBorder="1" applyAlignment="1">
      <alignment horizontal="center"/>
    </xf>
    <xf numFmtId="2" fontId="2" fillId="16" borderId="1" xfId="0" applyNumberFormat="1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164" fontId="2" fillId="11" borderId="1" xfId="0" applyNumberFormat="1" applyFont="1" applyFill="1" applyBorder="1" applyAlignment="1">
      <alignment horizontal="center"/>
    </xf>
    <xf numFmtId="165" fontId="2" fillId="11" borderId="1" xfId="0" applyNumberFormat="1" applyFont="1" applyFill="1" applyBorder="1" applyAlignment="1">
      <alignment horizontal="center"/>
    </xf>
    <xf numFmtId="2" fontId="2" fillId="11" borderId="1" xfId="0" applyNumberFormat="1" applyFont="1" applyFill="1" applyBorder="1" applyAlignment="1">
      <alignment horizontal="center"/>
    </xf>
    <xf numFmtId="0" fontId="2" fillId="19" borderId="1" xfId="0" applyFont="1" applyFill="1" applyBorder="1" applyAlignment="1">
      <alignment horizontal="center"/>
    </xf>
    <xf numFmtId="164" fontId="2" fillId="19" borderId="1" xfId="0" applyNumberFormat="1" applyFont="1" applyFill="1" applyBorder="1" applyAlignment="1">
      <alignment horizontal="center"/>
    </xf>
    <xf numFmtId="165" fontId="2" fillId="19" borderId="1" xfId="0" applyNumberFormat="1" applyFont="1" applyFill="1" applyBorder="1" applyAlignment="1">
      <alignment horizontal="center"/>
    </xf>
    <xf numFmtId="2" fontId="2" fillId="19" borderId="1" xfId="0" applyNumberFormat="1" applyFont="1" applyFill="1" applyBorder="1" applyAlignment="1">
      <alignment horizontal="center"/>
    </xf>
    <xf numFmtId="0" fontId="6" fillId="18" borderId="0" xfId="0" applyFont="1" applyFill="1"/>
    <xf numFmtId="167" fontId="0" fillId="2" borderId="0" xfId="0" applyNumberFormat="1" applyFill="1"/>
    <xf numFmtId="0" fontId="0" fillId="0" borderId="0" xfId="0" applyBorder="1"/>
    <xf numFmtId="165" fontId="9" fillId="2" borderId="1" xfId="3" applyNumberFormat="1" applyFont="1" applyFill="1" applyBorder="1" applyAlignment="1">
      <alignment horizontal="center" vertical="center"/>
    </xf>
    <xf numFmtId="0" fontId="9" fillId="2" borderId="1" xfId="3" applyFont="1" applyFill="1" applyBorder="1" applyAlignment="1">
      <alignment horizontal="center" vertical="center"/>
    </xf>
    <xf numFmtId="167" fontId="9" fillId="2" borderId="1" xfId="3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167" fontId="5" fillId="2" borderId="1" xfId="0" applyNumberFormat="1" applyFont="1" applyFill="1" applyBorder="1" applyAlignment="1">
      <alignment horizontal="center"/>
    </xf>
    <xf numFmtId="1" fontId="9" fillId="2" borderId="1" xfId="0" applyNumberFormat="1" applyFont="1" applyFill="1" applyBorder="1" applyAlignment="1">
      <alignment horizontal="center" vertical="center"/>
    </xf>
    <xf numFmtId="1" fontId="10" fillId="2" borderId="1" xfId="0" applyNumberFormat="1" applyFont="1" applyFill="1" applyBorder="1" applyAlignment="1">
      <alignment horizontal="center" vertical="center"/>
    </xf>
    <xf numFmtId="1" fontId="19" fillId="2" borderId="1" xfId="0" applyNumberFormat="1" applyFont="1" applyFill="1" applyBorder="1" applyAlignment="1">
      <alignment horizontal="center" vertical="center"/>
    </xf>
    <xf numFmtId="167" fontId="0" fillId="0" borderId="0" xfId="0" applyNumberFormat="1"/>
    <xf numFmtId="1" fontId="16" fillId="18" borderId="1" xfId="0" applyNumberFormat="1" applyFont="1" applyFill="1" applyBorder="1" applyAlignment="1">
      <alignment horizontal="center" vertical="center"/>
    </xf>
    <xf numFmtId="1" fontId="16" fillId="2" borderId="1" xfId="0" applyNumberFormat="1" applyFont="1" applyFill="1" applyBorder="1" applyAlignment="1">
      <alignment horizontal="center" vertical="center"/>
    </xf>
    <xf numFmtId="1" fontId="10" fillId="18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" fontId="10" fillId="0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67" fontId="10" fillId="2" borderId="1" xfId="0" applyNumberFormat="1" applyFont="1" applyFill="1" applyBorder="1" applyAlignment="1">
      <alignment horizontal="center" vertical="center"/>
    </xf>
    <xf numFmtId="167" fontId="9" fillId="4" borderId="1" xfId="3" applyNumberFormat="1" applyFont="1" applyFill="1" applyBorder="1" applyAlignment="1">
      <alignment horizontal="center" vertical="center"/>
    </xf>
    <xf numFmtId="167" fontId="5" fillId="4" borderId="1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4" fillId="2" borderId="0" xfId="0" applyFont="1" applyFill="1"/>
    <xf numFmtId="165" fontId="4" fillId="2" borderId="0" xfId="0" applyNumberFormat="1" applyFont="1" applyFill="1"/>
    <xf numFmtId="0" fontId="13" fillId="18" borderId="0" xfId="0" applyFont="1" applyFill="1"/>
    <xf numFmtId="0" fontId="9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165" fontId="5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164" fontId="5" fillId="2" borderId="1" xfId="0" applyNumberFormat="1" applyFont="1" applyFill="1" applyBorder="1" applyAlignment="1">
      <alignment horizontal="center"/>
    </xf>
    <xf numFmtId="164" fontId="5" fillId="2" borderId="1" xfId="0" applyNumberFormat="1" applyFont="1" applyFill="1" applyBorder="1" applyAlignment="1">
      <alignment horizontal="center" vertical="center"/>
    </xf>
    <xf numFmtId="164" fontId="20" fillId="2" borderId="1" xfId="0" applyNumberFormat="1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164" fontId="10" fillId="2" borderId="1" xfId="0" applyNumberFormat="1" applyFont="1" applyFill="1" applyBorder="1" applyAlignment="1">
      <alignment horizontal="center"/>
    </xf>
    <xf numFmtId="166" fontId="4" fillId="0" borderId="0" xfId="0" applyNumberFormat="1" applyFont="1"/>
    <xf numFmtId="165" fontId="10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65" fontId="5" fillId="2" borderId="1" xfId="0" applyNumberFormat="1" applyFont="1" applyFill="1" applyBorder="1" applyAlignment="1">
      <alignment horizontal="center"/>
    </xf>
    <xf numFmtId="164" fontId="20" fillId="18" borderId="1" xfId="0" applyNumberFormat="1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center"/>
    </xf>
    <xf numFmtId="164" fontId="20" fillId="0" borderId="1" xfId="0" applyNumberFormat="1" applyFont="1" applyFill="1" applyBorder="1" applyAlignment="1">
      <alignment horizontal="center" vertical="center"/>
    </xf>
    <xf numFmtId="165" fontId="5" fillId="0" borderId="1" xfId="0" applyNumberFormat="1" applyFont="1" applyFill="1" applyBorder="1" applyAlignment="1">
      <alignment horizontal="center"/>
    </xf>
    <xf numFmtId="164" fontId="5" fillId="0" borderId="1" xfId="0" applyNumberFormat="1" applyFont="1" applyFill="1" applyBorder="1" applyAlignment="1">
      <alignment horizontal="center" vertical="center"/>
    </xf>
    <xf numFmtId="0" fontId="21" fillId="18" borderId="0" xfId="0" applyFont="1" applyFill="1"/>
    <xf numFmtId="0" fontId="10" fillId="18" borderId="1" xfId="0" applyFont="1" applyFill="1" applyBorder="1" applyAlignment="1">
      <alignment horizontal="center" vertical="center"/>
    </xf>
    <xf numFmtId="167" fontId="5" fillId="18" borderId="1" xfId="0" applyNumberFormat="1" applyFont="1" applyFill="1" applyBorder="1" applyAlignment="1">
      <alignment horizontal="center"/>
    </xf>
    <xf numFmtId="1" fontId="9" fillId="18" borderId="1" xfId="0" applyNumberFormat="1" applyFont="1" applyFill="1" applyBorder="1" applyAlignment="1">
      <alignment horizontal="center" vertical="center"/>
    </xf>
    <xf numFmtId="167" fontId="10" fillId="18" borderId="1" xfId="0" applyNumberFormat="1" applyFont="1" applyFill="1" applyBorder="1" applyAlignment="1">
      <alignment horizontal="center" vertical="center"/>
    </xf>
    <xf numFmtId="0" fontId="2" fillId="2" borderId="0" xfId="0" applyFont="1" applyFill="1"/>
    <xf numFmtId="165" fontId="2" fillId="2" borderId="0" xfId="0" applyNumberFormat="1" applyFont="1" applyFill="1"/>
    <xf numFmtId="0" fontId="2" fillId="2" borderId="0" xfId="0" applyFont="1" applyFill="1" applyAlignment="1">
      <alignment horizontal="right"/>
    </xf>
    <xf numFmtId="165" fontId="2" fillId="2" borderId="1" xfId="4" applyNumberFormat="1" applyFont="1" applyFill="1" applyBorder="1" applyAlignment="1">
      <alignment horizontal="center" vertical="center" wrapText="1"/>
    </xf>
    <xf numFmtId="164" fontId="2" fillId="2" borderId="1" xfId="4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164" fontId="20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65" fontId="5" fillId="2" borderId="5" xfId="0" applyNumberFormat="1" applyFont="1" applyFill="1" applyBorder="1" applyAlignment="1">
      <alignment horizontal="center" vertical="center" wrapText="1"/>
    </xf>
    <xf numFmtId="165" fontId="5" fillId="2" borderId="6" xfId="0" applyNumberFormat="1" applyFont="1" applyFill="1" applyBorder="1" applyAlignment="1">
      <alignment horizontal="center" vertical="center" wrapText="1"/>
    </xf>
    <xf numFmtId="165" fontId="5" fillId="2" borderId="7" xfId="0" applyNumberFormat="1" applyFont="1" applyFill="1" applyBorder="1" applyAlignment="1">
      <alignment horizontal="center" vertical="center" wrapText="1"/>
    </xf>
    <xf numFmtId="0" fontId="2" fillId="2" borderId="1" xfId="4" applyFont="1" applyFill="1" applyBorder="1" applyAlignment="1">
      <alignment horizontal="center" vertical="center" textRotation="90" wrapText="1"/>
    </xf>
    <xf numFmtId="165" fontId="5" fillId="0" borderId="5" xfId="0" applyNumberFormat="1" applyFont="1" applyBorder="1" applyAlignment="1">
      <alignment horizontal="center" vertical="center" wrapText="1"/>
    </xf>
    <xf numFmtId="165" fontId="5" fillId="0" borderId="6" xfId="0" applyNumberFormat="1" applyFont="1" applyBorder="1" applyAlignment="1">
      <alignment horizontal="center" vertical="center" wrapText="1"/>
    </xf>
    <xf numFmtId="165" fontId="5" fillId="0" borderId="7" xfId="0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5" fillId="0" borderId="3" xfId="0" applyFont="1" applyBorder="1" applyAlignment="1">
      <alignment horizontal="center" vertical="center" textRotation="90"/>
    </xf>
    <xf numFmtId="0" fontId="5" fillId="0" borderId="4" xfId="0" applyFont="1" applyBorder="1" applyAlignment="1">
      <alignment horizontal="center" vertical="center" textRotation="90"/>
    </xf>
    <xf numFmtId="0" fontId="9" fillId="2" borderId="0" xfId="0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textRotation="90" wrapText="1"/>
    </xf>
    <xf numFmtId="0" fontId="10" fillId="0" borderId="4" xfId="0" applyFont="1" applyBorder="1" applyAlignment="1">
      <alignment horizontal="center" vertical="center" textRotation="90" wrapText="1"/>
    </xf>
    <xf numFmtId="0" fontId="5" fillId="0" borderId="3" xfId="0" applyFont="1" applyBorder="1" applyAlignment="1">
      <alignment horizontal="center" vertical="center" textRotation="90" wrapText="1"/>
    </xf>
    <xf numFmtId="0" fontId="5" fillId="0" borderId="4" xfId="0" applyFont="1" applyBorder="1" applyAlignment="1">
      <alignment horizontal="center" vertical="center" textRotation="90" wrapText="1"/>
    </xf>
    <xf numFmtId="167" fontId="5" fillId="2" borderId="5" xfId="0" applyNumberFormat="1" applyFont="1" applyFill="1" applyBorder="1" applyAlignment="1">
      <alignment horizontal="center"/>
    </xf>
    <xf numFmtId="167" fontId="5" fillId="2" borderId="7" xfId="0" applyNumberFormat="1" applyFont="1" applyFill="1" applyBorder="1" applyAlignment="1">
      <alignment horizontal="center"/>
    </xf>
    <xf numFmtId="0" fontId="2" fillId="0" borderId="0" xfId="0" applyFont="1" applyFill="1" applyAlignment="1">
      <alignment horizontal="right"/>
    </xf>
    <xf numFmtId="167" fontId="5" fillId="4" borderId="5" xfId="0" applyNumberFormat="1" applyFont="1" applyFill="1" applyBorder="1" applyAlignment="1">
      <alignment horizontal="center"/>
    </xf>
    <xf numFmtId="167" fontId="5" fillId="4" borderId="7" xfId="0" applyNumberFormat="1" applyFont="1" applyFill="1" applyBorder="1" applyAlignment="1">
      <alignment horizontal="center"/>
    </xf>
    <xf numFmtId="167" fontId="16" fillId="2" borderId="5" xfId="3" applyNumberFormat="1" applyFont="1" applyFill="1" applyBorder="1" applyAlignment="1">
      <alignment horizontal="center" vertical="center"/>
    </xf>
    <xf numFmtId="167" fontId="16" fillId="2" borderId="7" xfId="3" applyNumberFormat="1" applyFont="1" applyFill="1" applyBorder="1" applyAlignment="1">
      <alignment horizontal="center" vertical="center"/>
    </xf>
    <xf numFmtId="167" fontId="10" fillId="2" borderId="5" xfId="0" applyNumberFormat="1" applyFont="1" applyFill="1" applyBorder="1" applyAlignment="1">
      <alignment horizontal="center"/>
    </xf>
    <xf numFmtId="167" fontId="10" fillId="2" borderId="7" xfId="0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Border="1" applyAlignment="1">
      <alignment horizontal="center" vertical="center" wrapText="1"/>
    </xf>
    <xf numFmtId="0" fontId="10" fillId="2" borderId="3" xfId="3" applyFont="1" applyFill="1" applyBorder="1" applyAlignment="1">
      <alignment horizontal="center" vertical="center" textRotation="90"/>
    </xf>
    <xf numFmtId="0" fontId="10" fillId="2" borderId="4" xfId="3" applyFont="1" applyFill="1" applyBorder="1" applyAlignment="1">
      <alignment horizontal="center" vertical="center" textRotation="90"/>
    </xf>
    <xf numFmtId="0" fontId="16" fillId="2" borderId="5" xfId="3" applyFont="1" applyFill="1" applyBorder="1" applyAlignment="1">
      <alignment horizontal="center" vertical="center"/>
    </xf>
    <xf numFmtId="0" fontId="16" fillId="2" borderId="7" xfId="3" applyFont="1" applyFill="1" applyBorder="1" applyAlignment="1">
      <alignment horizontal="center" vertical="center"/>
    </xf>
    <xf numFmtId="0" fontId="16" fillId="2" borderId="6" xfId="3" applyFont="1" applyFill="1" applyBorder="1" applyAlignment="1">
      <alignment horizontal="center" vertical="center"/>
    </xf>
    <xf numFmtId="167" fontId="16" fillId="4" borderId="5" xfId="3" applyNumberFormat="1" applyFont="1" applyFill="1" applyBorder="1" applyAlignment="1">
      <alignment horizontal="center" vertical="center"/>
    </xf>
    <xf numFmtId="167" fontId="16" fillId="4" borderId="7" xfId="3" applyNumberFormat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8" fillId="2" borderId="3" xfId="1" applyFont="1" applyFill="1" applyBorder="1" applyAlignment="1">
      <alignment horizontal="center" vertical="center" textRotation="90" wrapText="1"/>
    </xf>
    <xf numFmtId="0" fontId="8" fillId="2" borderId="4" xfId="1" applyFont="1" applyFill="1" applyBorder="1" applyAlignment="1">
      <alignment horizontal="center" vertical="center" textRotation="90" wrapText="1"/>
    </xf>
    <xf numFmtId="0" fontId="2" fillId="2" borderId="0" xfId="0" applyFont="1" applyFill="1" applyAlignment="1">
      <alignment horizontal="center"/>
    </xf>
    <xf numFmtId="0" fontId="2" fillId="18" borderId="1" xfId="0" applyFont="1" applyFill="1" applyBorder="1" applyAlignment="1">
      <alignment horizontal="center"/>
    </xf>
    <xf numFmtId="1" fontId="19" fillId="18" borderId="1" xfId="0" applyNumberFormat="1" applyFont="1" applyFill="1" applyBorder="1" applyAlignment="1">
      <alignment horizontal="center" vertical="center"/>
    </xf>
  </cellXfs>
  <cellStyles count="5">
    <cellStyle name="Обычный" xfId="0" builtinId="0"/>
    <cellStyle name="Обычный 2" xfId="3"/>
    <cellStyle name="Обычный 7" xfId="2"/>
    <cellStyle name="Обычный_Лист1" xfId="1"/>
    <cellStyle name="Обычный_Лист1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83</xdr:col>
      <xdr:colOff>350623</xdr:colOff>
      <xdr:row>8</xdr:row>
      <xdr:rowOff>188819</xdr:rowOff>
    </xdr:from>
    <xdr:to>
      <xdr:col>98</xdr:col>
      <xdr:colOff>512547</xdr:colOff>
      <xdr:row>38</xdr:row>
      <xdr:rowOff>62912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29451" y="2768507"/>
          <a:ext cx="9240439" cy="56089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CA38"/>
  <sheetViews>
    <sheetView topLeftCell="A28" zoomScale="94" zoomScaleNormal="94" workbookViewId="0">
      <selection activeCell="CA30" sqref="CA30"/>
    </sheetView>
  </sheetViews>
  <sheetFormatPr defaultRowHeight="15" x14ac:dyDescent="0.25"/>
  <cols>
    <col min="2" max="67" width="0" hidden="1" customWidth="1"/>
    <col min="79" max="79" width="10" customWidth="1"/>
  </cols>
  <sheetData>
    <row r="6" spans="1:79" x14ac:dyDescent="0.25">
      <c r="A6" s="159"/>
      <c r="B6" s="159"/>
      <c r="C6" s="159"/>
      <c r="D6" s="159"/>
      <c r="E6" s="160"/>
      <c r="F6" s="159"/>
      <c r="G6" s="159"/>
      <c r="H6" s="160"/>
      <c r="I6" s="159"/>
      <c r="J6" s="159"/>
      <c r="K6" s="160"/>
      <c r="L6" s="159"/>
      <c r="M6" s="159"/>
      <c r="N6" s="160"/>
      <c r="O6" s="159"/>
      <c r="P6" s="159"/>
      <c r="Q6" s="160"/>
      <c r="R6" s="159"/>
      <c r="S6" s="159"/>
      <c r="T6" s="160"/>
      <c r="U6" s="159"/>
      <c r="V6" s="159"/>
      <c r="W6" s="160"/>
      <c r="X6" s="159"/>
      <c r="Y6" s="159"/>
      <c r="Z6" s="160"/>
      <c r="AA6" s="159"/>
      <c r="AB6" s="159"/>
      <c r="AC6" s="160"/>
      <c r="AD6" s="159"/>
      <c r="AE6" s="159"/>
      <c r="AF6" s="160"/>
      <c r="AG6" s="159"/>
      <c r="AH6" s="159"/>
      <c r="AI6" s="159"/>
      <c r="AJ6" s="159"/>
      <c r="AK6" s="159"/>
      <c r="AL6" s="159"/>
      <c r="AM6" s="159"/>
      <c r="AN6" s="159"/>
      <c r="AO6" s="159"/>
      <c r="AP6" s="159"/>
      <c r="AQ6" s="159"/>
      <c r="AR6" s="159"/>
      <c r="AS6" s="159"/>
      <c r="AT6" s="159"/>
      <c r="AU6" s="159"/>
      <c r="AV6" s="159"/>
      <c r="AW6" s="159"/>
      <c r="AX6" s="159"/>
      <c r="AY6" s="159"/>
      <c r="AZ6" s="159"/>
      <c r="BA6" s="159"/>
      <c r="BB6" s="159"/>
      <c r="BC6" s="159"/>
      <c r="BD6" s="159"/>
      <c r="BE6" s="159"/>
      <c r="BF6" s="159"/>
      <c r="BG6" s="159"/>
      <c r="BH6" s="159"/>
      <c r="BI6" s="159"/>
      <c r="BJ6" s="159"/>
      <c r="BK6" s="159"/>
      <c r="BL6" s="159"/>
      <c r="BM6" s="159"/>
      <c r="BN6" s="159"/>
      <c r="BO6" s="159"/>
      <c r="BP6" s="159"/>
      <c r="BQ6" s="159"/>
      <c r="BR6" s="159"/>
      <c r="BS6" s="159"/>
      <c r="BT6" s="159"/>
      <c r="BU6" s="159"/>
      <c r="BV6" s="159"/>
      <c r="BW6" s="159"/>
      <c r="BX6" s="159"/>
      <c r="BY6" s="161"/>
    </row>
    <row r="7" spans="1:79" x14ac:dyDescent="0.25">
      <c r="B7" s="161"/>
      <c r="C7" s="161"/>
      <c r="D7" s="161"/>
      <c r="E7" s="161"/>
      <c r="F7" s="161"/>
      <c r="G7" s="161"/>
      <c r="H7" s="161"/>
      <c r="I7" s="161"/>
      <c r="J7" s="161"/>
      <c r="K7" s="161"/>
      <c r="L7" s="161"/>
      <c r="M7" s="161"/>
      <c r="N7" s="161"/>
      <c r="O7" s="161"/>
      <c r="P7" s="161"/>
      <c r="Q7" s="161"/>
      <c r="R7" s="161"/>
      <c r="S7" s="161"/>
      <c r="T7" s="161"/>
      <c r="U7" s="161"/>
      <c r="V7" s="161"/>
      <c r="W7" s="161"/>
      <c r="X7" s="161"/>
      <c r="Y7" s="161"/>
      <c r="Z7" s="161"/>
      <c r="AA7" s="161"/>
      <c r="AB7" s="161"/>
      <c r="AC7" s="161"/>
      <c r="AD7" s="161"/>
      <c r="AE7" s="161"/>
      <c r="AF7" s="161"/>
      <c r="AG7" s="161"/>
      <c r="AH7" s="161"/>
      <c r="AI7" s="161"/>
      <c r="AJ7" s="161"/>
      <c r="AK7" s="161"/>
      <c r="AL7" s="161"/>
      <c r="AM7" s="161"/>
      <c r="AN7" s="161"/>
      <c r="AO7" s="161"/>
      <c r="AP7" s="161"/>
      <c r="AQ7" s="161"/>
      <c r="AR7" s="161"/>
      <c r="AS7" s="161"/>
      <c r="AT7" s="161"/>
      <c r="AU7" s="161"/>
      <c r="AV7" s="161"/>
      <c r="AW7" s="161"/>
      <c r="AX7" s="161"/>
      <c r="AY7" s="161"/>
      <c r="AZ7" s="161"/>
      <c r="BA7" s="161"/>
      <c r="BB7" s="161"/>
      <c r="BC7" s="161"/>
      <c r="BD7" s="161"/>
      <c r="BE7" s="161"/>
      <c r="BF7" s="161"/>
      <c r="BG7" s="161"/>
      <c r="BH7" s="161"/>
      <c r="BI7" s="161"/>
      <c r="BJ7" s="161"/>
      <c r="BK7" s="161"/>
      <c r="BL7" s="161"/>
      <c r="BM7" s="161"/>
      <c r="BN7" s="161"/>
      <c r="BO7" s="161"/>
      <c r="BP7" s="161"/>
      <c r="BQ7" s="161"/>
      <c r="BR7" s="161"/>
      <c r="BS7" s="161"/>
      <c r="BT7" s="161"/>
      <c r="BU7" s="161"/>
      <c r="BV7" s="161"/>
      <c r="BW7" s="161"/>
      <c r="BX7" s="161"/>
      <c r="BY7" s="161" t="s">
        <v>74</v>
      </c>
    </row>
    <row r="8" spans="1:79" ht="15.75" x14ac:dyDescent="0.25">
      <c r="A8" s="177" t="s">
        <v>62</v>
      </c>
      <c r="B8" s="177"/>
      <c r="C8" s="177"/>
      <c r="D8" s="177"/>
      <c r="E8" s="177"/>
      <c r="F8" s="177"/>
      <c r="G8" s="177"/>
      <c r="H8" s="177"/>
      <c r="I8" s="177"/>
      <c r="J8" s="177"/>
      <c r="K8" s="177"/>
      <c r="L8" s="177"/>
      <c r="M8" s="177"/>
      <c r="N8" s="177"/>
      <c r="O8" s="177"/>
      <c r="P8" s="177"/>
      <c r="Q8" s="177"/>
      <c r="R8" s="177"/>
      <c r="S8" s="177"/>
      <c r="T8" s="177"/>
      <c r="U8" s="177"/>
      <c r="V8" s="177"/>
      <c r="W8" s="177"/>
      <c r="X8" s="177"/>
      <c r="Y8" s="177"/>
      <c r="Z8" s="177"/>
      <c r="AA8" s="177"/>
      <c r="AB8" s="177"/>
      <c r="AC8" s="177"/>
      <c r="AD8" s="177"/>
      <c r="AE8" s="177"/>
      <c r="AF8" s="177"/>
      <c r="AG8" s="177"/>
      <c r="AH8" s="177"/>
      <c r="AI8" s="177"/>
      <c r="AJ8" s="177"/>
      <c r="AK8" s="177"/>
      <c r="AL8" s="177"/>
      <c r="AM8" s="177"/>
      <c r="AN8" s="177"/>
      <c r="AO8" s="177"/>
      <c r="AP8" s="177"/>
      <c r="AQ8" s="177"/>
      <c r="AR8" s="177"/>
      <c r="AS8" s="177"/>
      <c r="AT8" s="177"/>
      <c r="AU8" s="177"/>
      <c r="AV8" s="177"/>
      <c r="AW8" s="177"/>
      <c r="AX8" s="177"/>
      <c r="AY8" s="177"/>
      <c r="AZ8" s="177"/>
      <c r="BA8" s="177"/>
      <c r="BB8" s="177"/>
      <c r="BC8" s="177"/>
      <c r="BD8" s="177"/>
      <c r="BE8" s="177"/>
      <c r="BF8" s="177"/>
      <c r="BG8" s="177"/>
      <c r="BH8" s="177"/>
      <c r="BI8" s="177"/>
      <c r="BJ8" s="177"/>
      <c r="BK8" s="177"/>
      <c r="BL8" s="177"/>
      <c r="BM8" s="177"/>
      <c r="BN8" s="177"/>
      <c r="BO8" s="177"/>
      <c r="BP8" s="177"/>
      <c r="BQ8" s="177"/>
      <c r="BR8" s="177"/>
      <c r="BS8" s="177"/>
      <c r="BT8" s="177"/>
      <c r="BU8" s="177"/>
      <c r="BV8" s="177"/>
      <c r="BW8" s="177"/>
      <c r="BX8" s="177"/>
      <c r="BY8" s="177"/>
    </row>
    <row r="9" spans="1:79" ht="15.75" x14ac:dyDescent="0.25">
      <c r="A9" s="177" t="s">
        <v>64</v>
      </c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  <c r="Q9" s="177"/>
      <c r="R9" s="177"/>
      <c r="S9" s="177"/>
      <c r="T9" s="177"/>
      <c r="U9" s="177"/>
      <c r="V9" s="177"/>
      <c r="W9" s="177"/>
      <c r="X9" s="177"/>
      <c r="Y9" s="177"/>
      <c r="Z9" s="177"/>
      <c r="AA9" s="177"/>
      <c r="AB9" s="177"/>
      <c r="AC9" s="177"/>
      <c r="AD9" s="177"/>
      <c r="AE9" s="177"/>
      <c r="AF9" s="177"/>
      <c r="AG9" s="177"/>
      <c r="AH9" s="177"/>
      <c r="AI9" s="177"/>
      <c r="AJ9" s="177"/>
      <c r="AK9" s="177"/>
      <c r="AL9" s="177"/>
      <c r="AM9" s="177"/>
      <c r="AN9" s="177"/>
      <c r="AO9" s="177"/>
      <c r="AP9" s="177"/>
      <c r="AQ9" s="177"/>
      <c r="AR9" s="177"/>
      <c r="AS9" s="177"/>
      <c r="AT9" s="177"/>
      <c r="AU9" s="177"/>
      <c r="AV9" s="177"/>
      <c r="AW9" s="177"/>
      <c r="AX9" s="177"/>
      <c r="AY9" s="177"/>
      <c r="AZ9" s="177"/>
      <c r="BA9" s="177"/>
      <c r="BB9" s="177"/>
      <c r="BC9" s="177"/>
      <c r="BD9" s="177"/>
      <c r="BE9" s="177"/>
      <c r="BF9" s="177"/>
      <c r="BG9" s="177"/>
      <c r="BH9" s="177"/>
      <c r="BI9" s="177"/>
      <c r="BJ9" s="177"/>
      <c r="BK9" s="177"/>
      <c r="BL9" s="177"/>
      <c r="BM9" s="177"/>
      <c r="BN9" s="177"/>
      <c r="BO9" s="177"/>
      <c r="BP9" s="177"/>
      <c r="BQ9" s="177"/>
      <c r="BR9" s="177"/>
      <c r="BS9" s="177"/>
      <c r="BT9" s="177"/>
      <c r="BU9" s="177"/>
      <c r="BV9" s="177"/>
      <c r="BW9" s="177"/>
      <c r="BX9" s="177"/>
      <c r="BY9" s="177"/>
    </row>
    <row r="10" spans="1:79" ht="14.45" customHeight="1" x14ac:dyDescent="0.25">
      <c r="A10" s="170" t="s">
        <v>44</v>
      </c>
      <c r="B10" s="174" t="s">
        <v>185</v>
      </c>
      <c r="C10" s="175"/>
      <c r="D10" s="176"/>
      <c r="E10" s="174" t="s">
        <v>186</v>
      </c>
      <c r="F10" s="175"/>
      <c r="G10" s="176"/>
      <c r="H10" s="174" t="s">
        <v>187</v>
      </c>
      <c r="I10" s="175"/>
      <c r="J10" s="176"/>
      <c r="K10" s="174" t="s">
        <v>188</v>
      </c>
      <c r="L10" s="175"/>
      <c r="M10" s="176"/>
      <c r="N10" s="174" t="s">
        <v>189</v>
      </c>
      <c r="O10" s="175"/>
      <c r="P10" s="176"/>
      <c r="Q10" s="174" t="s">
        <v>190</v>
      </c>
      <c r="R10" s="175"/>
      <c r="S10" s="176"/>
      <c r="T10" s="174" t="s">
        <v>191</v>
      </c>
      <c r="U10" s="175"/>
      <c r="V10" s="176"/>
      <c r="W10" s="174" t="s">
        <v>192</v>
      </c>
      <c r="X10" s="175"/>
      <c r="Y10" s="176"/>
      <c r="Z10" s="174" t="s">
        <v>193</v>
      </c>
      <c r="AA10" s="175"/>
      <c r="AB10" s="176"/>
      <c r="AC10" s="174" t="s">
        <v>194</v>
      </c>
      <c r="AD10" s="175"/>
      <c r="AE10" s="176"/>
      <c r="AF10" s="174" t="s">
        <v>195</v>
      </c>
      <c r="AG10" s="175"/>
      <c r="AH10" s="176"/>
      <c r="AI10" s="174" t="s">
        <v>196</v>
      </c>
      <c r="AJ10" s="175"/>
      <c r="AK10" s="176"/>
      <c r="AL10" s="174" t="s">
        <v>197</v>
      </c>
      <c r="AM10" s="175"/>
      <c r="AN10" s="176"/>
      <c r="AO10" s="174" t="s">
        <v>198</v>
      </c>
      <c r="AP10" s="175"/>
      <c r="AQ10" s="176"/>
      <c r="AR10" s="174" t="s">
        <v>199</v>
      </c>
      <c r="AS10" s="175"/>
      <c r="AT10" s="176"/>
      <c r="AU10" s="174" t="s">
        <v>200</v>
      </c>
      <c r="AV10" s="175"/>
      <c r="AW10" s="176"/>
      <c r="AX10" s="174" t="s">
        <v>201</v>
      </c>
      <c r="AY10" s="175"/>
      <c r="AZ10" s="176"/>
      <c r="BA10" s="174" t="s">
        <v>202</v>
      </c>
      <c r="BB10" s="175"/>
      <c r="BC10" s="176"/>
      <c r="BD10" s="171" t="s">
        <v>203</v>
      </c>
      <c r="BE10" s="172"/>
      <c r="BF10" s="173"/>
      <c r="BG10" s="171" t="s">
        <v>204</v>
      </c>
      <c r="BH10" s="172"/>
      <c r="BI10" s="173"/>
      <c r="BJ10" s="171" t="s">
        <v>205</v>
      </c>
      <c r="BK10" s="172"/>
      <c r="BL10" s="173"/>
      <c r="BM10" s="171" t="s">
        <v>206</v>
      </c>
      <c r="BN10" s="172"/>
      <c r="BO10" s="173"/>
      <c r="BP10" s="167" t="s">
        <v>207</v>
      </c>
      <c r="BQ10" s="168"/>
      <c r="BR10" s="169"/>
      <c r="BS10" s="167" t="s">
        <v>208</v>
      </c>
      <c r="BT10" s="168"/>
      <c r="BU10" s="169"/>
      <c r="BV10" s="167" t="s">
        <v>214</v>
      </c>
      <c r="BW10" s="168"/>
      <c r="BX10" s="169"/>
      <c r="BY10" s="170" t="s">
        <v>44</v>
      </c>
    </row>
    <row r="11" spans="1:79" ht="45" x14ac:dyDescent="0.25">
      <c r="A11" s="170"/>
      <c r="B11" s="162" t="s">
        <v>2</v>
      </c>
      <c r="C11" s="163" t="s">
        <v>3</v>
      </c>
      <c r="D11" s="163" t="s">
        <v>4</v>
      </c>
      <c r="E11" s="162" t="s">
        <v>2</v>
      </c>
      <c r="F11" s="163" t="s">
        <v>3</v>
      </c>
      <c r="G11" s="163" t="s">
        <v>4</v>
      </c>
      <c r="H11" s="162" t="s">
        <v>2</v>
      </c>
      <c r="I11" s="163" t="s">
        <v>3</v>
      </c>
      <c r="J11" s="163" t="s">
        <v>4</v>
      </c>
      <c r="K11" s="162" t="s">
        <v>2</v>
      </c>
      <c r="L11" s="163" t="s">
        <v>3</v>
      </c>
      <c r="M11" s="163" t="s">
        <v>4</v>
      </c>
      <c r="N11" s="162" t="s">
        <v>2</v>
      </c>
      <c r="O11" s="163" t="s">
        <v>3</v>
      </c>
      <c r="P11" s="163" t="s">
        <v>4</v>
      </c>
      <c r="Q11" s="162" t="s">
        <v>2</v>
      </c>
      <c r="R11" s="163" t="s">
        <v>3</v>
      </c>
      <c r="S11" s="163" t="s">
        <v>4</v>
      </c>
      <c r="T11" s="162" t="s">
        <v>2</v>
      </c>
      <c r="U11" s="163" t="s">
        <v>3</v>
      </c>
      <c r="V11" s="163" t="s">
        <v>4</v>
      </c>
      <c r="W11" s="162" t="s">
        <v>2</v>
      </c>
      <c r="X11" s="163" t="s">
        <v>3</v>
      </c>
      <c r="Y11" s="163" t="s">
        <v>4</v>
      </c>
      <c r="Z11" s="162" t="s">
        <v>2</v>
      </c>
      <c r="AA11" s="163" t="s">
        <v>3</v>
      </c>
      <c r="AB11" s="163" t="s">
        <v>4</v>
      </c>
      <c r="AC11" s="162" t="s">
        <v>2</v>
      </c>
      <c r="AD11" s="163" t="s">
        <v>3</v>
      </c>
      <c r="AE11" s="163" t="s">
        <v>4</v>
      </c>
      <c r="AF11" s="162" t="s">
        <v>2</v>
      </c>
      <c r="AG11" s="163" t="s">
        <v>3</v>
      </c>
      <c r="AH11" s="163" t="s">
        <v>4</v>
      </c>
      <c r="AI11" s="162" t="s">
        <v>2</v>
      </c>
      <c r="AJ11" s="163" t="s">
        <v>3</v>
      </c>
      <c r="AK11" s="163" t="s">
        <v>4</v>
      </c>
      <c r="AL11" s="162" t="s">
        <v>2</v>
      </c>
      <c r="AM11" s="163" t="s">
        <v>3</v>
      </c>
      <c r="AN11" s="163" t="s">
        <v>4</v>
      </c>
      <c r="AO11" s="162" t="s">
        <v>2</v>
      </c>
      <c r="AP11" s="163" t="s">
        <v>3</v>
      </c>
      <c r="AQ11" s="163" t="s">
        <v>4</v>
      </c>
      <c r="AR11" s="162" t="s">
        <v>2</v>
      </c>
      <c r="AS11" s="163" t="s">
        <v>3</v>
      </c>
      <c r="AT11" s="163" t="s">
        <v>4</v>
      </c>
      <c r="AU11" s="162" t="s">
        <v>2</v>
      </c>
      <c r="AV11" s="163" t="s">
        <v>3</v>
      </c>
      <c r="AW11" s="163" t="s">
        <v>4</v>
      </c>
      <c r="AX11" s="162" t="s">
        <v>2</v>
      </c>
      <c r="AY11" s="163" t="s">
        <v>3</v>
      </c>
      <c r="AZ11" s="163" t="s">
        <v>4</v>
      </c>
      <c r="BA11" s="162" t="s">
        <v>2</v>
      </c>
      <c r="BB11" s="163" t="s">
        <v>3</v>
      </c>
      <c r="BC11" s="163" t="s">
        <v>4</v>
      </c>
      <c r="BD11" s="162" t="s">
        <v>2</v>
      </c>
      <c r="BE11" s="163" t="s">
        <v>3</v>
      </c>
      <c r="BF11" s="163" t="s">
        <v>4</v>
      </c>
      <c r="BG11" s="162" t="s">
        <v>2</v>
      </c>
      <c r="BH11" s="163" t="s">
        <v>3</v>
      </c>
      <c r="BI11" s="163" t="s">
        <v>4</v>
      </c>
      <c r="BJ11" s="162" t="s">
        <v>2</v>
      </c>
      <c r="BK11" s="163" t="s">
        <v>3</v>
      </c>
      <c r="BL11" s="163" t="s">
        <v>4</v>
      </c>
      <c r="BM11" s="162" t="s">
        <v>2</v>
      </c>
      <c r="BN11" s="163" t="s">
        <v>3</v>
      </c>
      <c r="BO11" s="163" t="s">
        <v>4</v>
      </c>
      <c r="BP11" s="162" t="s">
        <v>2</v>
      </c>
      <c r="BQ11" s="163" t="s">
        <v>3</v>
      </c>
      <c r="BR11" s="163" t="s">
        <v>4</v>
      </c>
      <c r="BS11" s="162" t="s">
        <v>2</v>
      </c>
      <c r="BT11" s="163" t="s">
        <v>3</v>
      </c>
      <c r="BU11" s="163" t="s">
        <v>4</v>
      </c>
      <c r="BV11" s="162" t="s">
        <v>2</v>
      </c>
      <c r="BW11" s="163" t="s">
        <v>3</v>
      </c>
      <c r="BX11" s="163" t="s">
        <v>4</v>
      </c>
      <c r="BY11" s="170"/>
    </row>
    <row r="12" spans="1:79" ht="15.75" x14ac:dyDescent="0.25">
      <c r="A12" s="136">
        <v>12</v>
      </c>
      <c r="B12" s="136">
        <v>180.8691</v>
      </c>
      <c r="C12" s="136">
        <v>0</v>
      </c>
      <c r="D12" s="138">
        <v>0</v>
      </c>
      <c r="E12" s="136">
        <v>180.86859999999999</v>
      </c>
      <c r="F12" s="136">
        <f>(E12-B12)*1000</f>
        <v>-0.50000000001659828</v>
      </c>
      <c r="G12" s="139">
        <f>D12+F12</f>
        <v>-0.50000000001659828</v>
      </c>
      <c r="H12" s="136">
        <v>180.86850000000001</v>
      </c>
      <c r="I12" s="136">
        <f t="shared" ref="I12:I23" si="0">(H12-E12)*1000</f>
        <v>-9.9999999974897946E-2</v>
      </c>
      <c r="J12" s="139">
        <f t="shared" ref="J12:J23" si="1">G12+I12</f>
        <v>-0.59999999999149622</v>
      </c>
      <c r="K12" s="136">
        <v>180.8683</v>
      </c>
      <c r="L12" s="136">
        <f t="shared" ref="L12:L23" si="2">(K12-H12)*1000</f>
        <v>-0.20000000000663931</v>
      </c>
      <c r="M12" s="139">
        <f t="shared" ref="M12:M23" si="3">J12+L12</f>
        <v>-0.79999999999813554</v>
      </c>
      <c r="N12" s="136">
        <v>180.86840000000001</v>
      </c>
      <c r="O12" s="136">
        <f t="shared" ref="O12:O23" si="4">(N12-K12)*1000</f>
        <v>0.10000000000331966</v>
      </c>
      <c r="P12" s="139">
        <f t="shared" ref="P12:P23" si="5">M12+O12</f>
        <v>-0.69999999999481588</v>
      </c>
      <c r="Q12" s="136">
        <v>180.86869999999999</v>
      </c>
      <c r="R12" s="136">
        <f t="shared" ref="R12:R23" si="6">(Q12-N12)*1000</f>
        <v>0.29999999998153726</v>
      </c>
      <c r="S12" s="139">
        <f t="shared" ref="S12:S23" si="7">P12+R12</f>
        <v>-0.40000000001327862</v>
      </c>
      <c r="T12" s="146">
        <v>180.86779999999999</v>
      </c>
      <c r="U12" s="147">
        <f t="shared" ref="U12:U23" si="8">(T12-Q12)*1000</f>
        <v>-0.90000000000145519</v>
      </c>
      <c r="V12" s="144">
        <f t="shared" ref="V12:V23" si="9">S12+U12</f>
        <v>-1.3000000000147338</v>
      </c>
      <c r="W12" s="146">
        <v>180.86700000000002</v>
      </c>
      <c r="X12" s="147">
        <f t="shared" ref="X12:X23" si="10">(W12-T12)*1000</f>
        <v>-0.79999999996971383</v>
      </c>
      <c r="Y12" s="144">
        <f t="shared" ref="Y12:Y23" si="11">V12+X12</f>
        <v>-2.0999999999844476</v>
      </c>
      <c r="Z12" s="146">
        <v>180.86750000000001</v>
      </c>
      <c r="AA12" s="147">
        <f t="shared" ref="AA12:AA23" si="12">(Z12-W12)*1000</f>
        <v>0.49999999998817657</v>
      </c>
      <c r="AB12" s="144">
        <f t="shared" ref="AB12:AB23" si="13">Y12+AA12</f>
        <v>-1.5999999999962711</v>
      </c>
      <c r="AC12" s="146">
        <v>180.86760000000001</v>
      </c>
      <c r="AD12" s="147">
        <f t="shared" ref="AD12:AD23" si="14">(AC12-Z12)*1000</f>
        <v>0.10000000000331966</v>
      </c>
      <c r="AE12" s="144">
        <f t="shared" ref="AE12:AE23" si="15">AB12+AD12</f>
        <v>-1.4999999999929514</v>
      </c>
      <c r="AF12" s="146">
        <v>180.8681</v>
      </c>
      <c r="AG12" s="147">
        <f t="shared" ref="AG12:AG23" si="16">(AF12-AC12)*1000</f>
        <v>0.49999999998817657</v>
      </c>
      <c r="AH12" s="144">
        <f t="shared" ref="AH12:AH23" si="17">AE12+AG12</f>
        <v>-1.0000000000047748</v>
      </c>
      <c r="AI12" s="146">
        <v>180.86760000000001</v>
      </c>
      <c r="AJ12" s="147">
        <f t="shared" ref="AJ12:AJ23" si="18">(AI12-AF12)*1000</f>
        <v>-0.49999999998817657</v>
      </c>
      <c r="AK12" s="144">
        <f t="shared" ref="AK12:AK23" si="19">AH12+AJ12</f>
        <v>-1.4999999999929514</v>
      </c>
      <c r="AL12" s="146">
        <v>180.86780000000002</v>
      </c>
      <c r="AM12" s="147">
        <f t="shared" ref="AM12:AM23" si="20">(AL12-AI12)*1000</f>
        <v>0.20000000000663931</v>
      </c>
      <c r="AN12" s="144">
        <f t="shared" ref="AN12:AN23" si="21">AK12+AM12</f>
        <v>-1.2999999999863121</v>
      </c>
      <c r="AO12" s="136">
        <v>180.8682</v>
      </c>
      <c r="AP12" s="140">
        <f t="shared" ref="AP12:AP23" si="22">(AO12-AL12)*1000</f>
        <v>0.39999999998485691</v>
      </c>
      <c r="AQ12" s="140">
        <f t="shared" ref="AQ12:AQ23" si="23">AN12+AP12</f>
        <v>-0.90000000000145519</v>
      </c>
      <c r="AR12" s="137">
        <v>180.86840000000001</v>
      </c>
      <c r="AS12" s="140">
        <f t="shared" ref="AS12:AS23" si="24">(AR12-AO12)*1000</f>
        <v>0.20000000000663931</v>
      </c>
      <c r="AT12" s="140">
        <f t="shared" ref="AT12:AT23" si="25">AQ12+AS12</f>
        <v>-0.69999999999481588</v>
      </c>
      <c r="AU12" s="136">
        <v>180.86870000000002</v>
      </c>
      <c r="AV12" s="140">
        <f t="shared" ref="AV12:AV23" si="26">(AU12-AR12)*1000</f>
        <v>0.30000000000995897</v>
      </c>
      <c r="AW12" s="140">
        <f t="shared" ref="AW12:AW23" si="27">AT12+AV12</f>
        <v>-0.39999999998485691</v>
      </c>
      <c r="AX12" s="136">
        <v>180.8689</v>
      </c>
      <c r="AY12" s="140">
        <f t="shared" ref="AY12:AY23" si="28">(AX12-AU12)*1000</f>
        <v>0.1999999999782176</v>
      </c>
      <c r="AZ12" s="140">
        <f t="shared" ref="AZ12:AZ23" si="29">AW12+AY12</f>
        <v>-0.20000000000663931</v>
      </c>
      <c r="BA12" s="136">
        <v>180.86850000000001</v>
      </c>
      <c r="BB12" s="140">
        <f t="shared" ref="BB12:BB23" si="30">(BA12-AX12)*1000</f>
        <v>-0.39999999998485691</v>
      </c>
      <c r="BC12" s="140">
        <f t="shared" ref="BC12:BC23" si="31">AZ12+BB12</f>
        <v>-0.59999999999149622</v>
      </c>
      <c r="BD12" s="137">
        <v>180.86799999999999</v>
      </c>
      <c r="BE12" s="140">
        <f t="shared" ref="BE12:BE23" si="32">(BD12-BA12)*1000</f>
        <v>-0.50000000001659828</v>
      </c>
      <c r="BF12" s="140">
        <f t="shared" ref="BF12:BF23" si="33">BC12+BE12</f>
        <v>-1.1000000000080945</v>
      </c>
      <c r="BG12" s="137">
        <v>180.86750000000001</v>
      </c>
      <c r="BH12" s="140">
        <f t="shared" ref="BH12:BH23" si="34">(BG12-BD12)*1000</f>
        <v>-0.49999999998817657</v>
      </c>
      <c r="BI12" s="140">
        <f t="shared" ref="BI12:BI23" si="35">BF12+BH12</f>
        <v>-1.5999999999962711</v>
      </c>
      <c r="BJ12" s="137">
        <v>180.86709999999999</v>
      </c>
      <c r="BK12" s="140">
        <f t="shared" ref="BK12:BK23" si="36">(BJ12-BG12)*1000</f>
        <v>-0.40000000001327862</v>
      </c>
      <c r="BL12" s="140">
        <f t="shared" ref="BL12:BL23" si="37">BI12+BK12</f>
        <v>-2.0000000000095497</v>
      </c>
      <c r="BM12" s="137">
        <v>180.8674</v>
      </c>
      <c r="BN12" s="140">
        <f t="shared" ref="BN12:BN23" si="38">(BM12-BJ12)*1000</f>
        <v>0.30000000000995897</v>
      </c>
      <c r="BO12" s="140">
        <f t="shared" ref="BO12:BO23" si="39">BL12+BN12</f>
        <v>-1.6999999999995907</v>
      </c>
      <c r="BP12" s="148">
        <v>180.86770000000001</v>
      </c>
      <c r="BQ12" s="140">
        <f t="shared" ref="BQ12:BQ23" si="40">(BP12-BM12)*1000</f>
        <v>0.30000000000995897</v>
      </c>
      <c r="BR12" s="140">
        <f t="shared" ref="BR12:BR23" si="41">BO12+BQ12</f>
        <v>-1.3999999999896318</v>
      </c>
      <c r="BS12" s="142">
        <v>180.86790000000002</v>
      </c>
      <c r="BT12" s="140">
        <f t="shared" ref="BT12:BT23" si="42">(BS12-BP12)*1000</f>
        <v>0.20000000000663931</v>
      </c>
      <c r="BU12" s="140">
        <f t="shared" ref="BU12:BU23" si="43">BR12+BT12</f>
        <v>-1.1999999999829924</v>
      </c>
      <c r="BV12" s="142">
        <v>180.86779999999999</v>
      </c>
      <c r="BW12" s="140">
        <f t="shared" ref="BW12:BW23" si="44">(BV12-BS12)*1000</f>
        <v>-0.10000000003174137</v>
      </c>
      <c r="BX12" s="140">
        <f t="shared" ref="BX12:BX23" si="45">BU12+BW12</f>
        <v>-1.3000000000147338</v>
      </c>
      <c r="BY12" s="164">
        <f>A12</f>
        <v>12</v>
      </c>
      <c r="CA12" s="9" t="s">
        <v>71</v>
      </c>
    </row>
    <row r="13" spans="1:79" ht="15.75" x14ac:dyDescent="0.25">
      <c r="A13" s="136">
        <v>13</v>
      </c>
      <c r="B13" s="136">
        <v>180.86590000000001</v>
      </c>
      <c r="C13" s="136">
        <v>0</v>
      </c>
      <c r="D13" s="138">
        <v>0</v>
      </c>
      <c r="E13" s="136">
        <v>180.8655</v>
      </c>
      <c r="F13" s="136">
        <f t="shared" ref="F13:F23" si="46">(E13-B13)*1000</f>
        <v>-0.40000000001327862</v>
      </c>
      <c r="G13" s="139">
        <f t="shared" ref="G13:G23" si="47">D13+F13</f>
        <v>-0.40000000001327862</v>
      </c>
      <c r="H13" s="136">
        <v>180.8656</v>
      </c>
      <c r="I13" s="136">
        <f t="shared" si="0"/>
        <v>0.10000000000331966</v>
      </c>
      <c r="J13" s="139">
        <f t="shared" si="1"/>
        <v>-0.30000000000995897</v>
      </c>
      <c r="K13" s="136">
        <v>180.8655</v>
      </c>
      <c r="L13" s="136">
        <f t="shared" si="2"/>
        <v>-0.10000000000331966</v>
      </c>
      <c r="M13" s="139">
        <f t="shared" si="3"/>
        <v>-0.40000000001327862</v>
      </c>
      <c r="N13" s="136">
        <v>180.86580000000001</v>
      </c>
      <c r="O13" s="136">
        <f t="shared" si="4"/>
        <v>0.30000000000995897</v>
      </c>
      <c r="P13" s="139">
        <f t="shared" si="5"/>
        <v>-0.10000000000331966</v>
      </c>
      <c r="Q13" s="136">
        <v>180.8656</v>
      </c>
      <c r="R13" s="136">
        <f t="shared" si="6"/>
        <v>-0.20000000000663931</v>
      </c>
      <c r="S13" s="139">
        <f t="shared" si="7"/>
        <v>-0.30000000000995897</v>
      </c>
      <c r="T13" s="146">
        <v>180.86410000000001</v>
      </c>
      <c r="U13" s="147">
        <f t="shared" si="8"/>
        <v>-1.4999999999929514</v>
      </c>
      <c r="V13" s="144">
        <f t="shared" si="9"/>
        <v>-1.8000000000029104</v>
      </c>
      <c r="W13" s="146">
        <v>180.86360000000002</v>
      </c>
      <c r="X13" s="147">
        <f t="shared" si="10"/>
        <v>-0.49999999998817657</v>
      </c>
      <c r="Y13" s="144">
        <f t="shared" si="11"/>
        <v>-2.299999999991087</v>
      </c>
      <c r="Z13" s="146">
        <v>180.864</v>
      </c>
      <c r="AA13" s="147">
        <f t="shared" si="12"/>
        <v>0.39999999998485691</v>
      </c>
      <c r="AB13" s="144">
        <f t="shared" si="13"/>
        <v>-1.90000000000623</v>
      </c>
      <c r="AC13" s="146">
        <v>180.86429999999999</v>
      </c>
      <c r="AD13" s="147">
        <f t="shared" si="14"/>
        <v>0.29999999998153726</v>
      </c>
      <c r="AE13" s="144">
        <f t="shared" si="15"/>
        <v>-1.6000000000246928</v>
      </c>
      <c r="AF13" s="146">
        <v>180.8647</v>
      </c>
      <c r="AG13" s="147">
        <f t="shared" si="16"/>
        <v>0.40000000001327862</v>
      </c>
      <c r="AH13" s="144">
        <f t="shared" si="17"/>
        <v>-1.2000000000114142</v>
      </c>
      <c r="AI13" s="146">
        <v>180.864</v>
      </c>
      <c r="AJ13" s="147">
        <f t="shared" si="18"/>
        <v>-0.69999999999481588</v>
      </c>
      <c r="AK13" s="144">
        <f t="shared" si="19"/>
        <v>-1.90000000000623</v>
      </c>
      <c r="AL13" s="146">
        <v>180.86430000000001</v>
      </c>
      <c r="AM13" s="147">
        <f t="shared" si="20"/>
        <v>0.30000000000995897</v>
      </c>
      <c r="AN13" s="144">
        <f t="shared" si="21"/>
        <v>-1.5999999999962711</v>
      </c>
      <c r="AO13" s="136">
        <v>180.86490000000001</v>
      </c>
      <c r="AP13" s="140">
        <f t="shared" si="22"/>
        <v>0.59999999999149622</v>
      </c>
      <c r="AQ13" s="140">
        <f t="shared" si="23"/>
        <v>-1.0000000000047748</v>
      </c>
      <c r="AR13" s="137">
        <v>180.86539999999999</v>
      </c>
      <c r="AS13" s="140">
        <f t="shared" si="24"/>
        <v>0.49999999998817657</v>
      </c>
      <c r="AT13" s="140">
        <f t="shared" si="25"/>
        <v>-0.50000000001659828</v>
      </c>
      <c r="AU13" s="136">
        <v>180.86519999999999</v>
      </c>
      <c r="AV13" s="140">
        <f t="shared" si="26"/>
        <v>-0.20000000000663931</v>
      </c>
      <c r="AW13" s="140">
        <f t="shared" si="27"/>
        <v>-0.70000000002323759</v>
      </c>
      <c r="AX13" s="136">
        <v>180.86510000000001</v>
      </c>
      <c r="AY13" s="140">
        <f t="shared" si="28"/>
        <v>-9.9999999974897946E-2</v>
      </c>
      <c r="AZ13" s="140">
        <f t="shared" si="29"/>
        <v>-0.79999999999813554</v>
      </c>
      <c r="BA13" s="136">
        <v>180.86490000000001</v>
      </c>
      <c r="BB13" s="140">
        <f t="shared" si="30"/>
        <v>-0.20000000000663931</v>
      </c>
      <c r="BC13" s="140">
        <f t="shared" si="31"/>
        <v>-1.0000000000047748</v>
      </c>
      <c r="BD13" s="137">
        <v>180.8646</v>
      </c>
      <c r="BE13" s="140">
        <f t="shared" si="32"/>
        <v>-0.30000000000995897</v>
      </c>
      <c r="BF13" s="140">
        <f t="shared" si="33"/>
        <v>-1.3000000000147338</v>
      </c>
      <c r="BG13" s="137">
        <v>180.8648</v>
      </c>
      <c r="BH13" s="140">
        <f t="shared" si="34"/>
        <v>0.20000000000663931</v>
      </c>
      <c r="BI13" s="140">
        <f t="shared" si="35"/>
        <v>-1.1000000000080945</v>
      </c>
      <c r="BJ13" s="137">
        <v>180.8646</v>
      </c>
      <c r="BK13" s="140">
        <f t="shared" si="36"/>
        <v>-0.20000000000663931</v>
      </c>
      <c r="BL13" s="140">
        <f t="shared" si="37"/>
        <v>-1.3000000000147338</v>
      </c>
      <c r="BM13" s="137">
        <v>180.86419999999998</v>
      </c>
      <c r="BN13" s="140">
        <f t="shared" si="38"/>
        <v>-0.40000000001327862</v>
      </c>
      <c r="BO13" s="140">
        <f t="shared" si="39"/>
        <v>-1.7000000000280124</v>
      </c>
      <c r="BP13" s="148">
        <v>180.86399999999998</v>
      </c>
      <c r="BQ13" s="140">
        <f t="shared" si="40"/>
        <v>-0.20000000000663931</v>
      </c>
      <c r="BR13" s="140">
        <f t="shared" si="41"/>
        <v>-1.9000000000346517</v>
      </c>
      <c r="BS13" s="142">
        <v>180.86369999999997</v>
      </c>
      <c r="BT13" s="140">
        <f t="shared" si="42"/>
        <v>-0.30000000000995897</v>
      </c>
      <c r="BU13" s="140">
        <f t="shared" si="43"/>
        <v>-2.2000000000446107</v>
      </c>
      <c r="BV13" s="142">
        <v>180.86399999999998</v>
      </c>
      <c r="BW13" s="140">
        <f t="shared" si="44"/>
        <v>0.30000000000995897</v>
      </c>
      <c r="BX13" s="140">
        <f t="shared" si="45"/>
        <v>-1.9000000000346517</v>
      </c>
      <c r="BY13" s="164">
        <f t="shared" ref="BY13:BY23" si="48">A13</f>
        <v>13</v>
      </c>
      <c r="CA13" s="1"/>
    </row>
    <row r="14" spans="1:79" ht="15.75" x14ac:dyDescent="0.25">
      <c r="A14" s="136">
        <v>14</v>
      </c>
      <c r="B14" s="136">
        <v>180.9023</v>
      </c>
      <c r="C14" s="136">
        <v>0</v>
      </c>
      <c r="D14" s="138">
        <v>0</v>
      </c>
      <c r="E14" s="136">
        <v>180.90199999999999</v>
      </c>
      <c r="F14" s="136">
        <f t="shared" si="46"/>
        <v>-0.30000000000995897</v>
      </c>
      <c r="G14" s="139">
        <f t="shared" si="47"/>
        <v>-0.30000000000995897</v>
      </c>
      <c r="H14" s="136">
        <v>180.90180000000001</v>
      </c>
      <c r="I14" s="136">
        <f t="shared" si="0"/>
        <v>-0.1999999999782176</v>
      </c>
      <c r="J14" s="139">
        <f t="shared" si="1"/>
        <v>-0.49999999998817657</v>
      </c>
      <c r="K14" s="136">
        <v>180.90190000000001</v>
      </c>
      <c r="L14" s="136">
        <f t="shared" si="2"/>
        <v>0.10000000000331966</v>
      </c>
      <c r="M14" s="139">
        <f t="shared" si="3"/>
        <v>-0.39999999998485691</v>
      </c>
      <c r="N14" s="136">
        <v>180.90180000000001</v>
      </c>
      <c r="O14" s="136">
        <f t="shared" si="4"/>
        <v>-0.10000000000331966</v>
      </c>
      <c r="P14" s="139">
        <f t="shared" si="5"/>
        <v>-0.49999999998817657</v>
      </c>
      <c r="Q14" s="136">
        <v>180.90190000000001</v>
      </c>
      <c r="R14" s="136">
        <f t="shared" si="6"/>
        <v>0.10000000000331966</v>
      </c>
      <c r="S14" s="139">
        <f t="shared" si="7"/>
        <v>-0.39999999998485691</v>
      </c>
      <c r="T14" s="146">
        <v>180.9008</v>
      </c>
      <c r="U14" s="147">
        <f t="shared" si="8"/>
        <v>-1.1000000000080945</v>
      </c>
      <c r="V14" s="144">
        <f t="shared" si="9"/>
        <v>-1.4999999999929514</v>
      </c>
      <c r="W14" s="146">
        <v>180.9006</v>
      </c>
      <c r="X14" s="147">
        <f t="shared" si="10"/>
        <v>-0.20000000000663931</v>
      </c>
      <c r="Y14" s="144">
        <f t="shared" si="11"/>
        <v>-1.6999999999995907</v>
      </c>
      <c r="Z14" s="146">
        <v>180.90090000000001</v>
      </c>
      <c r="AA14" s="147">
        <f t="shared" si="12"/>
        <v>0.30000000000995897</v>
      </c>
      <c r="AB14" s="144">
        <f t="shared" si="13"/>
        <v>-1.3999999999896318</v>
      </c>
      <c r="AC14" s="146">
        <v>180.9007</v>
      </c>
      <c r="AD14" s="147">
        <f t="shared" si="14"/>
        <v>-0.20000000000663931</v>
      </c>
      <c r="AE14" s="144">
        <f t="shared" si="15"/>
        <v>-1.5999999999962711</v>
      </c>
      <c r="AF14" s="146">
        <v>180.90030000000002</v>
      </c>
      <c r="AG14" s="147">
        <f t="shared" si="16"/>
        <v>-0.39999999998485691</v>
      </c>
      <c r="AH14" s="144">
        <f t="shared" si="17"/>
        <v>-1.999999999981128</v>
      </c>
      <c r="AI14" s="146">
        <v>180.89949999999999</v>
      </c>
      <c r="AJ14" s="147">
        <f t="shared" si="18"/>
        <v>-0.80000000002655725</v>
      </c>
      <c r="AK14" s="144">
        <f t="shared" si="19"/>
        <v>-2.8000000000076852</v>
      </c>
      <c r="AL14" s="146">
        <v>180.90010000000001</v>
      </c>
      <c r="AM14" s="147">
        <f t="shared" si="20"/>
        <v>0.60000000001991793</v>
      </c>
      <c r="AN14" s="144">
        <f t="shared" si="21"/>
        <v>-2.1999999999877673</v>
      </c>
      <c r="AO14" s="136">
        <v>180.9006</v>
      </c>
      <c r="AP14" s="140">
        <f t="shared" si="22"/>
        <v>0.49999999998817657</v>
      </c>
      <c r="AQ14" s="140">
        <f t="shared" si="23"/>
        <v>-1.6999999999995907</v>
      </c>
      <c r="AR14" s="137">
        <v>180.90090000000001</v>
      </c>
      <c r="AS14" s="140">
        <f t="shared" si="24"/>
        <v>0.30000000000995897</v>
      </c>
      <c r="AT14" s="140">
        <f t="shared" si="25"/>
        <v>-1.3999999999896318</v>
      </c>
      <c r="AU14" s="136">
        <v>180.90120000000002</v>
      </c>
      <c r="AV14" s="140">
        <f t="shared" si="26"/>
        <v>0.30000000000995897</v>
      </c>
      <c r="AW14" s="140">
        <f t="shared" si="27"/>
        <v>-1.0999999999796728</v>
      </c>
      <c r="AX14" s="136">
        <v>180.90129999999999</v>
      </c>
      <c r="AY14" s="140">
        <f t="shared" si="28"/>
        <v>9.9999999974897946E-2</v>
      </c>
      <c r="AZ14" s="140">
        <f t="shared" si="29"/>
        <v>-1.0000000000047748</v>
      </c>
      <c r="BA14" s="136">
        <v>180.90110000000001</v>
      </c>
      <c r="BB14" s="140">
        <f t="shared" si="30"/>
        <v>-0.1999999999782176</v>
      </c>
      <c r="BC14" s="140">
        <f t="shared" si="31"/>
        <v>-1.1999999999829924</v>
      </c>
      <c r="BD14" s="137">
        <v>180.90090000000001</v>
      </c>
      <c r="BE14" s="140">
        <f t="shared" si="32"/>
        <v>-0.20000000000663931</v>
      </c>
      <c r="BF14" s="140">
        <f t="shared" si="33"/>
        <v>-1.3999999999896318</v>
      </c>
      <c r="BG14" s="137">
        <v>180.90100000000001</v>
      </c>
      <c r="BH14" s="140">
        <f t="shared" si="34"/>
        <v>0.10000000000331966</v>
      </c>
      <c r="BI14" s="140">
        <f t="shared" si="35"/>
        <v>-1.2999999999863121</v>
      </c>
      <c r="BJ14" s="137">
        <v>180.90130000000002</v>
      </c>
      <c r="BK14" s="140">
        <f t="shared" si="36"/>
        <v>0.30000000000995897</v>
      </c>
      <c r="BL14" s="140">
        <f t="shared" si="37"/>
        <v>-0.99999999997635314</v>
      </c>
      <c r="BM14" s="137">
        <v>180.90120000000002</v>
      </c>
      <c r="BN14" s="140">
        <f t="shared" si="38"/>
        <v>-0.10000000000331966</v>
      </c>
      <c r="BO14" s="140">
        <f t="shared" si="39"/>
        <v>-1.0999999999796728</v>
      </c>
      <c r="BP14" s="148">
        <v>180.90120000000002</v>
      </c>
      <c r="BQ14" s="140">
        <f t="shared" si="40"/>
        <v>0</v>
      </c>
      <c r="BR14" s="140">
        <f t="shared" si="41"/>
        <v>-1.0999999999796728</v>
      </c>
      <c r="BS14" s="142">
        <v>180.90150000000003</v>
      </c>
      <c r="BT14" s="140">
        <f t="shared" si="42"/>
        <v>0.30000000000995897</v>
      </c>
      <c r="BU14" s="140">
        <f t="shared" si="43"/>
        <v>-0.79999999996971383</v>
      </c>
      <c r="BV14" s="142">
        <v>180.9015</v>
      </c>
      <c r="BW14" s="140">
        <f t="shared" si="44"/>
        <v>-2.8421709430404007E-11</v>
      </c>
      <c r="BX14" s="140">
        <f t="shared" si="45"/>
        <v>-0.79999999999813554</v>
      </c>
      <c r="BY14" s="210">
        <f t="shared" si="48"/>
        <v>14</v>
      </c>
      <c r="CA14" s="1"/>
    </row>
    <row r="15" spans="1:79" ht="15.75" x14ac:dyDescent="0.25">
      <c r="A15" s="136">
        <v>15</v>
      </c>
      <c r="B15" s="136">
        <v>181.54490000000001</v>
      </c>
      <c r="C15" s="136">
        <v>0</v>
      </c>
      <c r="D15" s="138">
        <v>0</v>
      </c>
      <c r="E15" s="136">
        <v>181.5444</v>
      </c>
      <c r="F15" s="136">
        <f t="shared" si="46"/>
        <v>-0.50000000001659828</v>
      </c>
      <c r="G15" s="139">
        <f t="shared" si="47"/>
        <v>-0.50000000001659828</v>
      </c>
      <c r="H15" s="136">
        <v>181.5445</v>
      </c>
      <c r="I15" s="136">
        <f t="shared" si="0"/>
        <v>0.10000000000331966</v>
      </c>
      <c r="J15" s="139">
        <f t="shared" si="1"/>
        <v>-0.40000000001327862</v>
      </c>
      <c r="K15" s="136">
        <v>181.54419999999999</v>
      </c>
      <c r="L15" s="136">
        <f t="shared" si="2"/>
        <v>-0.30000000000995897</v>
      </c>
      <c r="M15" s="139">
        <f t="shared" si="3"/>
        <v>-0.70000000002323759</v>
      </c>
      <c r="N15" s="136">
        <v>181.5445</v>
      </c>
      <c r="O15" s="136">
        <f t="shared" si="4"/>
        <v>0.30000000000995897</v>
      </c>
      <c r="P15" s="139">
        <f t="shared" si="5"/>
        <v>-0.40000000001327862</v>
      </c>
      <c r="Q15" s="136">
        <v>181.5444</v>
      </c>
      <c r="R15" s="136">
        <f t="shared" si="6"/>
        <v>-0.10000000000331966</v>
      </c>
      <c r="S15" s="139">
        <f t="shared" si="7"/>
        <v>-0.50000000001659828</v>
      </c>
      <c r="T15" s="146">
        <v>181.5419</v>
      </c>
      <c r="U15" s="147">
        <f t="shared" si="8"/>
        <v>-2.4999999999977263</v>
      </c>
      <c r="V15" s="144">
        <f t="shared" si="9"/>
        <v>-3.0000000000143245</v>
      </c>
      <c r="W15" s="146">
        <v>181.54249999999999</v>
      </c>
      <c r="X15" s="147">
        <f t="shared" si="10"/>
        <v>0.59999999999149622</v>
      </c>
      <c r="Y15" s="144">
        <f t="shared" si="11"/>
        <v>-2.4000000000228283</v>
      </c>
      <c r="Z15" s="146">
        <v>181.54300000000001</v>
      </c>
      <c r="AA15" s="147">
        <f t="shared" si="12"/>
        <v>0.50000000001659828</v>
      </c>
      <c r="AB15" s="144">
        <f t="shared" si="13"/>
        <v>-1.90000000000623</v>
      </c>
      <c r="AC15" s="146">
        <v>181.54320000000001</v>
      </c>
      <c r="AD15" s="147">
        <f t="shared" si="14"/>
        <v>0.20000000000663931</v>
      </c>
      <c r="AE15" s="144">
        <f t="shared" si="15"/>
        <v>-1.6999999999995907</v>
      </c>
      <c r="AF15" s="146">
        <v>181.54339999999999</v>
      </c>
      <c r="AG15" s="147">
        <f t="shared" si="16"/>
        <v>0.1999999999782176</v>
      </c>
      <c r="AH15" s="144">
        <f t="shared" si="17"/>
        <v>-1.5000000000213731</v>
      </c>
      <c r="AI15" s="146">
        <v>181.5429</v>
      </c>
      <c r="AJ15" s="147">
        <f t="shared" si="18"/>
        <v>-0.49999999998817657</v>
      </c>
      <c r="AK15" s="144">
        <f t="shared" si="19"/>
        <v>-2.0000000000095497</v>
      </c>
      <c r="AL15" s="146">
        <v>181.54170000000002</v>
      </c>
      <c r="AM15" s="147">
        <f t="shared" si="20"/>
        <v>-1.1999999999829924</v>
      </c>
      <c r="AN15" s="144">
        <f t="shared" si="21"/>
        <v>-3.1999999999925421</v>
      </c>
      <c r="AO15" s="136">
        <v>181.5421</v>
      </c>
      <c r="AP15" s="140">
        <f t="shared" si="22"/>
        <v>0.39999999998485691</v>
      </c>
      <c r="AQ15" s="140">
        <f t="shared" si="23"/>
        <v>-2.8000000000076852</v>
      </c>
      <c r="AR15" s="137">
        <v>181.54249999999999</v>
      </c>
      <c r="AS15" s="140">
        <f t="shared" si="24"/>
        <v>0.39999999998485691</v>
      </c>
      <c r="AT15" s="140">
        <f t="shared" si="25"/>
        <v>-2.4000000000228283</v>
      </c>
      <c r="AU15" s="136">
        <v>181.5428</v>
      </c>
      <c r="AV15" s="140">
        <f t="shared" si="26"/>
        <v>0.30000000000995897</v>
      </c>
      <c r="AW15" s="140">
        <f t="shared" si="27"/>
        <v>-2.1000000000128694</v>
      </c>
      <c r="AX15" s="136">
        <v>181.54310000000001</v>
      </c>
      <c r="AY15" s="140">
        <f t="shared" si="28"/>
        <v>0.30000000000995897</v>
      </c>
      <c r="AZ15" s="140">
        <f t="shared" si="29"/>
        <v>-1.8000000000029104</v>
      </c>
      <c r="BA15" s="136">
        <v>181.5427</v>
      </c>
      <c r="BB15" s="140">
        <f t="shared" si="30"/>
        <v>-0.40000000001327862</v>
      </c>
      <c r="BC15" s="140">
        <f t="shared" si="31"/>
        <v>-2.200000000016189</v>
      </c>
      <c r="BD15" s="137">
        <v>181.54300000000001</v>
      </c>
      <c r="BE15" s="140">
        <f t="shared" si="32"/>
        <v>0.30000000000995897</v>
      </c>
      <c r="BF15" s="140">
        <f t="shared" si="33"/>
        <v>-1.90000000000623</v>
      </c>
      <c r="BG15" s="137">
        <v>181.54240000000001</v>
      </c>
      <c r="BH15" s="140">
        <f t="shared" si="34"/>
        <v>-0.59999999999149622</v>
      </c>
      <c r="BI15" s="140">
        <f t="shared" si="35"/>
        <v>-2.4999999999977263</v>
      </c>
      <c r="BJ15" s="137">
        <v>181.5421</v>
      </c>
      <c r="BK15" s="140">
        <f t="shared" si="36"/>
        <v>-0.30000000000995897</v>
      </c>
      <c r="BL15" s="140">
        <f t="shared" si="37"/>
        <v>-2.8000000000076852</v>
      </c>
      <c r="BM15" s="137">
        <v>181.54169999999999</v>
      </c>
      <c r="BN15" s="140">
        <f t="shared" si="38"/>
        <v>-0.40000000001327862</v>
      </c>
      <c r="BO15" s="140">
        <f t="shared" si="39"/>
        <v>-3.2000000000209639</v>
      </c>
      <c r="BP15" s="148">
        <v>181.54219999999998</v>
      </c>
      <c r="BQ15" s="140">
        <f t="shared" si="40"/>
        <v>0.49999999998817657</v>
      </c>
      <c r="BR15" s="140">
        <f t="shared" si="41"/>
        <v>-2.7000000000327873</v>
      </c>
      <c r="BS15" s="142">
        <v>181.54179999999997</v>
      </c>
      <c r="BT15" s="140">
        <f t="shared" si="42"/>
        <v>-0.40000000001327862</v>
      </c>
      <c r="BU15" s="140">
        <f t="shared" si="43"/>
        <v>-3.1000000000460659</v>
      </c>
      <c r="BV15" s="142">
        <v>181.54150000000001</v>
      </c>
      <c r="BW15" s="140">
        <f t="shared" si="44"/>
        <v>-0.29999999995311555</v>
      </c>
      <c r="BX15" s="149">
        <f t="shared" si="45"/>
        <v>-3.3999999999991815</v>
      </c>
      <c r="BY15" s="210">
        <f t="shared" si="48"/>
        <v>15</v>
      </c>
      <c r="CA15" s="1"/>
    </row>
    <row r="16" spans="1:79" ht="15.75" x14ac:dyDescent="0.25">
      <c r="A16" s="136">
        <v>16</v>
      </c>
      <c r="B16" s="136">
        <v>180.9676</v>
      </c>
      <c r="C16" s="136">
        <v>0</v>
      </c>
      <c r="D16" s="138">
        <v>0</v>
      </c>
      <c r="E16" s="136">
        <v>180.96729999999999</v>
      </c>
      <c r="F16" s="136">
        <f t="shared" si="46"/>
        <v>-0.30000000000995897</v>
      </c>
      <c r="G16" s="139">
        <f t="shared" si="47"/>
        <v>-0.30000000000995897</v>
      </c>
      <c r="H16" s="136">
        <v>180.9675</v>
      </c>
      <c r="I16" s="136">
        <f t="shared" si="0"/>
        <v>0.20000000000663931</v>
      </c>
      <c r="J16" s="139">
        <f t="shared" si="1"/>
        <v>-0.10000000000331966</v>
      </c>
      <c r="K16" s="136">
        <v>180.9676</v>
      </c>
      <c r="L16" s="136">
        <f t="shared" si="2"/>
        <v>0.10000000000331966</v>
      </c>
      <c r="M16" s="139">
        <f t="shared" si="3"/>
        <v>0</v>
      </c>
      <c r="N16" s="136">
        <v>180.96799999999999</v>
      </c>
      <c r="O16" s="136">
        <f t="shared" si="4"/>
        <v>0.39999999998485691</v>
      </c>
      <c r="P16" s="139">
        <f t="shared" si="5"/>
        <v>0.39999999998485691</v>
      </c>
      <c r="Q16" s="136">
        <v>180.96770000000001</v>
      </c>
      <c r="R16" s="136">
        <f t="shared" si="6"/>
        <v>-0.29999999998153726</v>
      </c>
      <c r="S16" s="139">
        <f t="shared" si="7"/>
        <v>0.10000000000331966</v>
      </c>
      <c r="T16" s="146">
        <v>180.96430000000001</v>
      </c>
      <c r="U16" s="147">
        <f t="shared" si="8"/>
        <v>-3.3999999999991815</v>
      </c>
      <c r="V16" s="144">
        <f t="shared" si="9"/>
        <v>-3.2999999999958618</v>
      </c>
      <c r="W16" s="146">
        <v>180.9648</v>
      </c>
      <c r="X16" s="147">
        <f t="shared" si="10"/>
        <v>0.49999999998817657</v>
      </c>
      <c r="Y16" s="144">
        <f t="shared" si="11"/>
        <v>-2.8000000000076852</v>
      </c>
      <c r="Z16" s="146">
        <v>180.96539999999999</v>
      </c>
      <c r="AA16" s="147">
        <f t="shared" si="12"/>
        <v>0.59999999999149622</v>
      </c>
      <c r="AB16" s="144">
        <f t="shared" si="13"/>
        <v>-2.200000000016189</v>
      </c>
      <c r="AC16" s="146">
        <v>180.9657</v>
      </c>
      <c r="AD16" s="147">
        <f t="shared" si="14"/>
        <v>0.30000000000995897</v>
      </c>
      <c r="AE16" s="144">
        <f t="shared" si="15"/>
        <v>-1.90000000000623</v>
      </c>
      <c r="AF16" s="146">
        <v>180.96600000000001</v>
      </c>
      <c r="AG16" s="147">
        <f t="shared" si="16"/>
        <v>0.30000000000995897</v>
      </c>
      <c r="AH16" s="144">
        <f t="shared" si="17"/>
        <v>-1.5999999999962711</v>
      </c>
      <c r="AI16" s="146">
        <v>180.96539999999999</v>
      </c>
      <c r="AJ16" s="147">
        <f t="shared" si="18"/>
        <v>-0.60000000001991793</v>
      </c>
      <c r="AK16" s="144">
        <f t="shared" si="19"/>
        <v>-2.200000000016189</v>
      </c>
      <c r="AL16" s="146">
        <v>180.9632</v>
      </c>
      <c r="AM16" s="147">
        <f t="shared" si="20"/>
        <v>-2.1999999999877673</v>
      </c>
      <c r="AN16" s="144">
        <f t="shared" si="21"/>
        <v>-4.4000000000039563</v>
      </c>
      <c r="AO16" s="136">
        <v>180.96379999999999</v>
      </c>
      <c r="AP16" s="140">
        <f t="shared" si="22"/>
        <v>0.59999999999149622</v>
      </c>
      <c r="AQ16" s="140">
        <f t="shared" si="23"/>
        <v>-3.8000000000124601</v>
      </c>
      <c r="AR16" s="137">
        <v>180.964</v>
      </c>
      <c r="AS16" s="140">
        <f t="shared" si="24"/>
        <v>0.20000000000663931</v>
      </c>
      <c r="AT16" s="140">
        <f t="shared" si="25"/>
        <v>-3.6000000000058208</v>
      </c>
      <c r="AU16" s="136">
        <v>180.96459999999999</v>
      </c>
      <c r="AV16" s="140">
        <f t="shared" si="26"/>
        <v>0.59999999999149622</v>
      </c>
      <c r="AW16" s="140">
        <f t="shared" si="27"/>
        <v>-3.0000000000143245</v>
      </c>
      <c r="AX16" s="137">
        <v>180.965</v>
      </c>
      <c r="AY16" s="140">
        <f t="shared" si="28"/>
        <v>0.40000000001327862</v>
      </c>
      <c r="AZ16" s="140">
        <f t="shared" si="29"/>
        <v>-2.6000000000010459</v>
      </c>
      <c r="BA16" s="137">
        <v>180.96520000000001</v>
      </c>
      <c r="BB16" s="140">
        <f t="shared" si="30"/>
        <v>0.20000000000663931</v>
      </c>
      <c r="BC16" s="140">
        <f t="shared" si="31"/>
        <v>-2.3999999999944066</v>
      </c>
      <c r="BD16" s="137">
        <v>180.96530000000001</v>
      </c>
      <c r="BE16" s="140">
        <f t="shared" si="32"/>
        <v>0.10000000000331966</v>
      </c>
      <c r="BF16" s="140">
        <f t="shared" si="33"/>
        <v>-2.299999999991087</v>
      </c>
      <c r="BG16" s="137">
        <v>180.965</v>
      </c>
      <c r="BH16" s="140">
        <f t="shared" si="34"/>
        <v>-0.30000000000995897</v>
      </c>
      <c r="BI16" s="140">
        <f t="shared" si="35"/>
        <v>-2.6000000000010459</v>
      </c>
      <c r="BJ16" s="137">
        <v>180.96469999999999</v>
      </c>
      <c r="BK16" s="140">
        <f t="shared" si="36"/>
        <v>-0.30000000000995897</v>
      </c>
      <c r="BL16" s="140">
        <f t="shared" si="37"/>
        <v>-2.9000000000110049</v>
      </c>
      <c r="BM16" s="137">
        <v>180.96519999999998</v>
      </c>
      <c r="BN16" s="140">
        <f t="shared" si="38"/>
        <v>0.49999999998817657</v>
      </c>
      <c r="BO16" s="140">
        <f t="shared" si="39"/>
        <v>-2.4000000000228283</v>
      </c>
      <c r="BP16" s="148">
        <v>180.96509999999998</v>
      </c>
      <c r="BQ16" s="140">
        <f t="shared" si="40"/>
        <v>-0.10000000000331966</v>
      </c>
      <c r="BR16" s="140">
        <f t="shared" si="41"/>
        <v>-2.500000000026148</v>
      </c>
      <c r="BS16" s="142">
        <v>180.96499999999997</v>
      </c>
      <c r="BT16" s="140">
        <f t="shared" si="42"/>
        <v>-0.10000000000331966</v>
      </c>
      <c r="BU16" s="140">
        <f t="shared" si="43"/>
        <v>-2.6000000000294676</v>
      </c>
      <c r="BV16" s="142">
        <v>180.96469999999997</v>
      </c>
      <c r="BW16" s="140">
        <f t="shared" si="44"/>
        <v>-0.30000000000995897</v>
      </c>
      <c r="BX16" s="140">
        <f t="shared" si="45"/>
        <v>-2.9000000000394266</v>
      </c>
      <c r="BY16" s="164">
        <f t="shared" si="48"/>
        <v>16</v>
      </c>
      <c r="CA16" s="1">
        <v>9000</v>
      </c>
    </row>
    <row r="17" spans="1:79" ht="15.75" x14ac:dyDescent="0.25">
      <c r="A17" s="136">
        <v>17</v>
      </c>
      <c r="B17" s="136">
        <v>180.9666</v>
      </c>
      <c r="C17" s="136">
        <v>0</v>
      </c>
      <c r="D17" s="138">
        <v>0</v>
      </c>
      <c r="E17" s="136">
        <v>180.96639999999999</v>
      </c>
      <c r="F17" s="136">
        <f t="shared" si="46"/>
        <v>-0.20000000000663931</v>
      </c>
      <c r="G17" s="139">
        <f t="shared" si="47"/>
        <v>-0.20000000000663931</v>
      </c>
      <c r="H17" s="136">
        <v>180.9667</v>
      </c>
      <c r="I17" s="136">
        <f t="shared" si="0"/>
        <v>0.30000000000995897</v>
      </c>
      <c r="J17" s="139">
        <f t="shared" si="1"/>
        <v>0.10000000000331966</v>
      </c>
      <c r="K17" s="136">
        <v>180.9665</v>
      </c>
      <c r="L17" s="136">
        <f t="shared" si="2"/>
        <v>-0.20000000000663931</v>
      </c>
      <c r="M17" s="139">
        <f t="shared" si="3"/>
        <v>-0.10000000000331966</v>
      </c>
      <c r="N17" s="136">
        <v>180.9666</v>
      </c>
      <c r="O17" s="136">
        <f t="shared" si="4"/>
        <v>0.10000000000331966</v>
      </c>
      <c r="P17" s="139">
        <f t="shared" si="5"/>
        <v>0</v>
      </c>
      <c r="Q17" s="136">
        <v>180.96680000000001</v>
      </c>
      <c r="R17" s="136">
        <f t="shared" si="6"/>
        <v>0.20000000000663931</v>
      </c>
      <c r="S17" s="139">
        <f t="shared" si="7"/>
        <v>0.20000000000663931</v>
      </c>
      <c r="T17" s="146">
        <v>180.96299999999999</v>
      </c>
      <c r="U17" s="147">
        <f t="shared" si="8"/>
        <v>-3.8000000000124601</v>
      </c>
      <c r="V17" s="144">
        <f t="shared" si="9"/>
        <v>-3.6000000000058208</v>
      </c>
      <c r="W17" s="146">
        <v>180.96360000000001</v>
      </c>
      <c r="X17" s="147">
        <f t="shared" si="10"/>
        <v>0.60000000001991793</v>
      </c>
      <c r="Y17" s="144">
        <f t="shared" si="11"/>
        <v>-2.9999999999859028</v>
      </c>
      <c r="Z17" s="146">
        <v>180.964</v>
      </c>
      <c r="AA17" s="147">
        <f t="shared" si="12"/>
        <v>0.39999999998485691</v>
      </c>
      <c r="AB17" s="144">
        <f t="shared" si="13"/>
        <v>-2.6000000000010459</v>
      </c>
      <c r="AC17" s="146">
        <v>180.96459999999999</v>
      </c>
      <c r="AD17" s="147">
        <f t="shared" si="14"/>
        <v>0.59999999999149622</v>
      </c>
      <c r="AE17" s="144">
        <f t="shared" si="15"/>
        <v>-2.0000000000095497</v>
      </c>
      <c r="AF17" s="146">
        <v>180.96520000000001</v>
      </c>
      <c r="AG17" s="147">
        <f t="shared" si="16"/>
        <v>0.60000000001991793</v>
      </c>
      <c r="AH17" s="144">
        <f t="shared" si="17"/>
        <v>-1.3999999999896318</v>
      </c>
      <c r="AI17" s="146">
        <v>180.96440000000001</v>
      </c>
      <c r="AJ17" s="147">
        <f t="shared" si="18"/>
        <v>-0.79999999999813554</v>
      </c>
      <c r="AK17" s="144">
        <f t="shared" si="19"/>
        <v>-2.1999999999877673</v>
      </c>
      <c r="AL17" s="146">
        <v>180.96300000000002</v>
      </c>
      <c r="AM17" s="147">
        <f t="shared" si="20"/>
        <v>-1.3999999999896318</v>
      </c>
      <c r="AN17" s="144">
        <f t="shared" si="21"/>
        <v>-3.5999999999773991</v>
      </c>
      <c r="AO17" s="136">
        <v>180.96350000000001</v>
      </c>
      <c r="AP17" s="140">
        <f t="shared" si="22"/>
        <v>0.49999999998817657</v>
      </c>
      <c r="AQ17" s="140">
        <f t="shared" si="23"/>
        <v>-3.0999999999892225</v>
      </c>
      <c r="AR17" s="137">
        <v>180.964</v>
      </c>
      <c r="AS17" s="140">
        <f t="shared" si="24"/>
        <v>0.49999999998817657</v>
      </c>
      <c r="AT17" s="140">
        <f t="shared" si="25"/>
        <v>-2.6000000000010459</v>
      </c>
      <c r="AU17" s="136">
        <v>180.96379999999999</v>
      </c>
      <c r="AV17" s="140">
        <f t="shared" si="26"/>
        <v>-0.20000000000663931</v>
      </c>
      <c r="AW17" s="140">
        <f t="shared" si="27"/>
        <v>-2.8000000000076852</v>
      </c>
      <c r="AX17" s="137">
        <v>180.964</v>
      </c>
      <c r="AY17" s="140">
        <f t="shared" si="28"/>
        <v>0.20000000000663931</v>
      </c>
      <c r="AZ17" s="140">
        <f t="shared" si="29"/>
        <v>-2.6000000000010459</v>
      </c>
      <c r="BA17" s="137">
        <v>180.96369999999999</v>
      </c>
      <c r="BB17" s="140">
        <f t="shared" si="30"/>
        <v>-0.30000000000995897</v>
      </c>
      <c r="BC17" s="140">
        <f t="shared" si="31"/>
        <v>-2.9000000000110049</v>
      </c>
      <c r="BD17" s="137">
        <v>180.9639</v>
      </c>
      <c r="BE17" s="140">
        <f t="shared" si="32"/>
        <v>0.20000000000663931</v>
      </c>
      <c r="BF17" s="140">
        <f t="shared" si="33"/>
        <v>-2.7000000000043656</v>
      </c>
      <c r="BG17" s="137">
        <v>180.9633</v>
      </c>
      <c r="BH17" s="140">
        <f t="shared" si="34"/>
        <v>-0.59999999999149622</v>
      </c>
      <c r="BI17" s="140">
        <f t="shared" si="35"/>
        <v>-3.2999999999958618</v>
      </c>
      <c r="BJ17" s="137">
        <v>180.96340000000001</v>
      </c>
      <c r="BK17" s="140">
        <f t="shared" si="36"/>
        <v>0.10000000000331966</v>
      </c>
      <c r="BL17" s="140">
        <f t="shared" si="37"/>
        <v>-3.1999999999925421</v>
      </c>
      <c r="BM17" s="137">
        <v>180.96299999999999</v>
      </c>
      <c r="BN17" s="140">
        <f t="shared" si="38"/>
        <v>-0.40000000001327862</v>
      </c>
      <c r="BO17" s="140">
        <f t="shared" si="39"/>
        <v>-3.6000000000058208</v>
      </c>
      <c r="BP17" s="148">
        <v>180.96299999999999</v>
      </c>
      <c r="BQ17" s="140">
        <f t="shared" si="40"/>
        <v>0</v>
      </c>
      <c r="BR17" s="141">
        <f t="shared" si="41"/>
        <v>-3.6000000000058208</v>
      </c>
      <c r="BS17" s="142">
        <v>180.96299999999999</v>
      </c>
      <c r="BT17" s="140">
        <f t="shared" si="42"/>
        <v>0</v>
      </c>
      <c r="BU17" s="141">
        <f t="shared" si="43"/>
        <v>-3.6000000000058208</v>
      </c>
      <c r="BV17" s="142">
        <v>180.9632</v>
      </c>
      <c r="BW17" s="140">
        <f t="shared" si="44"/>
        <v>0.20000000000663931</v>
      </c>
      <c r="BX17" s="149">
        <f t="shared" si="45"/>
        <v>-3.3999999999991815</v>
      </c>
      <c r="BY17" s="164">
        <f t="shared" si="48"/>
        <v>17</v>
      </c>
      <c r="CA17" s="145">
        <f>(BX15-BX14)/CA16</f>
        <v>-2.888888888890051E-4</v>
      </c>
    </row>
    <row r="18" spans="1:79" ht="15.75" x14ac:dyDescent="0.25">
      <c r="A18" s="136">
        <v>18</v>
      </c>
      <c r="B18" s="136">
        <v>181.41980000000001</v>
      </c>
      <c r="C18" s="136">
        <v>0</v>
      </c>
      <c r="D18" s="138">
        <v>0</v>
      </c>
      <c r="E18" s="136">
        <v>181.4195</v>
      </c>
      <c r="F18" s="136">
        <f t="shared" si="46"/>
        <v>-0.30000000000995897</v>
      </c>
      <c r="G18" s="139">
        <f t="shared" si="47"/>
        <v>-0.30000000000995897</v>
      </c>
      <c r="H18" s="136">
        <v>181.4194</v>
      </c>
      <c r="I18" s="136">
        <f t="shared" si="0"/>
        <v>-0.10000000000331966</v>
      </c>
      <c r="J18" s="139">
        <f t="shared" si="1"/>
        <v>-0.40000000001327862</v>
      </c>
      <c r="K18" s="136">
        <v>181.41929999999999</v>
      </c>
      <c r="L18" s="136">
        <f t="shared" si="2"/>
        <v>-0.10000000000331966</v>
      </c>
      <c r="M18" s="139">
        <f t="shared" si="3"/>
        <v>-0.50000000001659828</v>
      </c>
      <c r="N18" s="136">
        <v>181.41919999999999</v>
      </c>
      <c r="O18" s="136">
        <f t="shared" si="4"/>
        <v>-0.10000000000331966</v>
      </c>
      <c r="P18" s="139">
        <f t="shared" si="5"/>
        <v>-0.60000000001991793</v>
      </c>
      <c r="Q18" s="136">
        <v>181.41929999999999</v>
      </c>
      <c r="R18" s="136">
        <f t="shared" si="6"/>
        <v>0.10000000000331966</v>
      </c>
      <c r="S18" s="139">
        <f t="shared" si="7"/>
        <v>-0.50000000001659828</v>
      </c>
      <c r="T18" s="146">
        <v>181.41490000000002</v>
      </c>
      <c r="U18" s="147">
        <f t="shared" si="8"/>
        <v>-4.3999999999755346</v>
      </c>
      <c r="V18" s="144">
        <f t="shared" si="9"/>
        <v>-4.8999999999921329</v>
      </c>
      <c r="W18" s="146">
        <v>181.41380000000001</v>
      </c>
      <c r="X18" s="147">
        <f t="shared" si="10"/>
        <v>-1.1000000000080945</v>
      </c>
      <c r="Y18" s="144">
        <f t="shared" si="11"/>
        <v>-6.0000000000002274</v>
      </c>
      <c r="Z18" s="146">
        <v>181.4143</v>
      </c>
      <c r="AA18" s="147">
        <f t="shared" si="12"/>
        <v>0.49999999998817657</v>
      </c>
      <c r="AB18" s="144">
        <f t="shared" si="13"/>
        <v>-5.5000000000120508</v>
      </c>
      <c r="AC18" s="146">
        <v>181.41480000000001</v>
      </c>
      <c r="AD18" s="147">
        <f t="shared" si="14"/>
        <v>0.50000000001659828</v>
      </c>
      <c r="AE18" s="144">
        <f t="shared" si="15"/>
        <v>-4.9999999999954525</v>
      </c>
      <c r="AF18" s="146">
        <v>181.4152</v>
      </c>
      <c r="AG18" s="147">
        <f t="shared" si="16"/>
        <v>0.39999999998485691</v>
      </c>
      <c r="AH18" s="144">
        <f t="shared" si="17"/>
        <v>-4.6000000000105956</v>
      </c>
      <c r="AI18" s="146">
        <v>181.4145</v>
      </c>
      <c r="AJ18" s="147">
        <f t="shared" si="18"/>
        <v>-0.69999999999481588</v>
      </c>
      <c r="AK18" s="144">
        <f t="shared" si="19"/>
        <v>-5.3000000000054115</v>
      </c>
      <c r="AL18" s="146">
        <v>181.4151</v>
      </c>
      <c r="AM18" s="147">
        <f t="shared" si="20"/>
        <v>0.59999999999149622</v>
      </c>
      <c r="AN18" s="144">
        <f t="shared" si="21"/>
        <v>-4.7000000000139153</v>
      </c>
      <c r="AO18" s="143">
        <v>181.41550000000001</v>
      </c>
      <c r="AP18" s="140">
        <f t="shared" si="22"/>
        <v>0.40000000001327862</v>
      </c>
      <c r="AQ18" s="140">
        <f t="shared" si="23"/>
        <v>-4.3000000000006366</v>
      </c>
      <c r="AR18" s="148">
        <v>181.41579999999999</v>
      </c>
      <c r="AS18" s="140">
        <f t="shared" si="24"/>
        <v>0.29999999998153726</v>
      </c>
      <c r="AT18" s="141">
        <f t="shared" si="25"/>
        <v>-4.0000000000190994</v>
      </c>
      <c r="AU18" s="136">
        <v>181.41589999999999</v>
      </c>
      <c r="AV18" s="140">
        <f t="shared" si="26"/>
        <v>0.10000000000331966</v>
      </c>
      <c r="AW18" s="141">
        <f t="shared" si="27"/>
        <v>-3.9000000000157797</v>
      </c>
      <c r="AX18" s="136">
        <v>181.4161</v>
      </c>
      <c r="AY18" s="140">
        <f t="shared" si="28"/>
        <v>0.20000000000663931</v>
      </c>
      <c r="AZ18" s="141">
        <f t="shared" si="29"/>
        <v>-3.7000000000091404</v>
      </c>
      <c r="BA18" s="136">
        <v>181.41589999999999</v>
      </c>
      <c r="BB18" s="140">
        <f t="shared" si="30"/>
        <v>-0.20000000000663931</v>
      </c>
      <c r="BC18" s="141">
        <f t="shared" si="31"/>
        <v>-3.9000000000157797</v>
      </c>
      <c r="BD18" s="137">
        <v>181.41669999999999</v>
      </c>
      <c r="BE18" s="140">
        <f t="shared" si="32"/>
        <v>0.79999999999813554</v>
      </c>
      <c r="BF18" s="140">
        <f t="shared" si="33"/>
        <v>-3.1000000000176442</v>
      </c>
      <c r="BG18" s="137">
        <v>181.417</v>
      </c>
      <c r="BH18" s="140">
        <f t="shared" si="34"/>
        <v>0.30000000000995897</v>
      </c>
      <c r="BI18" s="140">
        <f t="shared" si="35"/>
        <v>-2.8000000000076852</v>
      </c>
      <c r="BJ18" s="137">
        <v>181.41730000000001</v>
      </c>
      <c r="BK18" s="140">
        <f t="shared" si="36"/>
        <v>0.30000000000995897</v>
      </c>
      <c r="BL18" s="140">
        <f t="shared" si="37"/>
        <v>-2.4999999999977263</v>
      </c>
      <c r="BM18" s="137">
        <v>181.4171</v>
      </c>
      <c r="BN18" s="140">
        <f t="shared" si="38"/>
        <v>-0.20000000000663931</v>
      </c>
      <c r="BO18" s="140">
        <f t="shared" si="39"/>
        <v>-2.7000000000043656</v>
      </c>
      <c r="BP18" s="148">
        <v>181.41720000000001</v>
      </c>
      <c r="BQ18" s="140">
        <f t="shared" si="40"/>
        <v>0.10000000000331966</v>
      </c>
      <c r="BR18" s="140">
        <f t="shared" si="41"/>
        <v>-2.6000000000010459</v>
      </c>
      <c r="BS18" s="142">
        <v>181.4169</v>
      </c>
      <c r="BT18" s="140">
        <f t="shared" si="42"/>
        <v>-0.30000000000995897</v>
      </c>
      <c r="BU18" s="140">
        <f t="shared" si="43"/>
        <v>-2.9000000000110049</v>
      </c>
      <c r="BV18" s="142">
        <v>181.41659999999999</v>
      </c>
      <c r="BW18" s="140">
        <f t="shared" si="44"/>
        <v>-0.30000000000995897</v>
      </c>
      <c r="BX18" s="140">
        <f t="shared" si="45"/>
        <v>-3.2000000000209639</v>
      </c>
      <c r="BY18" s="164">
        <f t="shared" si="48"/>
        <v>18</v>
      </c>
    </row>
    <row r="19" spans="1:79" ht="15.75" x14ac:dyDescent="0.25">
      <c r="A19" s="136">
        <v>19</v>
      </c>
      <c r="B19" s="136">
        <v>181.41470000000001</v>
      </c>
      <c r="C19" s="136">
        <v>0</v>
      </c>
      <c r="D19" s="138">
        <v>0</v>
      </c>
      <c r="E19" s="136">
        <v>181.41419999999999</v>
      </c>
      <c r="F19" s="136">
        <f t="shared" si="46"/>
        <v>-0.50000000001659828</v>
      </c>
      <c r="G19" s="139">
        <f t="shared" si="47"/>
        <v>-0.50000000001659828</v>
      </c>
      <c r="H19" s="136">
        <v>181.4144</v>
      </c>
      <c r="I19" s="136">
        <f t="shared" si="0"/>
        <v>0.20000000000663931</v>
      </c>
      <c r="J19" s="139">
        <f t="shared" si="1"/>
        <v>-0.30000000000995897</v>
      </c>
      <c r="K19" s="136">
        <v>181.41409999999999</v>
      </c>
      <c r="L19" s="136">
        <f t="shared" si="2"/>
        <v>-0.30000000000995897</v>
      </c>
      <c r="M19" s="139">
        <f t="shared" si="3"/>
        <v>-0.60000000001991793</v>
      </c>
      <c r="N19" s="136">
        <v>181.4143</v>
      </c>
      <c r="O19" s="136">
        <f t="shared" si="4"/>
        <v>0.20000000000663931</v>
      </c>
      <c r="P19" s="139">
        <f t="shared" si="5"/>
        <v>-0.40000000001327862</v>
      </c>
      <c r="Q19" s="136">
        <v>181.41419999999999</v>
      </c>
      <c r="R19" s="136">
        <f t="shared" si="6"/>
        <v>-0.10000000000331966</v>
      </c>
      <c r="S19" s="139">
        <f t="shared" si="7"/>
        <v>-0.50000000001659828</v>
      </c>
      <c r="T19" s="146">
        <v>181.41</v>
      </c>
      <c r="U19" s="147">
        <f t="shared" si="8"/>
        <v>-4.199999999997317</v>
      </c>
      <c r="V19" s="144">
        <f t="shared" si="9"/>
        <v>-4.7000000000139153</v>
      </c>
      <c r="W19" s="146">
        <v>181.41050000000001</v>
      </c>
      <c r="X19" s="147">
        <f t="shared" si="10"/>
        <v>0.50000000001659828</v>
      </c>
      <c r="Y19" s="144">
        <f t="shared" si="11"/>
        <v>-4.199999999997317</v>
      </c>
      <c r="Z19" s="146">
        <v>181.4109</v>
      </c>
      <c r="AA19" s="147">
        <f t="shared" si="12"/>
        <v>0.39999999998485691</v>
      </c>
      <c r="AB19" s="144">
        <f t="shared" si="13"/>
        <v>-3.8000000000124601</v>
      </c>
      <c r="AC19" s="146">
        <v>181.41130000000001</v>
      </c>
      <c r="AD19" s="147">
        <f t="shared" si="14"/>
        <v>0.40000000001327862</v>
      </c>
      <c r="AE19" s="144">
        <f t="shared" si="15"/>
        <v>-3.3999999999991815</v>
      </c>
      <c r="AF19" s="146">
        <v>181.41159999999999</v>
      </c>
      <c r="AG19" s="147">
        <f t="shared" si="16"/>
        <v>0.29999999998153726</v>
      </c>
      <c r="AH19" s="144">
        <f t="shared" si="17"/>
        <v>-3.1000000000176442</v>
      </c>
      <c r="AI19" s="146">
        <v>181.41200000000001</v>
      </c>
      <c r="AJ19" s="147">
        <f t="shared" si="18"/>
        <v>0.40000000001327862</v>
      </c>
      <c r="AK19" s="144">
        <f t="shared" si="19"/>
        <v>-2.7000000000043656</v>
      </c>
      <c r="AL19" s="146">
        <v>181.41249999999999</v>
      </c>
      <c r="AM19" s="147">
        <f t="shared" si="20"/>
        <v>0.49999999998817657</v>
      </c>
      <c r="AN19" s="144">
        <f t="shared" si="21"/>
        <v>-2.200000000016189</v>
      </c>
      <c r="AO19" s="143">
        <v>181.41309999999999</v>
      </c>
      <c r="AP19" s="140">
        <f t="shared" si="22"/>
        <v>0.59999999999149622</v>
      </c>
      <c r="AQ19" s="140">
        <f t="shared" si="23"/>
        <v>-1.6000000000246928</v>
      </c>
      <c r="AR19" s="148">
        <v>181.41329999999999</v>
      </c>
      <c r="AS19" s="140">
        <f t="shared" si="24"/>
        <v>0.20000000000663931</v>
      </c>
      <c r="AT19" s="140">
        <f t="shared" si="25"/>
        <v>-1.4000000000180535</v>
      </c>
      <c r="AU19" s="136">
        <v>181.41379999999998</v>
      </c>
      <c r="AV19" s="140">
        <f t="shared" si="26"/>
        <v>0.49999999998817657</v>
      </c>
      <c r="AW19" s="140">
        <f t="shared" si="27"/>
        <v>-0.9000000000298769</v>
      </c>
      <c r="AX19" s="136">
        <v>181.41409999999999</v>
      </c>
      <c r="AY19" s="140">
        <f t="shared" si="28"/>
        <v>0.30000000000995897</v>
      </c>
      <c r="AZ19" s="140">
        <f t="shared" si="29"/>
        <v>-0.60000000001991793</v>
      </c>
      <c r="BA19" s="136">
        <v>181.41419999999999</v>
      </c>
      <c r="BB19" s="140">
        <f t="shared" si="30"/>
        <v>0.10000000000331966</v>
      </c>
      <c r="BC19" s="140">
        <f t="shared" si="31"/>
        <v>-0.50000000001659828</v>
      </c>
      <c r="BD19" s="137">
        <v>181.41379999999998</v>
      </c>
      <c r="BE19" s="140">
        <f t="shared" si="32"/>
        <v>-0.40000000001327862</v>
      </c>
      <c r="BF19" s="140">
        <f t="shared" si="33"/>
        <v>-0.9000000000298769</v>
      </c>
      <c r="BG19" s="137">
        <v>181.41319999999999</v>
      </c>
      <c r="BH19" s="140">
        <f t="shared" si="34"/>
        <v>-0.59999999999149622</v>
      </c>
      <c r="BI19" s="140">
        <f t="shared" si="35"/>
        <v>-1.5000000000213731</v>
      </c>
      <c r="BJ19" s="137">
        <v>181.41309999999999</v>
      </c>
      <c r="BK19" s="140">
        <f t="shared" si="36"/>
        <v>-0.10000000000331966</v>
      </c>
      <c r="BL19" s="140">
        <f t="shared" si="37"/>
        <v>-1.6000000000246928</v>
      </c>
      <c r="BM19" s="137">
        <v>181.41269999999997</v>
      </c>
      <c r="BN19" s="140">
        <f t="shared" si="38"/>
        <v>-0.40000000001327862</v>
      </c>
      <c r="BO19" s="140">
        <f t="shared" si="39"/>
        <v>-2.0000000000379714</v>
      </c>
      <c r="BP19" s="148">
        <v>181.41259999999997</v>
      </c>
      <c r="BQ19" s="140">
        <f t="shared" si="40"/>
        <v>-0.10000000000331966</v>
      </c>
      <c r="BR19" s="140">
        <f t="shared" si="41"/>
        <v>-2.1000000000412911</v>
      </c>
      <c r="BS19" s="142">
        <v>181.41210000000001</v>
      </c>
      <c r="BT19" s="140">
        <f t="shared" si="42"/>
        <v>-0.49999999995975486</v>
      </c>
      <c r="BU19" s="140">
        <f t="shared" si="43"/>
        <v>-2.6000000000010459</v>
      </c>
      <c r="BV19" s="142">
        <v>181.41240000000002</v>
      </c>
      <c r="BW19" s="140">
        <f t="shared" si="44"/>
        <v>0.30000000000995897</v>
      </c>
      <c r="BX19" s="140">
        <f t="shared" si="45"/>
        <v>-2.299999999991087</v>
      </c>
      <c r="BY19" s="164">
        <f t="shared" si="48"/>
        <v>19</v>
      </c>
    </row>
    <row r="20" spans="1:79" ht="15.75" x14ac:dyDescent="0.25">
      <c r="A20" s="136">
        <v>20</v>
      </c>
      <c r="B20" s="136">
        <v>181.42180000000002</v>
      </c>
      <c r="C20" s="136">
        <v>0</v>
      </c>
      <c r="D20" s="138">
        <v>0</v>
      </c>
      <c r="E20" s="136">
        <v>181.42140000000001</v>
      </c>
      <c r="F20" s="136">
        <f t="shared" si="46"/>
        <v>-0.40000000001327862</v>
      </c>
      <c r="G20" s="139">
        <f t="shared" si="47"/>
        <v>-0.40000000001327862</v>
      </c>
      <c r="H20" s="136">
        <v>181.4213</v>
      </c>
      <c r="I20" s="136">
        <f t="shared" si="0"/>
        <v>-0.10000000000331966</v>
      </c>
      <c r="J20" s="139">
        <f t="shared" si="1"/>
        <v>-0.50000000001659828</v>
      </c>
      <c r="K20" s="136">
        <v>181.4212</v>
      </c>
      <c r="L20" s="136">
        <f t="shared" si="2"/>
        <v>-0.10000000000331966</v>
      </c>
      <c r="M20" s="139">
        <f t="shared" si="3"/>
        <v>-0.60000000001991793</v>
      </c>
      <c r="N20" s="136">
        <v>181.4213</v>
      </c>
      <c r="O20" s="136">
        <f t="shared" si="4"/>
        <v>0.10000000000331966</v>
      </c>
      <c r="P20" s="139">
        <f t="shared" si="5"/>
        <v>-0.50000000001659828</v>
      </c>
      <c r="Q20" s="136">
        <v>181.42150000000001</v>
      </c>
      <c r="R20" s="136">
        <f t="shared" si="6"/>
        <v>0.20000000000663931</v>
      </c>
      <c r="S20" s="139">
        <f t="shared" si="7"/>
        <v>-0.30000000000995897</v>
      </c>
      <c r="T20" s="146">
        <v>181.41679999999999</v>
      </c>
      <c r="U20" s="147">
        <f t="shared" si="8"/>
        <v>-4.7000000000139153</v>
      </c>
      <c r="V20" s="144">
        <f t="shared" si="9"/>
        <v>-5.0000000000238742</v>
      </c>
      <c r="W20" s="146">
        <v>181.41720000000001</v>
      </c>
      <c r="X20" s="147">
        <f t="shared" si="10"/>
        <v>0.40000000001327862</v>
      </c>
      <c r="Y20" s="144">
        <f t="shared" si="11"/>
        <v>-4.6000000000105956</v>
      </c>
      <c r="Z20" s="146">
        <v>181.4178</v>
      </c>
      <c r="AA20" s="147">
        <f t="shared" si="12"/>
        <v>0.59999999999149622</v>
      </c>
      <c r="AB20" s="144">
        <f t="shared" si="13"/>
        <v>-4.0000000000190994</v>
      </c>
      <c r="AC20" s="146">
        <v>181.4177</v>
      </c>
      <c r="AD20" s="147">
        <f t="shared" si="14"/>
        <v>-0.10000000000331966</v>
      </c>
      <c r="AE20" s="144">
        <f t="shared" si="15"/>
        <v>-4.100000000022419</v>
      </c>
      <c r="AF20" s="146">
        <v>181.41820000000001</v>
      </c>
      <c r="AG20" s="147">
        <f t="shared" si="16"/>
        <v>0.50000000001659828</v>
      </c>
      <c r="AH20" s="144">
        <f t="shared" si="17"/>
        <v>-3.6000000000058208</v>
      </c>
      <c r="AI20" s="146">
        <v>181.4178</v>
      </c>
      <c r="AJ20" s="147">
        <f t="shared" si="18"/>
        <v>-0.40000000001327862</v>
      </c>
      <c r="AK20" s="144">
        <f t="shared" si="19"/>
        <v>-4.0000000000190994</v>
      </c>
      <c r="AL20" s="146">
        <v>181.41820000000001</v>
      </c>
      <c r="AM20" s="147">
        <f t="shared" si="20"/>
        <v>0.40000000001327862</v>
      </c>
      <c r="AN20" s="144">
        <f t="shared" si="21"/>
        <v>-3.6000000000058208</v>
      </c>
      <c r="AO20" s="136">
        <v>181.4186</v>
      </c>
      <c r="AP20" s="140">
        <f t="shared" si="22"/>
        <v>0.39999999998485691</v>
      </c>
      <c r="AQ20" s="140">
        <f t="shared" si="23"/>
        <v>-3.2000000000209639</v>
      </c>
      <c r="AR20" s="137">
        <v>181.41900000000001</v>
      </c>
      <c r="AS20" s="140">
        <f t="shared" si="24"/>
        <v>0.40000000001327862</v>
      </c>
      <c r="AT20" s="140">
        <f t="shared" si="25"/>
        <v>-2.8000000000076852</v>
      </c>
      <c r="AU20" s="136">
        <v>181.4195</v>
      </c>
      <c r="AV20" s="140">
        <f t="shared" si="26"/>
        <v>0.49999999998817657</v>
      </c>
      <c r="AW20" s="140">
        <f t="shared" si="27"/>
        <v>-2.3000000000195087</v>
      </c>
      <c r="AX20" s="136">
        <v>181.41990000000001</v>
      </c>
      <c r="AY20" s="140">
        <f t="shared" si="28"/>
        <v>0.40000000001327862</v>
      </c>
      <c r="AZ20" s="140">
        <f t="shared" si="29"/>
        <v>-1.90000000000623</v>
      </c>
      <c r="BA20" s="136">
        <v>181.4195</v>
      </c>
      <c r="BB20" s="140">
        <f t="shared" si="30"/>
        <v>-0.40000000001327862</v>
      </c>
      <c r="BC20" s="140">
        <f t="shared" si="31"/>
        <v>-2.3000000000195087</v>
      </c>
      <c r="BD20" s="137">
        <v>181.41919999999999</v>
      </c>
      <c r="BE20" s="140">
        <f t="shared" si="32"/>
        <v>-0.30000000000995897</v>
      </c>
      <c r="BF20" s="140">
        <f t="shared" si="33"/>
        <v>-2.6000000000294676</v>
      </c>
      <c r="BG20" s="137">
        <v>181.4195</v>
      </c>
      <c r="BH20" s="140">
        <f t="shared" si="34"/>
        <v>0.30000000000995897</v>
      </c>
      <c r="BI20" s="140">
        <f t="shared" si="35"/>
        <v>-2.3000000000195087</v>
      </c>
      <c r="BJ20" s="137">
        <v>181.41980000000001</v>
      </c>
      <c r="BK20" s="140">
        <f t="shared" si="36"/>
        <v>0.30000000000995897</v>
      </c>
      <c r="BL20" s="140">
        <f t="shared" si="37"/>
        <v>-2.0000000000095497</v>
      </c>
      <c r="BM20" s="137">
        <v>181.41970000000001</v>
      </c>
      <c r="BN20" s="140">
        <f t="shared" si="38"/>
        <v>-0.10000000000331966</v>
      </c>
      <c r="BO20" s="140">
        <f t="shared" si="39"/>
        <v>-2.1000000000128694</v>
      </c>
      <c r="BP20" s="148">
        <v>181.41970000000001</v>
      </c>
      <c r="BQ20" s="140">
        <f t="shared" si="40"/>
        <v>0</v>
      </c>
      <c r="BR20" s="140">
        <f t="shared" si="41"/>
        <v>-2.1000000000128694</v>
      </c>
      <c r="BS20" s="142">
        <v>181.41990000000001</v>
      </c>
      <c r="BT20" s="140">
        <f t="shared" si="42"/>
        <v>0.20000000000663931</v>
      </c>
      <c r="BU20" s="140">
        <f t="shared" si="43"/>
        <v>-1.90000000000623</v>
      </c>
      <c r="BV20" s="142">
        <v>181.42020000000002</v>
      </c>
      <c r="BW20" s="140">
        <f t="shared" si="44"/>
        <v>0.30000000000995897</v>
      </c>
      <c r="BX20" s="140">
        <f t="shared" si="45"/>
        <v>-1.5999999999962711</v>
      </c>
      <c r="BY20" s="164">
        <f t="shared" si="48"/>
        <v>20</v>
      </c>
    </row>
    <row r="21" spans="1:79" ht="15.75" x14ac:dyDescent="0.25">
      <c r="A21" s="136">
        <v>21</v>
      </c>
      <c r="B21" s="136">
        <v>181.10850000000002</v>
      </c>
      <c r="C21" s="136">
        <v>0</v>
      </c>
      <c r="D21" s="138">
        <v>0</v>
      </c>
      <c r="E21" s="136">
        <v>181.10820000000001</v>
      </c>
      <c r="F21" s="136">
        <f t="shared" si="46"/>
        <v>-0.30000000000995897</v>
      </c>
      <c r="G21" s="139">
        <f t="shared" si="47"/>
        <v>-0.30000000000995897</v>
      </c>
      <c r="H21" s="136">
        <v>181.10839999999999</v>
      </c>
      <c r="I21" s="136">
        <f t="shared" si="0"/>
        <v>0.1999999999782176</v>
      </c>
      <c r="J21" s="139">
        <f t="shared" si="1"/>
        <v>-0.10000000003174137</v>
      </c>
      <c r="K21" s="136">
        <v>181.1079</v>
      </c>
      <c r="L21" s="136">
        <f t="shared" si="2"/>
        <v>-0.49999999998817657</v>
      </c>
      <c r="M21" s="139">
        <f t="shared" si="3"/>
        <v>-0.60000000001991793</v>
      </c>
      <c r="N21" s="136">
        <v>181.10820000000001</v>
      </c>
      <c r="O21" s="136">
        <f t="shared" si="4"/>
        <v>0.30000000000995897</v>
      </c>
      <c r="P21" s="139">
        <f t="shared" si="5"/>
        <v>-0.30000000000995897</v>
      </c>
      <c r="Q21" s="136">
        <v>181.10830000000001</v>
      </c>
      <c r="R21" s="136">
        <f t="shared" si="6"/>
        <v>0.10000000000331966</v>
      </c>
      <c r="S21" s="139">
        <f t="shared" si="7"/>
        <v>-0.20000000000663931</v>
      </c>
      <c r="T21" s="146">
        <v>181.1035</v>
      </c>
      <c r="U21" s="147">
        <f t="shared" si="8"/>
        <v>-4.8000000000172349</v>
      </c>
      <c r="V21" s="144">
        <f t="shared" si="9"/>
        <v>-5.0000000000238742</v>
      </c>
      <c r="W21" s="146">
        <v>181.10409999999999</v>
      </c>
      <c r="X21" s="147">
        <f t="shared" si="10"/>
        <v>0.59999999999149622</v>
      </c>
      <c r="Y21" s="144">
        <f t="shared" si="11"/>
        <v>-4.400000000032378</v>
      </c>
      <c r="Z21" s="146">
        <v>181.1046</v>
      </c>
      <c r="AA21" s="147">
        <f t="shared" si="12"/>
        <v>0.50000000001659828</v>
      </c>
      <c r="AB21" s="144">
        <f t="shared" si="13"/>
        <v>-3.9000000000157797</v>
      </c>
      <c r="AC21" s="146">
        <v>181.10489999999999</v>
      </c>
      <c r="AD21" s="147">
        <f t="shared" si="14"/>
        <v>0.29999999998153726</v>
      </c>
      <c r="AE21" s="144">
        <f t="shared" si="15"/>
        <v>-3.6000000000342425</v>
      </c>
      <c r="AF21" s="146">
        <v>181.1053</v>
      </c>
      <c r="AG21" s="147">
        <f t="shared" si="16"/>
        <v>0.40000000001327862</v>
      </c>
      <c r="AH21" s="144">
        <f t="shared" si="17"/>
        <v>-3.2000000000209639</v>
      </c>
      <c r="AI21" s="146">
        <v>181.10499999999999</v>
      </c>
      <c r="AJ21" s="147">
        <f t="shared" si="18"/>
        <v>-0.30000000000995897</v>
      </c>
      <c r="AK21" s="144">
        <f t="shared" si="19"/>
        <v>-3.5000000000309228</v>
      </c>
      <c r="AL21" s="146">
        <v>181.1052</v>
      </c>
      <c r="AM21" s="147">
        <f t="shared" si="20"/>
        <v>0.20000000000663931</v>
      </c>
      <c r="AN21" s="144">
        <f t="shared" si="21"/>
        <v>-3.3000000000242835</v>
      </c>
      <c r="AO21" s="136">
        <v>181.10570000000001</v>
      </c>
      <c r="AP21" s="140">
        <f t="shared" si="22"/>
        <v>0.50000000001659828</v>
      </c>
      <c r="AQ21" s="140">
        <f t="shared" si="23"/>
        <v>-2.8000000000076852</v>
      </c>
      <c r="AR21" s="137">
        <v>181.10599999999999</v>
      </c>
      <c r="AS21" s="140">
        <f t="shared" si="24"/>
        <v>0.29999999998153726</v>
      </c>
      <c r="AT21" s="140">
        <f t="shared" si="25"/>
        <v>-2.500000000026148</v>
      </c>
      <c r="AU21" s="136">
        <v>181.1061</v>
      </c>
      <c r="AV21" s="140">
        <f t="shared" si="26"/>
        <v>0.10000000000331966</v>
      </c>
      <c r="AW21" s="140">
        <f t="shared" si="27"/>
        <v>-2.4000000000228283</v>
      </c>
      <c r="AX21" s="136">
        <v>181.1063</v>
      </c>
      <c r="AY21" s="140">
        <f t="shared" si="28"/>
        <v>0.20000000000663931</v>
      </c>
      <c r="AZ21" s="140">
        <f t="shared" si="29"/>
        <v>-2.200000000016189</v>
      </c>
      <c r="BA21" s="136">
        <v>181.10650000000001</v>
      </c>
      <c r="BB21" s="140">
        <f t="shared" si="30"/>
        <v>0.20000000000663931</v>
      </c>
      <c r="BC21" s="140">
        <f t="shared" si="31"/>
        <v>-2.0000000000095497</v>
      </c>
      <c r="BD21" s="137">
        <v>181.1063</v>
      </c>
      <c r="BE21" s="140">
        <f t="shared" si="32"/>
        <v>-0.20000000000663931</v>
      </c>
      <c r="BF21" s="140">
        <f t="shared" si="33"/>
        <v>-2.200000000016189</v>
      </c>
      <c r="BG21" s="137">
        <v>181.10589999999999</v>
      </c>
      <c r="BH21" s="140">
        <f t="shared" si="34"/>
        <v>-0.40000000001327862</v>
      </c>
      <c r="BI21" s="140">
        <f t="shared" si="35"/>
        <v>-2.6000000000294676</v>
      </c>
      <c r="BJ21" s="137">
        <v>181.10569999999998</v>
      </c>
      <c r="BK21" s="140">
        <f t="shared" si="36"/>
        <v>-0.20000000000663931</v>
      </c>
      <c r="BL21" s="140">
        <f t="shared" si="37"/>
        <v>-2.8000000000361069</v>
      </c>
      <c r="BM21" s="137">
        <v>181.10549999999998</v>
      </c>
      <c r="BN21" s="140">
        <f t="shared" si="38"/>
        <v>-0.20000000000663931</v>
      </c>
      <c r="BO21" s="140">
        <f t="shared" si="39"/>
        <v>-3.0000000000427463</v>
      </c>
      <c r="BP21" s="148">
        <v>181.10579999999999</v>
      </c>
      <c r="BQ21" s="140">
        <f t="shared" si="40"/>
        <v>0.30000000000995897</v>
      </c>
      <c r="BR21" s="140">
        <f t="shared" si="41"/>
        <v>-2.7000000000327873</v>
      </c>
      <c r="BS21" s="142">
        <v>181.10539999999997</v>
      </c>
      <c r="BT21" s="140">
        <f t="shared" si="42"/>
        <v>-0.40000000001327862</v>
      </c>
      <c r="BU21" s="140">
        <f t="shared" si="43"/>
        <v>-3.1000000000460659</v>
      </c>
      <c r="BV21" s="142">
        <v>181.10509999999996</v>
      </c>
      <c r="BW21" s="140">
        <f t="shared" si="44"/>
        <v>-0.30000000000995897</v>
      </c>
      <c r="BX21" s="149">
        <f t="shared" si="45"/>
        <v>-3.4000000000560249</v>
      </c>
      <c r="BY21" s="164">
        <f t="shared" si="48"/>
        <v>21</v>
      </c>
    </row>
    <row r="22" spans="1:79" ht="15.75" x14ac:dyDescent="0.25">
      <c r="A22" s="136">
        <v>22</v>
      </c>
      <c r="B22" s="136">
        <v>180.71450000000002</v>
      </c>
      <c r="C22" s="136">
        <v>0</v>
      </c>
      <c r="D22" s="138">
        <v>0</v>
      </c>
      <c r="E22" s="136">
        <v>180.71440000000001</v>
      </c>
      <c r="F22" s="136">
        <f t="shared" si="46"/>
        <v>-0.10000000000331966</v>
      </c>
      <c r="G22" s="139">
        <f t="shared" si="47"/>
        <v>-0.10000000000331966</v>
      </c>
      <c r="H22" s="136">
        <v>180.71449999999999</v>
      </c>
      <c r="I22" s="136">
        <f t="shared" si="0"/>
        <v>9.9999999974897946E-2</v>
      </c>
      <c r="J22" s="139">
        <f t="shared" si="1"/>
        <v>-2.8421709430404007E-11</v>
      </c>
      <c r="K22" s="136">
        <v>180.71440000000001</v>
      </c>
      <c r="L22" s="136">
        <f t="shared" si="2"/>
        <v>-9.9999999974897946E-2</v>
      </c>
      <c r="M22" s="139">
        <f t="shared" si="3"/>
        <v>-0.10000000000331966</v>
      </c>
      <c r="N22" s="136">
        <v>180.71449999999999</v>
      </c>
      <c r="O22" s="136">
        <f t="shared" si="4"/>
        <v>9.9999999974897946E-2</v>
      </c>
      <c r="P22" s="139">
        <f t="shared" si="5"/>
        <v>-2.8421709430404007E-11</v>
      </c>
      <c r="Q22" s="136">
        <v>180.71440000000001</v>
      </c>
      <c r="R22" s="136">
        <f t="shared" si="6"/>
        <v>-9.9999999974897946E-2</v>
      </c>
      <c r="S22" s="139">
        <f t="shared" si="7"/>
        <v>-0.10000000000331966</v>
      </c>
      <c r="T22" s="146">
        <v>180.70850000000002</v>
      </c>
      <c r="U22" s="147">
        <f t="shared" si="8"/>
        <v>-5.8999999999969077</v>
      </c>
      <c r="V22" s="144">
        <f t="shared" si="9"/>
        <v>-6.0000000000002274</v>
      </c>
      <c r="W22" s="146">
        <v>180.709</v>
      </c>
      <c r="X22" s="147">
        <f t="shared" si="10"/>
        <v>0.49999999998817657</v>
      </c>
      <c r="Y22" s="144">
        <f t="shared" si="11"/>
        <v>-5.5000000000120508</v>
      </c>
      <c r="Z22" s="146">
        <v>180.70939999999999</v>
      </c>
      <c r="AA22" s="147">
        <f t="shared" si="12"/>
        <v>0.39999999998485691</v>
      </c>
      <c r="AB22" s="144">
        <f t="shared" si="13"/>
        <v>-5.1000000000271939</v>
      </c>
      <c r="AC22" s="146">
        <v>180.70959999999999</v>
      </c>
      <c r="AD22" s="147">
        <f t="shared" si="14"/>
        <v>0.20000000000663931</v>
      </c>
      <c r="AE22" s="144">
        <f t="shared" si="15"/>
        <v>-4.9000000000205546</v>
      </c>
      <c r="AF22" s="146">
        <v>180.7099</v>
      </c>
      <c r="AG22" s="147">
        <f t="shared" si="16"/>
        <v>0.30000000000995897</v>
      </c>
      <c r="AH22" s="144">
        <f t="shared" si="17"/>
        <v>-4.6000000000105956</v>
      </c>
      <c r="AI22" s="146">
        <v>180.7097</v>
      </c>
      <c r="AJ22" s="147">
        <f t="shared" si="18"/>
        <v>-0.20000000000663931</v>
      </c>
      <c r="AK22" s="144">
        <f t="shared" si="19"/>
        <v>-4.8000000000172349</v>
      </c>
      <c r="AL22" s="146">
        <v>180.71</v>
      </c>
      <c r="AM22" s="147">
        <f t="shared" si="20"/>
        <v>0.30000000000995897</v>
      </c>
      <c r="AN22" s="144">
        <f t="shared" si="21"/>
        <v>-4.500000000007276</v>
      </c>
      <c r="AO22" s="136">
        <v>180.71029999999999</v>
      </c>
      <c r="AP22" s="140">
        <f t="shared" si="22"/>
        <v>0.29999999998153726</v>
      </c>
      <c r="AQ22" s="140">
        <f t="shared" si="23"/>
        <v>-4.2000000000257387</v>
      </c>
      <c r="AR22" s="137">
        <v>180.7105</v>
      </c>
      <c r="AS22" s="140">
        <f t="shared" si="24"/>
        <v>0.20000000000663931</v>
      </c>
      <c r="AT22" s="141">
        <f t="shared" si="25"/>
        <v>-4.0000000000190994</v>
      </c>
      <c r="AU22" s="136">
        <v>180.71080000000001</v>
      </c>
      <c r="AV22" s="140">
        <f t="shared" si="26"/>
        <v>0.30000000000995897</v>
      </c>
      <c r="AW22" s="140">
        <f t="shared" si="27"/>
        <v>-3.7000000000091404</v>
      </c>
      <c r="AX22" s="136">
        <v>180.71129999999999</v>
      </c>
      <c r="AY22" s="140">
        <f t="shared" si="28"/>
        <v>0.49999999998817657</v>
      </c>
      <c r="AZ22" s="140">
        <f t="shared" si="29"/>
        <v>-3.2000000000209639</v>
      </c>
      <c r="BA22" s="136">
        <v>180.7116</v>
      </c>
      <c r="BB22" s="140">
        <f t="shared" si="30"/>
        <v>0.30000000000995897</v>
      </c>
      <c r="BC22" s="140">
        <f t="shared" si="31"/>
        <v>-2.9000000000110049</v>
      </c>
      <c r="BD22" s="137">
        <v>180.71109999999999</v>
      </c>
      <c r="BE22" s="140">
        <f t="shared" si="32"/>
        <v>-0.50000000001659828</v>
      </c>
      <c r="BF22" s="165">
        <f t="shared" si="33"/>
        <v>-3.4000000000276032</v>
      </c>
      <c r="BG22" s="137">
        <v>180.71079999999998</v>
      </c>
      <c r="BH22" s="166">
        <f t="shared" si="34"/>
        <v>-0.30000000000995897</v>
      </c>
      <c r="BI22" s="165">
        <f t="shared" si="35"/>
        <v>-3.7000000000375621</v>
      </c>
      <c r="BJ22" s="137">
        <v>180.71019999999999</v>
      </c>
      <c r="BK22" s="166">
        <f t="shared" si="36"/>
        <v>-0.59999999999149622</v>
      </c>
      <c r="BL22" s="141">
        <f t="shared" si="37"/>
        <v>-4.3000000000290584</v>
      </c>
      <c r="BM22" s="137">
        <v>180.7105</v>
      </c>
      <c r="BN22" s="166">
        <f t="shared" si="38"/>
        <v>0.30000000000995897</v>
      </c>
      <c r="BO22" s="141">
        <f t="shared" si="39"/>
        <v>-4.0000000000190994</v>
      </c>
      <c r="BP22" s="148">
        <v>180.71099999999998</v>
      </c>
      <c r="BQ22" s="140">
        <f t="shared" si="40"/>
        <v>0.49999999998817657</v>
      </c>
      <c r="BR22" s="140">
        <f t="shared" si="41"/>
        <v>-3.5000000000309228</v>
      </c>
      <c r="BS22" s="142">
        <v>180.71119999999999</v>
      </c>
      <c r="BT22" s="140">
        <f t="shared" si="42"/>
        <v>0.20000000000663931</v>
      </c>
      <c r="BU22" s="140">
        <f t="shared" si="43"/>
        <v>-3.3000000000242835</v>
      </c>
      <c r="BV22" s="142">
        <v>180.7114</v>
      </c>
      <c r="BW22" s="140">
        <f t="shared" si="44"/>
        <v>0.20000000000663931</v>
      </c>
      <c r="BX22" s="140">
        <f t="shared" si="45"/>
        <v>-3.1000000000176442</v>
      </c>
      <c r="BY22" s="164">
        <f t="shared" si="48"/>
        <v>22</v>
      </c>
    </row>
    <row r="23" spans="1:79" ht="15.75" x14ac:dyDescent="0.25">
      <c r="A23" s="136">
        <v>23</v>
      </c>
      <c r="B23" s="136">
        <v>180.65180000000001</v>
      </c>
      <c r="C23" s="136">
        <v>0</v>
      </c>
      <c r="D23" s="138">
        <v>0</v>
      </c>
      <c r="E23" s="136">
        <v>180.6515</v>
      </c>
      <c r="F23" s="136">
        <f t="shared" si="46"/>
        <v>-0.30000000000995897</v>
      </c>
      <c r="G23" s="139">
        <f t="shared" si="47"/>
        <v>-0.30000000000995897</v>
      </c>
      <c r="H23" s="136">
        <v>180.65170000000001</v>
      </c>
      <c r="I23" s="136">
        <f t="shared" si="0"/>
        <v>0.20000000000663931</v>
      </c>
      <c r="J23" s="139">
        <f t="shared" si="1"/>
        <v>-0.10000000000331966</v>
      </c>
      <c r="K23" s="136">
        <v>180.6515</v>
      </c>
      <c r="L23" s="136">
        <f t="shared" si="2"/>
        <v>-0.20000000000663931</v>
      </c>
      <c r="M23" s="139">
        <f t="shared" si="3"/>
        <v>-0.30000000000995897</v>
      </c>
      <c r="N23" s="136">
        <v>180.65170000000001</v>
      </c>
      <c r="O23" s="136">
        <f t="shared" si="4"/>
        <v>0.20000000000663931</v>
      </c>
      <c r="P23" s="139">
        <f t="shared" si="5"/>
        <v>-0.10000000000331966</v>
      </c>
      <c r="Q23" s="136">
        <v>180.65190000000001</v>
      </c>
      <c r="R23" s="136">
        <f t="shared" si="6"/>
        <v>0.20000000000663931</v>
      </c>
      <c r="S23" s="139">
        <f t="shared" si="7"/>
        <v>0.10000000000331966</v>
      </c>
      <c r="T23" s="146">
        <v>180.64699999999999</v>
      </c>
      <c r="U23" s="147">
        <f t="shared" si="8"/>
        <v>-4.9000000000205546</v>
      </c>
      <c r="V23" s="144">
        <f t="shared" si="9"/>
        <v>-4.8000000000172349</v>
      </c>
      <c r="W23" s="146">
        <v>180.64760000000001</v>
      </c>
      <c r="X23" s="147">
        <f t="shared" si="10"/>
        <v>0.60000000001991793</v>
      </c>
      <c r="Y23" s="144">
        <f t="shared" si="11"/>
        <v>-4.199999999997317</v>
      </c>
      <c r="Z23" s="146">
        <v>180.6482</v>
      </c>
      <c r="AA23" s="147">
        <f t="shared" si="12"/>
        <v>0.59999999999149622</v>
      </c>
      <c r="AB23" s="144">
        <f t="shared" si="13"/>
        <v>-3.6000000000058208</v>
      </c>
      <c r="AC23" s="146">
        <v>180.64850000000001</v>
      </c>
      <c r="AD23" s="147">
        <f t="shared" si="14"/>
        <v>0.30000000000995897</v>
      </c>
      <c r="AE23" s="144">
        <f t="shared" si="15"/>
        <v>-3.2999999999958618</v>
      </c>
      <c r="AF23" s="146">
        <v>180.64869999999999</v>
      </c>
      <c r="AG23" s="147">
        <f t="shared" si="16"/>
        <v>0.1999999999782176</v>
      </c>
      <c r="AH23" s="144">
        <f t="shared" si="17"/>
        <v>-3.1000000000176442</v>
      </c>
      <c r="AI23" s="146">
        <v>180.64859999999999</v>
      </c>
      <c r="AJ23" s="147">
        <f t="shared" si="18"/>
        <v>-0.10000000000331966</v>
      </c>
      <c r="AK23" s="144">
        <f t="shared" si="19"/>
        <v>-3.2000000000209639</v>
      </c>
      <c r="AL23" s="146">
        <v>180.64869999999999</v>
      </c>
      <c r="AM23" s="147">
        <f t="shared" si="20"/>
        <v>0.10000000000331966</v>
      </c>
      <c r="AN23" s="144">
        <f t="shared" si="21"/>
        <v>-3.1000000000176442</v>
      </c>
      <c r="AO23" s="136">
        <v>180.64930000000001</v>
      </c>
      <c r="AP23" s="140">
        <f t="shared" si="22"/>
        <v>0.60000000001991793</v>
      </c>
      <c r="AQ23" s="140">
        <f t="shared" si="23"/>
        <v>-2.4999999999977263</v>
      </c>
      <c r="AR23" s="137">
        <v>180.6498</v>
      </c>
      <c r="AS23" s="140">
        <f t="shared" si="24"/>
        <v>0.49999999998817657</v>
      </c>
      <c r="AT23" s="140">
        <f t="shared" si="25"/>
        <v>-2.0000000000095497</v>
      </c>
      <c r="AU23" s="136">
        <v>180.65020000000001</v>
      </c>
      <c r="AV23" s="140">
        <f t="shared" si="26"/>
        <v>0.40000000001327862</v>
      </c>
      <c r="AW23" s="140">
        <f t="shared" si="27"/>
        <v>-1.5999999999962711</v>
      </c>
      <c r="AX23" s="136">
        <v>180.65049999999999</v>
      </c>
      <c r="AY23" s="140">
        <f t="shared" si="28"/>
        <v>0.29999999998153726</v>
      </c>
      <c r="AZ23" s="140">
        <f t="shared" si="29"/>
        <v>-1.3000000000147338</v>
      </c>
      <c r="BA23" s="136">
        <v>180.65019999999998</v>
      </c>
      <c r="BB23" s="140">
        <f t="shared" si="30"/>
        <v>-0.30000000000995897</v>
      </c>
      <c r="BC23" s="140">
        <f t="shared" si="31"/>
        <v>-1.6000000000246928</v>
      </c>
      <c r="BD23" s="137">
        <v>180.6506</v>
      </c>
      <c r="BE23" s="140">
        <f t="shared" si="32"/>
        <v>0.40000000001327862</v>
      </c>
      <c r="BF23" s="166">
        <f t="shared" si="33"/>
        <v>-1.2000000000114142</v>
      </c>
      <c r="BG23" s="137">
        <v>180.6506</v>
      </c>
      <c r="BH23" s="166">
        <f t="shared" si="34"/>
        <v>0</v>
      </c>
      <c r="BI23" s="166">
        <f t="shared" si="35"/>
        <v>-1.2000000000114142</v>
      </c>
      <c r="BJ23" s="137">
        <v>180.65010000000001</v>
      </c>
      <c r="BK23" s="166">
        <f t="shared" si="36"/>
        <v>-0.49999999998817657</v>
      </c>
      <c r="BL23" s="140">
        <f t="shared" si="37"/>
        <v>-1.6999999999995907</v>
      </c>
      <c r="BM23" s="137">
        <v>180.65020000000001</v>
      </c>
      <c r="BN23" s="166">
        <f t="shared" si="38"/>
        <v>0.10000000000331966</v>
      </c>
      <c r="BO23" s="140">
        <f t="shared" si="39"/>
        <v>-1.5999999999962711</v>
      </c>
      <c r="BP23" s="148">
        <v>180.65030000000002</v>
      </c>
      <c r="BQ23" s="140">
        <f t="shared" si="40"/>
        <v>0.10000000000331966</v>
      </c>
      <c r="BR23" s="140">
        <f t="shared" si="41"/>
        <v>-1.4999999999929514</v>
      </c>
      <c r="BS23" s="142">
        <v>180.65030000000002</v>
      </c>
      <c r="BT23" s="140">
        <f t="shared" si="42"/>
        <v>0</v>
      </c>
      <c r="BU23" s="140">
        <f t="shared" si="43"/>
        <v>-1.4999999999929514</v>
      </c>
      <c r="BV23" s="142">
        <v>180.6507</v>
      </c>
      <c r="BW23" s="140">
        <f t="shared" si="44"/>
        <v>0.39999999998485691</v>
      </c>
      <c r="BX23" s="140">
        <f t="shared" si="45"/>
        <v>-1.1000000000080945</v>
      </c>
      <c r="BY23" s="164">
        <f t="shared" si="48"/>
        <v>23</v>
      </c>
    </row>
    <row r="26" spans="1:79" x14ac:dyDescent="0.25">
      <c r="B26" s="161"/>
      <c r="C26" s="161"/>
      <c r="D26" s="161"/>
      <c r="E26" s="161"/>
      <c r="F26" s="161"/>
      <c r="G26" s="161"/>
      <c r="H26" s="161"/>
      <c r="I26" s="161"/>
      <c r="J26" s="161"/>
      <c r="K26" s="161"/>
      <c r="L26" s="161"/>
      <c r="M26" s="161"/>
      <c r="N26" s="161"/>
      <c r="O26" s="161"/>
      <c r="P26" s="161"/>
      <c r="Q26" s="161"/>
      <c r="R26" s="161"/>
      <c r="S26" s="161"/>
      <c r="T26" s="161"/>
      <c r="U26" s="161"/>
      <c r="V26" s="161"/>
      <c r="W26" s="161"/>
      <c r="X26" s="161"/>
      <c r="Y26" s="161"/>
      <c r="Z26" s="161"/>
      <c r="AA26" s="161"/>
      <c r="AB26" s="161"/>
      <c r="AC26" s="161"/>
      <c r="AD26" s="161"/>
      <c r="AE26" s="161"/>
      <c r="AF26" s="161"/>
      <c r="AG26" s="161"/>
      <c r="AH26" s="161"/>
      <c r="AI26" s="161"/>
      <c r="AJ26" s="161"/>
      <c r="AK26" s="161"/>
      <c r="AL26" s="161"/>
      <c r="AM26" s="161"/>
      <c r="AN26" s="161"/>
      <c r="AO26" s="161"/>
      <c r="AP26" s="161"/>
      <c r="AQ26" s="161"/>
      <c r="AR26" s="161"/>
      <c r="AS26" s="161"/>
      <c r="AT26" s="161"/>
      <c r="AU26" s="161"/>
      <c r="AV26" s="161"/>
      <c r="AW26" s="161"/>
      <c r="AX26" s="161"/>
      <c r="AY26" s="161"/>
      <c r="AZ26" s="161"/>
      <c r="BA26" s="161"/>
      <c r="BB26" s="161"/>
      <c r="BC26" s="161"/>
      <c r="BD26" s="161"/>
      <c r="BE26" s="161"/>
      <c r="BF26" s="161"/>
      <c r="BG26" s="161"/>
      <c r="BH26" s="161"/>
      <c r="BI26" s="161"/>
      <c r="BJ26" s="161"/>
      <c r="BK26" s="161"/>
      <c r="BL26" s="161"/>
      <c r="BM26" s="161"/>
      <c r="BN26" s="161"/>
      <c r="BO26" s="161"/>
      <c r="BP26" s="161"/>
      <c r="BQ26" s="161"/>
      <c r="BR26" s="161"/>
      <c r="BS26" s="161"/>
      <c r="BT26" s="161"/>
      <c r="BU26" s="161"/>
      <c r="BV26" s="161"/>
      <c r="BW26" s="161"/>
      <c r="BX26" s="161"/>
      <c r="BY26" s="161" t="s">
        <v>75</v>
      </c>
    </row>
    <row r="27" spans="1:79" ht="15.75" x14ac:dyDescent="0.25">
      <c r="A27" s="177" t="s">
        <v>62</v>
      </c>
      <c r="B27" s="177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7"/>
      <c r="AB27" s="177"/>
      <c r="AC27" s="177"/>
      <c r="AD27" s="177"/>
      <c r="AE27" s="177"/>
      <c r="AF27" s="177"/>
      <c r="AG27" s="177"/>
      <c r="AH27" s="177"/>
      <c r="AI27" s="177"/>
      <c r="AJ27" s="177"/>
      <c r="AK27" s="177"/>
      <c r="AL27" s="177"/>
      <c r="AM27" s="177"/>
      <c r="AN27" s="177"/>
      <c r="AO27" s="177"/>
      <c r="AP27" s="177"/>
      <c r="AQ27" s="177"/>
      <c r="AR27" s="177"/>
      <c r="AS27" s="177"/>
      <c r="AT27" s="177"/>
      <c r="AU27" s="177"/>
      <c r="AV27" s="177"/>
      <c r="AW27" s="177"/>
      <c r="AX27" s="177"/>
      <c r="AY27" s="177"/>
      <c r="AZ27" s="177"/>
      <c r="BA27" s="177"/>
      <c r="BB27" s="177"/>
      <c r="BC27" s="177"/>
      <c r="BD27" s="177"/>
      <c r="BE27" s="177"/>
      <c r="BF27" s="177"/>
      <c r="BG27" s="177"/>
      <c r="BH27" s="177"/>
      <c r="BI27" s="177"/>
      <c r="BJ27" s="177"/>
      <c r="BK27" s="177"/>
      <c r="BL27" s="177"/>
      <c r="BM27" s="177"/>
      <c r="BN27" s="177"/>
      <c r="BO27" s="177"/>
      <c r="BP27" s="177"/>
      <c r="BQ27" s="177"/>
      <c r="BR27" s="177"/>
      <c r="BS27" s="177"/>
      <c r="BT27" s="177"/>
      <c r="BU27" s="177"/>
      <c r="BV27" s="177"/>
      <c r="BW27" s="177"/>
      <c r="BX27" s="177"/>
      <c r="BY27" s="177"/>
    </row>
    <row r="28" spans="1:79" ht="15.6" customHeight="1" x14ac:dyDescent="0.25">
      <c r="A28" s="177" t="s">
        <v>65</v>
      </c>
      <c r="B28" s="177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7"/>
      <c r="AB28" s="177"/>
      <c r="AC28" s="177"/>
      <c r="AD28" s="177"/>
      <c r="AE28" s="177"/>
      <c r="AF28" s="177"/>
      <c r="AG28" s="177"/>
      <c r="AH28" s="177"/>
      <c r="AI28" s="177"/>
      <c r="AJ28" s="177"/>
      <c r="AK28" s="177"/>
      <c r="AL28" s="177"/>
      <c r="AM28" s="177"/>
      <c r="AN28" s="177"/>
      <c r="AO28" s="177"/>
      <c r="AP28" s="177"/>
      <c r="AQ28" s="177"/>
      <c r="AR28" s="177"/>
      <c r="AS28" s="177"/>
      <c r="AT28" s="177"/>
      <c r="AU28" s="177"/>
      <c r="AV28" s="177"/>
      <c r="AW28" s="177"/>
      <c r="AX28" s="177"/>
      <c r="AY28" s="177"/>
      <c r="AZ28" s="177"/>
      <c r="BA28" s="177"/>
      <c r="BB28" s="177"/>
      <c r="BC28" s="177"/>
      <c r="BD28" s="177"/>
      <c r="BE28" s="177"/>
      <c r="BF28" s="177"/>
      <c r="BG28" s="177"/>
      <c r="BH28" s="177"/>
      <c r="BI28" s="177"/>
      <c r="BJ28" s="177"/>
      <c r="BK28" s="177"/>
      <c r="BL28" s="177"/>
      <c r="BM28" s="177"/>
      <c r="BN28" s="177"/>
      <c r="BO28" s="177"/>
      <c r="BP28" s="177"/>
      <c r="BQ28" s="177"/>
      <c r="BR28" s="177"/>
      <c r="BS28" s="177"/>
      <c r="BT28" s="177"/>
      <c r="BU28" s="177"/>
      <c r="BV28" s="177"/>
      <c r="BW28" s="177"/>
      <c r="BX28" s="177"/>
      <c r="BY28" s="177"/>
    </row>
    <row r="29" spans="1:79" ht="15.75" x14ac:dyDescent="0.25">
      <c r="A29" s="170" t="s">
        <v>44</v>
      </c>
      <c r="B29" s="174" t="s">
        <v>185</v>
      </c>
      <c r="C29" s="175"/>
      <c r="D29" s="176"/>
      <c r="E29" s="174" t="s">
        <v>186</v>
      </c>
      <c r="F29" s="175"/>
      <c r="G29" s="176"/>
      <c r="H29" s="174" t="s">
        <v>187</v>
      </c>
      <c r="I29" s="175"/>
      <c r="J29" s="176"/>
      <c r="K29" s="174" t="s">
        <v>188</v>
      </c>
      <c r="L29" s="175"/>
      <c r="M29" s="176"/>
      <c r="N29" s="174" t="s">
        <v>189</v>
      </c>
      <c r="O29" s="175"/>
      <c r="P29" s="176"/>
      <c r="Q29" s="174" t="s">
        <v>190</v>
      </c>
      <c r="R29" s="175"/>
      <c r="S29" s="176"/>
      <c r="T29" s="174" t="s">
        <v>191</v>
      </c>
      <c r="U29" s="175"/>
      <c r="V29" s="176"/>
      <c r="W29" s="174" t="s">
        <v>192</v>
      </c>
      <c r="X29" s="175"/>
      <c r="Y29" s="176"/>
      <c r="Z29" s="174" t="s">
        <v>193</v>
      </c>
      <c r="AA29" s="175"/>
      <c r="AB29" s="176"/>
      <c r="AC29" s="174" t="s">
        <v>194</v>
      </c>
      <c r="AD29" s="175"/>
      <c r="AE29" s="176"/>
      <c r="AF29" s="174" t="s">
        <v>195</v>
      </c>
      <c r="AG29" s="175"/>
      <c r="AH29" s="176"/>
      <c r="AI29" s="174" t="s">
        <v>196</v>
      </c>
      <c r="AJ29" s="175"/>
      <c r="AK29" s="176"/>
      <c r="AL29" s="174" t="s">
        <v>197</v>
      </c>
      <c r="AM29" s="175"/>
      <c r="AN29" s="176"/>
      <c r="AO29" s="174" t="s">
        <v>198</v>
      </c>
      <c r="AP29" s="175"/>
      <c r="AQ29" s="176"/>
      <c r="AR29" s="174" t="s">
        <v>199</v>
      </c>
      <c r="AS29" s="175"/>
      <c r="AT29" s="176"/>
      <c r="AU29" s="174" t="s">
        <v>200</v>
      </c>
      <c r="AV29" s="175"/>
      <c r="AW29" s="176"/>
      <c r="AX29" s="174" t="s">
        <v>201</v>
      </c>
      <c r="AY29" s="175"/>
      <c r="AZ29" s="176"/>
      <c r="BA29" s="174" t="s">
        <v>202</v>
      </c>
      <c r="BB29" s="175"/>
      <c r="BC29" s="176"/>
      <c r="BD29" s="171" t="s">
        <v>203</v>
      </c>
      <c r="BE29" s="172"/>
      <c r="BF29" s="173"/>
      <c r="BG29" s="171" t="s">
        <v>204</v>
      </c>
      <c r="BH29" s="172"/>
      <c r="BI29" s="173"/>
      <c r="BJ29" s="171" t="s">
        <v>205</v>
      </c>
      <c r="BK29" s="172"/>
      <c r="BL29" s="173"/>
      <c r="BM29" s="171" t="s">
        <v>206</v>
      </c>
      <c r="BN29" s="172"/>
      <c r="BO29" s="173"/>
      <c r="BP29" s="167" t="s">
        <v>207</v>
      </c>
      <c r="BQ29" s="168"/>
      <c r="BR29" s="169"/>
      <c r="BS29" s="167" t="s">
        <v>208</v>
      </c>
      <c r="BT29" s="168"/>
      <c r="BU29" s="169"/>
      <c r="BV29" s="167" t="s">
        <v>214</v>
      </c>
      <c r="BW29" s="168"/>
      <c r="BX29" s="169"/>
      <c r="BY29" s="170" t="s">
        <v>44</v>
      </c>
    </row>
    <row r="30" spans="1:79" ht="45" x14ac:dyDescent="0.25">
      <c r="A30" s="170"/>
      <c r="B30" s="162" t="s">
        <v>2</v>
      </c>
      <c r="C30" s="163" t="s">
        <v>3</v>
      </c>
      <c r="D30" s="163" t="s">
        <v>4</v>
      </c>
      <c r="E30" s="162" t="s">
        <v>2</v>
      </c>
      <c r="F30" s="163" t="s">
        <v>3</v>
      </c>
      <c r="G30" s="163" t="s">
        <v>4</v>
      </c>
      <c r="H30" s="162" t="s">
        <v>2</v>
      </c>
      <c r="I30" s="163" t="s">
        <v>3</v>
      </c>
      <c r="J30" s="163" t="s">
        <v>4</v>
      </c>
      <c r="K30" s="162" t="s">
        <v>2</v>
      </c>
      <c r="L30" s="163" t="s">
        <v>3</v>
      </c>
      <c r="M30" s="163" t="s">
        <v>4</v>
      </c>
      <c r="N30" s="162" t="s">
        <v>2</v>
      </c>
      <c r="O30" s="163" t="s">
        <v>3</v>
      </c>
      <c r="P30" s="163" t="s">
        <v>4</v>
      </c>
      <c r="Q30" s="162" t="s">
        <v>2</v>
      </c>
      <c r="R30" s="163" t="s">
        <v>3</v>
      </c>
      <c r="S30" s="163" t="s">
        <v>4</v>
      </c>
      <c r="T30" s="162" t="s">
        <v>2</v>
      </c>
      <c r="U30" s="163" t="s">
        <v>3</v>
      </c>
      <c r="V30" s="163" t="s">
        <v>4</v>
      </c>
      <c r="W30" s="162" t="s">
        <v>2</v>
      </c>
      <c r="X30" s="163" t="s">
        <v>3</v>
      </c>
      <c r="Y30" s="163" t="s">
        <v>4</v>
      </c>
      <c r="Z30" s="162" t="s">
        <v>2</v>
      </c>
      <c r="AA30" s="163" t="s">
        <v>3</v>
      </c>
      <c r="AB30" s="163" t="s">
        <v>4</v>
      </c>
      <c r="AC30" s="162" t="s">
        <v>2</v>
      </c>
      <c r="AD30" s="163" t="s">
        <v>3</v>
      </c>
      <c r="AE30" s="163" t="s">
        <v>4</v>
      </c>
      <c r="AF30" s="162" t="s">
        <v>2</v>
      </c>
      <c r="AG30" s="163" t="s">
        <v>3</v>
      </c>
      <c r="AH30" s="163" t="s">
        <v>4</v>
      </c>
      <c r="AI30" s="162" t="s">
        <v>2</v>
      </c>
      <c r="AJ30" s="163" t="s">
        <v>3</v>
      </c>
      <c r="AK30" s="163" t="s">
        <v>4</v>
      </c>
      <c r="AL30" s="162" t="s">
        <v>2</v>
      </c>
      <c r="AM30" s="163" t="s">
        <v>3</v>
      </c>
      <c r="AN30" s="163" t="s">
        <v>4</v>
      </c>
      <c r="AO30" s="162" t="s">
        <v>2</v>
      </c>
      <c r="AP30" s="163" t="s">
        <v>3</v>
      </c>
      <c r="AQ30" s="163" t="s">
        <v>4</v>
      </c>
      <c r="AR30" s="162" t="s">
        <v>2</v>
      </c>
      <c r="AS30" s="163" t="s">
        <v>3</v>
      </c>
      <c r="AT30" s="163" t="s">
        <v>4</v>
      </c>
      <c r="AU30" s="162" t="s">
        <v>2</v>
      </c>
      <c r="AV30" s="163" t="s">
        <v>3</v>
      </c>
      <c r="AW30" s="163" t="s">
        <v>4</v>
      </c>
      <c r="AX30" s="162" t="s">
        <v>2</v>
      </c>
      <c r="AY30" s="163" t="s">
        <v>3</v>
      </c>
      <c r="AZ30" s="163" t="s">
        <v>4</v>
      </c>
      <c r="BA30" s="162" t="s">
        <v>2</v>
      </c>
      <c r="BB30" s="163" t="s">
        <v>3</v>
      </c>
      <c r="BC30" s="163" t="s">
        <v>4</v>
      </c>
      <c r="BD30" s="162" t="s">
        <v>2</v>
      </c>
      <c r="BE30" s="163" t="s">
        <v>3</v>
      </c>
      <c r="BF30" s="163" t="s">
        <v>4</v>
      </c>
      <c r="BG30" s="162" t="s">
        <v>2</v>
      </c>
      <c r="BH30" s="163" t="s">
        <v>3</v>
      </c>
      <c r="BI30" s="163" t="s">
        <v>4</v>
      </c>
      <c r="BJ30" s="162" t="s">
        <v>2</v>
      </c>
      <c r="BK30" s="163" t="s">
        <v>3</v>
      </c>
      <c r="BL30" s="163" t="s">
        <v>4</v>
      </c>
      <c r="BM30" s="162" t="s">
        <v>2</v>
      </c>
      <c r="BN30" s="163" t="s">
        <v>3</v>
      </c>
      <c r="BO30" s="163" t="s">
        <v>4</v>
      </c>
      <c r="BP30" s="162" t="s">
        <v>2</v>
      </c>
      <c r="BQ30" s="163" t="s">
        <v>3</v>
      </c>
      <c r="BR30" s="163" t="s">
        <v>4</v>
      </c>
      <c r="BS30" s="162" t="s">
        <v>2</v>
      </c>
      <c r="BT30" s="163" t="s">
        <v>3</v>
      </c>
      <c r="BU30" s="163" t="s">
        <v>4</v>
      </c>
      <c r="BV30" s="162" t="s">
        <v>2</v>
      </c>
      <c r="BW30" s="163" t="s">
        <v>3</v>
      </c>
      <c r="BX30" s="163" t="s">
        <v>4</v>
      </c>
      <c r="BY30" s="170"/>
    </row>
    <row r="31" spans="1:79" ht="15.75" x14ac:dyDescent="0.25">
      <c r="A31" s="136">
        <v>24</v>
      </c>
      <c r="B31" s="137">
        <v>185.1147</v>
      </c>
      <c r="C31" s="136">
        <v>0</v>
      </c>
      <c r="D31" s="138">
        <v>0</v>
      </c>
      <c r="E31" s="137">
        <v>185.11449999999999</v>
      </c>
      <c r="F31" s="136">
        <f>(E31-B31)*1000</f>
        <v>-0.20000000000663931</v>
      </c>
      <c r="G31" s="139">
        <f>D31+F31</f>
        <v>-0.20000000000663931</v>
      </c>
      <c r="H31" s="137">
        <v>185.11439999999999</v>
      </c>
      <c r="I31" s="136">
        <f t="shared" ref="I31:I38" si="49">(H31-E31)*1000</f>
        <v>-0.10000000000331966</v>
      </c>
      <c r="J31" s="139">
        <f t="shared" ref="J31:J38" si="50">G31+I31</f>
        <v>-0.30000000000995897</v>
      </c>
      <c r="K31" s="137">
        <v>185.11449999999999</v>
      </c>
      <c r="L31" s="136">
        <f t="shared" ref="L31:L38" si="51">(K31-H31)*1000</f>
        <v>0.10000000000331966</v>
      </c>
      <c r="M31" s="139">
        <f t="shared" ref="M31:M38" si="52">J31+L31</f>
        <v>-0.20000000000663931</v>
      </c>
      <c r="N31" s="137">
        <v>185.1146</v>
      </c>
      <c r="O31" s="136">
        <f t="shared" ref="O31:O38" si="53">(N31-K31)*1000</f>
        <v>0.10000000000331966</v>
      </c>
      <c r="P31" s="139">
        <f t="shared" ref="P31:P38" si="54">M31+O31</f>
        <v>-0.10000000000331966</v>
      </c>
      <c r="Q31" s="137">
        <v>185.1148</v>
      </c>
      <c r="R31" s="136">
        <f t="shared" ref="R31:R38" si="55">(Q31-N31)*1000</f>
        <v>0.20000000000663931</v>
      </c>
      <c r="S31" s="139">
        <f t="shared" ref="S31:S38" si="56">P31+R31</f>
        <v>0.10000000000331966</v>
      </c>
      <c r="T31" s="137">
        <v>185.11449999999999</v>
      </c>
      <c r="U31" s="136">
        <f t="shared" ref="U31:U38" si="57">(T31-Q31)*1000</f>
        <v>-0.30000000000995897</v>
      </c>
      <c r="V31" s="139">
        <f t="shared" ref="V31:V38" si="58">S31+U31</f>
        <v>-0.20000000000663931</v>
      </c>
      <c r="W31" s="137">
        <v>185.11500000000001</v>
      </c>
      <c r="X31" s="136">
        <f t="shared" ref="X31:X38" si="59">(W31-T31)*1000</f>
        <v>0.50000000001659828</v>
      </c>
      <c r="Y31" s="139">
        <f t="shared" ref="Y31:Y38" si="60">V31+X31</f>
        <v>0.30000000000995897</v>
      </c>
      <c r="Z31" s="137">
        <v>185.1148</v>
      </c>
      <c r="AA31" s="136">
        <f t="shared" ref="AA31:AA38" si="61">(Z31-W31)*1000</f>
        <v>-0.20000000000663931</v>
      </c>
      <c r="AB31" s="139">
        <f t="shared" ref="AB31:AB38" si="62">Y31+AA31</f>
        <v>0.10000000000331966</v>
      </c>
      <c r="AC31" s="137">
        <v>185.11500000000001</v>
      </c>
      <c r="AD31" s="136">
        <f t="shared" ref="AD31:AD38" si="63">(AC31-Z31)*1000</f>
        <v>0.20000000000663931</v>
      </c>
      <c r="AE31" s="139">
        <f t="shared" ref="AE31:AE38" si="64">AB31+AD31</f>
        <v>0.30000000000995897</v>
      </c>
      <c r="AF31" s="137">
        <v>185.1146</v>
      </c>
      <c r="AG31" s="136">
        <f t="shared" ref="AG31:AG38" si="65">(AF31-AC31)*1000</f>
        <v>-0.40000000001327862</v>
      </c>
      <c r="AH31" s="139">
        <f t="shared" ref="AH31:AH38" si="66">AE31+AG31</f>
        <v>-0.10000000000331966</v>
      </c>
      <c r="AI31" s="137">
        <v>185.113</v>
      </c>
      <c r="AJ31" s="136">
        <f t="shared" ref="AJ31:AJ38" si="67">(AI31-AF31)*1000</f>
        <v>-1.5999999999962711</v>
      </c>
      <c r="AK31" s="139">
        <f t="shared" ref="AK31:AK38" si="68">AH31+AJ31</f>
        <v>-1.6999999999995907</v>
      </c>
      <c r="AL31" s="137">
        <v>185.11359999999999</v>
      </c>
      <c r="AM31" s="136">
        <f t="shared" ref="AM31:AM38" si="69">(AL31-AI31)*1000</f>
        <v>0.59999999999149622</v>
      </c>
      <c r="AN31" s="139">
        <f t="shared" ref="AN31:AN38" si="70">AK31+AM31</f>
        <v>-1.1000000000080945</v>
      </c>
      <c r="AO31" s="137">
        <v>185.114</v>
      </c>
      <c r="AP31" s="140">
        <f t="shared" ref="AP31:AP38" si="71">(AO31-AL31)*1000</f>
        <v>0.40000000001327862</v>
      </c>
      <c r="AQ31" s="140">
        <f t="shared" ref="AQ31:AQ38" si="72">AN31+AP31</f>
        <v>-0.69999999999481588</v>
      </c>
      <c r="AR31" s="137">
        <v>185.11410000000001</v>
      </c>
      <c r="AS31" s="140">
        <f t="shared" ref="AS31:AS38" si="73">(AR31-AO31)*1000</f>
        <v>0.10000000000331966</v>
      </c>
      <c r="AT31" s="140">
        <f t="shared" ref="AT31:AT38" si="74">AQ31+AS31</f>
        <v>-0.59999999999149622</v>
      </c>
      <c r="AU31" s="137">
        <v>185.11450000000002</v>
      </c>
      <c r="AV31" s="140">
        <f t="shared" ref="AV31:AV38" si="75">(AU31-AR31)*1000</f>
        <v>0.40000000001327862</v>
      </c>
      <c r="AW31" s="140">
        <f t="shared" ref="AW31:AW38" si="76">AT31+AV31</f>
        <v>-0.1999999999782176</v>
      </c>
      <c r="AX31" s="137">
        <v>185.1147</v>
      </c>
      <c r="AY31" s="140">
        <f t="shared" ref="AY31:AY38" si="77">(AX31-AU31)*1000</f>
        <v>0.1999999999782176</v>
      </c>
      <c r="AZ31" s="140">
        <f t="shared" ref="AZ31:AZ38" si="78">AW31+AY31</f>
        <v>0</v>
      </c>
      <c r="BA31" s="137">
        <v>185.1148</v>
      </c>
      <c r="BB31" s="140">
        <f t="shared" ref="BB31:BB38" si="79">(BA31-AX31)*1000</f>
        <v>0.10000000000331966</v>
      </c>
      <c r="BC31" s="140">
        <f t="shared" ref="BC31:BC38" si="80">AZ31+BB31</f>
        <v>0.10000000000331966</v>
      </c>
      <c r="BD31" s="137">
        <v>185.11439999999999</v>
      </c>
      <c r="BE31" s="140">
        <f t="shared" ref="BE31:BE38" si="81">(BD31-BA31)*1000</f>
        <v>-0.40000000001327862</v>
      </c>
      <c r="BF31" s="140">
        <f t="shared" ref="BF31:BF38" si="82">BC31+BE31</f>
        <v>-0.30000000000995897</v>
      </c>
      <c r="BG31" s="137">
        <v>185.11449999999999</v>
      </c>
      <c r="BH31" s="140">
        <f t="shared" ref="BH31:BH38" si="83">(BG31-BD31)*1000</f>
        <v>0.10000000000331966</v>
      </c>
      <c r="BI31" s="140">
        <f t="shared" ref="BI31:BI38" si="84">BF31+BH31</f>
        <v>-0.20000000000663931</v>
      </c>
      <c r="BJ31" s="137">
        <v>185.11439999999999</v>
      </c>
      <c r="BK31" s="140">
        <f t="shared" ref="BK31:BK38" si="85">(BJ31-BG31)*1000</f>
        <v>-0.10000000000331966</v>
      </c>
      <c r="BL31" s="140">
        <f t="shared" ref="BL31:BL38" si="86">BI31+BK31</f>
        <v>-0.30000000000995897</v>
      </c>
      <c r="BM31" s="137">
        <v>185.1147</v>
      </c>
      <c r="BN31" s="140">
        <f t="shared" ref="BN31:BN38" si="87">(BM31-BJ31)*1000</f>
        <v>0.30000000000995897</v>
      </c>
      <c r="BO31" s="140">
        <f t="shared" ref="BO31:BO38" si="88">BL31+BN31</f>
        <v>0</v>
      </c>
      <c r="BP31" s="148">
        <v>185.11490000000001</v>
      </c>
      <c r="BQ31" s="140">
        <f t="shared" ref="BQ31:BQ38" si="89">(BP31-BM31)*1000</f>
        <v>0.20000000000663931</v>
      </c>
      <c r="BR31" s="140">
        <f t="shared" ref="BR31:BR38" si="90">BO31+BQ31</f>
        <v>0.20000000000663931</v>
      </c>
      <c r="BS31" s="142">
        <v>185.11520000000002</v>
      </c>
      <c r="BT31" s="140">
        <f t="shared" ref="BT31:BT38" si="91">(BS31-BP31)*1000</f>
        <v>0.30000000000995897</v>
      </c>
      <c r="BU31" s="140">
        <f t="shared" ref="BU31:BU38" si="92">BR31+BT31</f>
        <v>0.50000000001659828</v>
      </c>
      <c r="BV31" s="142">
        <v>185.11500000000001</v>
      </c>
      <c r="BW31" s="140">
        <f t="shared" ref="BW31:BW38" si="93">(BV31-BS31)*1000</f>
        <v>-0.20000000000663931</v>
      </c>
      <c r="BX31" s="140">
        <f t="shared" ref="BX31:BX38" si="94">BU31+BW31</f>
        <v>0.30000000000995897</v>
      </c>
      <c r="BY31" s="143">
        <v>24</v>
      </c>
      <c r="CA31" s="9" t="s">
        <v>72</v>
      </c>
    </row>
    <row r="32" spans="1:79" ht="15.75" x14ac:dyDescent="0.25">
      <c r="A32" s="136">
        <v>25</v>
      </c>
      <c r="B32" s="137">
        <v>185.108</v>
      </c>
      <c r="C32" s="136">
        <v>0</v>
      </c>
      <c r="D32" s="138">
        <v>0</v>
      </c>
      <c r="E32" s="137">
        <v>185.10810000000001</v>
      </c>
      <c r="F32" s="136">
        <f t="shared" ref="F32:F38" si="95">(E32-B32)*1000</f>
        <v>0.10000000000331966</v>
      </c>
      <c r="G32" s="139">
        <f t="shared" ref="G32:G38" si="96">D32+F32</f>
        <v>0.10000000000331966</v>
      </c>
      <c r="H32" s="137">
        <v>185.10830000000001</v>
      </c>
      <c r="I32" s="136">
        <f t="shared" si="49"/>
        <v>0.20000000000663931</v>
      </c>
      <c r="J32" s="139">
        <f t="shared" si="50"/>
        <v>0.30000000000995897</v>
      </c>
      <c r="K32" s="137">
        <v>185.10849999999999</v>
      </c>
      <c r="L32" s="136">
        <f t="shared" si="51"/>
        <v>0.1999999999782176</v>
      </c>
      <c r="M32" s="139">
        <f t="shared" si="52"/>
        <v>0.49999999998817657</v>
      </c>
      <c r="N32" s="137">
        <v>185.10839999999999</v>
      </c>
      <c r="O32" s="136">
        <f t="shared" si="53"/>
        <v>-0.10000000000331966</v>
      </c>
      <c r="P32" s="139">
        <f t="shared" si="54"/>
        <v>0.39999999998485691</v>
      </c>
      <c r="Q32" s="137">
        <v>185.10830000000001</v>
      </c>
      <c r="R32" s="136">
        <f t="shared" si="55"/>
        <v>-9.9999999974897946E-2</v>
      </c>
      <c r="S32" s="139">
        <f t="shared" si="56"/>
        <v>0.30000000000995897</v>
      </c>
      <c r="T32" s="137">
        <v>185.10810000000001</v>
      </c>
      <c r="U32" s="136">
        <f t="shared" si="57"/>
        <v>-0.20000000000663931</v>
      </c>
      <c r="V32" s="139">
        <f t="shared" si="58"/>
        <v>0.10000000000331966</v>
      </c>
      <c r="W32" s="137">
        <v>185.1078</v>
      </c>
      <c r="X32" s="136">
        <f t="shared" si="59"/>
        <v>-0.30000000000995897</v>
      </c>
      <c r="Y32" s="139">
        <f t="shared" si="60"/>
        <v>-0.20000000000663931</v>
      </c>
      <c r="Z32" s="137">
        <v>185.10749999999999</v>
      </c>
      <c r="AA32" s="136">
        <f t="shared" si="61"/>
        <v>-0.30000000000995897</v>
      </c>
      <c r="AB32" s="139">
        <f t="shared" si="62"/>
        <v>-0.50000000001659828</v>
      </c>
      <c r="AC32" s="137">
        <v>185.1079</v>
      </c>
      <c r="AD32" s="136">
        <f t="shared" si="63"/>
        <v>0.40000000001327862</v>
      </c>
      <c r="AE32" s="139">
        <f t="shared" si="64"/>
        <v>-0.10000000000331966</v>
      </c>
      <c r="AF32" s="137">
        <v>185.10740000000001</v>
      </c>
      <c r="AG32" s="136">
        <f t="shared" si="65"/>
        <v>-0.49999999998817657</v>
      </c>
      <c r="AH32" s="139">
        <f t="shared" si="66"/>
        <v>-0.59999999999149622</v>
      </c>
      <c r="AI32" s="137">
        <v>185.10589999999999</v>
      </c>
      <c r="AJ32" s="136">
        <f t="shared" si="67"/>
        <v>-1.5000000000213731</v>
      </c>
      <c r="AK32" s="139">
        <f t="shared" si="68"/>
        <v>-2.1000000000128694</v>
      </c>
      <c r="AL32" s="137">
        <v>185.1063</v>
      </c>
      <c r="AM32" s="136">
        <f t="shared" si="69"/>
        <v>0.40000000001327862</v>
      </c>
      <c r="AN32" s="139">
        <f t="shared" si="70"/>
        <v>-1.6999999999995907</v>
      </c>
      <c r="AO32" s="137">
        <v>185.10679999999999</v>
      </c>
      <c r="AP32" s="140">
        <f t="shared" si="71"/>
        <v>0.49999999998817657</v>
      </c>
      <c r="AQ32" s="140">
        <f t="shared" si="72"/>
        <v>-1.2000000000114142</v>
      </c>
      <c r="AR32" s="137">
        <v>185.107</v>
      </c>
      <c r="AS32" s="140">
        <f t="shared" si="73"/>
        <v>0.20000000000663931</v>
      </c>
      <c r="AT32" s="140">
        <f t="shared" si="74"/>
        <v>-1.0000000000047748</v>
      </c>
      <c r="AU32" s="136">
        <v>185.10730000000001</v>
      </c>
      <c r="AV32" s="140">
        <f t="shared" si="75"/>
        <v>0.30000000000995897</v>
      </c>
      <c r="AW32" s="140">
        <f t="shared" si="76"/>
        <v>-0.69999999999481588</v>
      </c>
      <c r="AX32" s="136">
        <v>185.10740000000001</v>
      </c>
      <c r="AY32" s="140">
        <f t="shared" si="77"/>
        <v>0.10000000000331966</v>
      </c>
      <c r="AZ32" s="140">
        <f t="shared" si="78"/>
        <v>-0.59999999999149622</v>
      </c>
      <c r="BA32" s="136">
        <v>185.10760000000002</v>
      </c>
      <c r="BB32" s="140">
        <f t="shared" si="79"/>
        <v>0.20000000000663931</v>
      </c>
      <c r="BC32" s="140">
        <f t="shared" si="80"/>
        <v>-0.39999999998485691</v>
      </c>
      <c r="BD32" s="137">
        <v>185.10740000000001</v>
      </c>
      <c r="BE32" s="140">
        <f t="shared" si="81"/>
        <v>-0.20000000000663931</v>
      </c>
      <c r="BF32" s="140">
        <f t="shared" si="82"/>
        <v>-0.59999999999149622</v>
      </c>
      <c r="BG32" s="137">
        <v>185.10680000000002</v>
      </c>
      <c r="BH32" s="140">
        <f t="shared" si="83"/>
        <v>-0.59999999999149622</v>
      </c>
      <c r="BI32" s="140">
        <f t="shared" si="84"/>
        <v>-1.1999999999829924</v>
      </c>
      <c r="BJ32" s="137">
        <v>185.10630000000003</v>
      </c>
      <c r="BK32" s="140">
        <f t="shared" si="85"/>
        <v>-0.49999999998817657</v>
      </c>
      <c r="BL32" s="140">
        <f t="shared" si="86"/>
        <v>-1.699999999971169</v>
      </c>
      <c r="BM32" s="137">
        <v>185.10680000000002</v>
      </c>
      <c r="BN32" s="140">
        <f t="shared" si="87"/>
        <v>0.49999999998817657</v>
      </c>
      <c r="BO32" s="140">
        <f t="shared" si="88"/>
        <v>-1.1999999999829924</v>
      </c>
      <c r="BP32" s="148">
        <v>185.10660000000001</v>
      </c>
      <c r="BQ32" s="140">
        <f t="shared" si="89"/>
        <v>-0.20000000000663931</v>
      </c>
      <c r="BR32" s="140">
        <f t="shared" si="90"/>
        <v>-1.3999999999896318</v>
      </c>
      <c r="BS32" s="142">
        <v>185.1062</v>
      </c>
      <c r="BT32" s="140">
        <f t="shared" si="91"/>
        <v>-0.40000000001327862</v>
      </c>
      <c r="BU32" s="140">
        <f t="shared" si="92"/>
        <v>-1.8000000000029104</v>
      </c>
      <c r="BV32" s="142">
        <v>185.10640000000001</v>
      </c>
      <c r="BW32" s="140">
        <f t="shared" si="93"/>
        <v>0.20000000000663931</v>
      </c>
      <c r="BX32" s="140">
        <f t="shared" si="94"/>
        <v>-1.5999999999962711</v>
      </c>
      <c r="BY32" s="143">
        <v>25</v>
      </c>
      <c r="CA32" s="1"/>
    </row>
    <row r="33" spans="1:79" ht="15.75" x14ac:dyDescent="0.25">
      <c r="A33" s="136">
        <v>26</v>
      </c>
      <c r="B33" s="137">
        <v>185.11490000000001</v>
      </c>
      <c r="C33" s="136">
        <v>0</v>
      </c>
      <c r="D33" s="138">
        <v>0</v>
      </c>
      <c r="E33" s="137">
        <v>185.1148</v>
      </c>
      <c r="F33" s="136">
        <f t="shared" si="95"/>
        <v>-0.10000000000331966</v>
      </c>
      <c r="G33" s="139">
        <f t="shared" si="96"/>
        <v>-0.10000000000331966</v>
      </c>
      <c r="H33" s="137">
        <v>185.1147</v>
      </c>
      <c r="I33" s="136">
        <f t="shared" si="49"/>
        <v>-0.10000000000331966</v>
      </c>
      <c r="J33" s="139">
        <f t="shared" si="50"/>
        <v>-0.20000000000663931</v>
      </c>
      <c r="K33" s="137">
        <v>185.1148</v>
      </c>
      <c r="L33" s="136">
        <f t="shared" si="51"/>
        <v>0.10000000000331966</v>
      </c>
      <c r="M33" s="139">
        <f t="shared" si="52"/>
        <v>-0.10000000000331966</v>
      </c>
      <c r="N33" s="137">
        <v>185.11500000000001</v>
      </c>
      <c r="O33" s="136">
        <f t="shared" si="53"/>
        <v>0.20000000000663931</v>
      </c>
      <c r="P33" s="139">
        <f t="shared" si="54"/>
        <v>0.10000000000331966</v>
      </c>
      <c r="Q33" s="137">
        <v>185.11510000000001</v>
      </c>
      <c r="R33" s="136">
        <f t="shared" si="55"/>
        <v>0.10000000000331966</v>
      </c>
      <c r="S33" s="139">
        <f t="shared" si="56"/>
        <v>0.20000000000663931</v>
      </c>
      <c r="T33" s="137">
        <v>185.11500000000001</v>
      </c>
      <c r="U33" s="136">
        <f t="shared" si="57"/>
        <v>-0.10000000000331966</v>
      </c>
      <c r="V33" s="139">
        <f t="shared" si="58"/>
        <v>0.10000000000331966</v>
      </c>
      <c r="W33" s="137">
        <v>185.11510000000001</v>
      </c>
      <c r="X33" s="136">
        <f t="shared" si="59"/>
        <v>0.10000000000331966</v>
      </c>
      <c r="Y33" s="139">
        <f t="shared" si="60"/>
        <v>0.20000000000663931</v>
      </c>
      <c r="Z33" s="137">
        <v>185.11490000000001</v>
      </c>
      <c r="AA33" s="136">
        <f t="shared" si="61"/>
        <v>-0.20000000000663931</v>
      </c>
      <c r="AB33" s="139">
        <f t="shared" si="62"/>
        <v>0</v>
      </c>
      <c r="AC33" s="137">
        <v>185.05930000000001</v>
      </c>
      <c r="AD33" s="136" t="s">
        <v>136</v>
      </c>
      <c r="AE33" s="139">
        <f>AB33</f>
        <v>0</v>
      </c>
      <c r="AF33" s="137">
        <v>185.05850000000001</v>
      </c>
      <c r="AG33" s="136">
        <f t="shared" si="65"/>
        <v>-0.79999999999813554</v>
      </c>
      <c r="AH33" s="139">
        <f t="shared" si="66"/>
        <v>-0.79999999999813554</v>
      </c>
      <c r="AI33" s="137">
        <v>185.05680000000001</v>
      </c>
      <c r="AJ33" s="136">
        <f t="shared" si="67"/>
        <v>-1.6999999999995907</v>
      </c>
      <c r="AK33" s="139">
        <f t="shared" si="68"/>
        <v>-2.4999999999977263</v>
      </c>
      <c r="AL33" s="137">
        <v>185.0573</v>
      </c>
      <c r="AM33" s="136">
        <f t="shared" si="69"/>
        <v>0.49999999998817657</v>
      </c>
      <c r="AN33" s="139">
        <f t="shared" si="70"/>
        <v>-2.0000000000095497</v>
      </c>
      <c r="AO33" s="137">
        <v>185.05789999999999</v>
      </c>
      <c r="AP33" s="140">
        <f t="shared" si="71"/>
        <v>0.59999999999149622</v>
      </c>
      <c r="AQ33" s="140">
        <f t="shared" si="72"/>
        <v>-1.4000000000180535</v>
      </c>
      <c r="AR33" s="137">
        <v>185.05789999999999</v>
      </c>
      <c r="AS33" s="140">
        <f t="shared" si="73"/>
        <v>0</v>
      </c>
      <c r="AT33" s="140">
        <f t="shared" si="74"/>
        <v>-1.4000000000180535</v>
      </c>
      <c r="AU33" s="136">
        <v>185.0583</v>
      </c>
      <c r="AV33" s="140">
        <f t="shared" si="75"/>
        <v>0.40000000001327862</v>
      </c>
      <c r="AW33" s="140">
        <f t="shared" si="76"/>
        <v>-1.0000000000047748</v>
      </c>
      <c r="AX33" s="136">
        <v>185.05850000000001</v>
      </c>
      <c r="AY33" s="140">
        <f t="shared" si="77"/>
        <v>0.20000000000663931</v>
      </c>
      <c r="AZ33" s="140">
        <f t="shared" si="78"/>
        <v>-0.79999999999813554</v>
      </c>
      <c r="BA33" s="136">
        <v>185.0583</v>
      </c>
      <c r="BB33" s="140">
        <f t="shared" si="79"/>
        <v>-0.20000000000663931</v>
      </c>
      <c r="BC33" s="140">
        <f t="shared" si="80"/>
        <v>-1.0000000000047748</v>
      </c>
      <c r="BD33" s="137">
        <v>185.05799999999999</v>
      </c>
      <c r="BE33" s="140">
        <f t="shared" si="81"/>
        <v>-0.30000000000995897</v>
      </c>
      <c r="BF33" s="140">
        <f t="shared" si="82"/>
        <v>-1.3000000000147338</v>
      </c>
      <c r="BG33" s="137">
        <v>185.05849999999998</v>
      </c>
      <c r="BH33" s="140">
        <f t="shared" si="83"/>
        <v>0.49999999998817657</v>
      </c>
      <c r="BI33" s="140">
        <f t="shared" si="84"/>
        <v>-0.80000000002655725</v>
      </c>
      <c r="BJ33" s="137">
        <v>185.05909999999997</v>
      </c>
      <c r="BK33" s="140">
        <f t="shared" si="85"/>
        <v>0.59999999999149622</v>
      </c>
      <c r="BL33" s="140">
        <f t="shared" si="86"/>
        <v>-0.20000000003506102</v>
      </c>
      <c r="BM33" s="137">
        <v>185.05869999999996</v>
      </c>
      <c r="BN33" s="140">
        <f t="shared" si="87"/>
        <v>-0.40000000001327862</v>
      </c>
      <c r="BO33" s="140">
        <f t="shared" si="88"/>
        <v>-0.60000000004833964</v>
      </c>
      <c r="BP33" s="148">
        <v>185.05869999999996</v>
      </c>
      <c r="BQ33" s="140">
        <f t="shared" si="89"/>
        <v>0</v>
      </c>
      <c r="BR33" s="140">
        <f t="shared" si="90"/>
        <v>-0.60000000004833964</v>
      </c>
      <c r="BS33" s="142">
        <v>185.05899999999997</v>
      </c>
      <c r="BT33" s="140">
        <f t="shared" si="91"/>
        <v>0.30000000000995897</v>
      </c>
      <c r="BU33" s="140">
        <f t="shared" si="92"/>
        <v>-0.30000000003838068</v>
      </c>
      <c r="BV33" s="142">
        <v>185.05889999999997</v>
      </c>
      <c r="BW33" s="140">
        <f t="shared" si="93"/>
        <v>-0.10000000000331966</v>
      </c>
      <c r="BX33" s="140">
        <f t="shared" si="94"/>
        <v>-0.40000000004170033</v>
      </c>
      <c r="BY33" s="143">
        <v>26</v>
      </c>
      <c r="CA33" s="1"/>
    </row>
    <row r="34" spans="1:79" ht="15.75" x14ac:dyDescent="0.25">
      <c r="A34" s="136">
        <v>27</v>
      </c>
      <c r="B34" s="137">
        <v>184.74190000000002</v>
      </c>
      <c r="C34" s="136">
        <v>0</v>
      </c>
      <c r="D34" s="138">
        <v>0</v>
      </c>
      <c r="E34" s="137">
        <v>184.74210000000002</v>
      </c>
      <c r="F34" s="136">
        <f t="shared" si="95"/>
        <v>0.20000000000663931</v>
      </c>
      <c r="G34" s="139">
        <f t="shared" si="96"/>
        <v>0.20000000000663931</v>
      </c>
      <c r="H34" s="137">
        <v>184.74180000000001</v>
      </c>
      <c r="I34" s="136">
        <f t="shared" si="49"/>
        <v>-0.30000000000995897</v>
      </c>
      <c r="J34" s="139">
        <f t="shared" si="50"/>
        <v>-0.10000000000331966</v>
      </c>
      <c r="K34" s="137">
        <v>184.74199999999999</v>
      </c>
      <c r="L34" s="136">
        <f t="shared" si="51"/>
        <v>0.1999999999782176</v>
      </c>
      <c r="M34" s="139">
        <f t="shared" si="52"/>
        <v>9.9999999974897946E-2</v>
      </c>
      <c r="N34" s="137">
        <v>184.74199999999999</v>
      </c>
      <c r="O34" s="138">
        <f t="shared" si="53"/>
        <v>0</v>
      </c>
      <c r="P34" s="139">
        <f t="shared" si="54"/>
        <v>9.9999999974897946E-2</v>
      </c>
      <c r="Q34" s="137">
        <v>184.74170000000001</v>
      </c>
      <c r="R34" s="138">
        <f t="shared" si="55"/>
        <v>-0.29999999998153726</v>
      </c>
      <c r="S34" s="139">
        <f t="shared" si="56"/>
        <v>-0.20000000000663931</v>
      </c>
      <c r="T34" s="137">
        <v>184.74190000000002</v>
      </c>
      <c r="U34" s="138">
        <f t="shared" si="57"/>
        <v>0.20000000000663931</v>
      </c>
      <c r="V34" s="139">
        <f t="shared" si="58"/>
        <v>0</v>
      </c>
      <c r="W34" s="137">
        <v>184.7423</v>
      </c>
      <c r="X34" s="138">
        <f t="shared" si="59"/>
        <v>0.39999999998485691</v>
      </c>
      <c r="Y34" s="139">
        <f t="shared" si="60"/>
        <v>0.39999999998485691</v>
      </c>
      <c r="Z34" s="137">
        <v>184.7422</v>
      </c>
      <c r="AA34" s="138">
        <f t="shared" si="61"/>
        <v>-0.10000000000331966</v>
      </c>
      <c r="AB34" s="139">
        <f t="shared" si="62"/>
        <v>0.29999999998153726</v>
      </c>
      <c r="AC34" s="137">
        <v>184.74270000000001</v>
      </c>
      <c r="AD34" s="138">
        <f t="shared" si="63"/>
        <v>0.50000000001659828</v>
      </c>
      <c r="AE34" s="139">
        <f t="shared" si="64"/>
        <v>0.79999999999813554</v>
      </c>
      <c r="AF34" s="137">
        <v>184.7396</v>
      </c>
      <c r="AG34" s="138">
        <f t="shared" si="65"/>
        <v>-3.1000000000176442</v>
      </c>
      <c r="AH34" s="139">
        <f t="shared" si="66"/>
        <v>-2.3000000000195087</v>
      </c>
      <c r="AI34" s="137">
        <v>184.7372</v>
      </c>
      <c r="AJ34" s="138">
        <f t="shared" si="67"/>
        <v>-2.3999999999944066</v>
      </c>
      <c r="AK34" s="139">
        <f t="shared" si="68"/>
        <v>-4.7000000000139153</v>
      </c>
      <c r="AL34" s="137">
        <v>184.7379</v>
      </c>
      <c r="AM34" s="138">
        <f t="shared" si="69"/>
        <v>0.69999999999481588</v>
      </c>
      <c r="AN34" s="139">
        <f t="shared" si="70"/>
        <v>-4.0000000000190994</v>
      </c>
      <c r="AO34" s="148">
        <v>184.73830000000001</v>
      </c>
      <c r="AP34" s="140">
        <f t="shared" si="71"/>
        <v>0.40000000001327862</v>
      </c>
      <c r="AQ34" s="140">
        <f t="shared" si="72"/>
        <v>-3.6000000000058208</v>
      </c>
      <c r="AR34" s="148">
        <v>184.73840000000001</v>
      </c>
      <c r="AS34" s="140">
        <f t="shared" si="73"/>
        <v>0.10000000000331966</v>
      </c>
      <c r="AT34" s="141">
        <f t="shared" si="74"/>
        <v>-3.5000000000025011</v>
      </c>
      <c r="AU34" s="136">
        <v>184.73870000000002</v>
      </c>
      <c r="AV34" s="140">
        <f t="shared" si="75"/>
        <v>0.30000000000995897</v>
      </c>
      <c r="AW34" s="140">
        <f t="shared" si="76"/>
        <v>-3.1999999999925421</v>
      </c>
      <c r="AX34" s="136">
        <v>184.7389</v>
      </c>
      <c r="AY34" s="140">
        <f t="shared" si="77"/>
        <v>0.1999999999782176</v>
      </c>
      <c r="AZ34" s="140">
        <f t="shared" si="78"/>
        <v>-3.0000000000143245</v>
      </c>
      <c r="BA34" s="137">
        <v>184.739</v>
      </c>
      <c r="BB34" s="140">
        <f t="shared" si="79"/>
        <v>0.10000000000331966</v>
      </c>
      <c r="BC34" s="140">
        <f t="shared" si="80"/>
        <v>-2.9000000000110049</v>
      </c>
      <c r="BD34" s="137">
        <v>184.7388</v>
      </c>
      <c r="BE34" s="140">
        <f t="shared" si="81"/>
        <v>-0.20000000000663931</v>
      </c>
      <c r="BF34" s="140">
        <f t="shared" si="82"/>
        <v>-3.1000000000176442</v>
      </c>
      <c r="BG34" s="137">
        <v>184.73929999999999</v>
      </c>
      <c r="BH34" s="140">
        <f t="shared" si="83"/>
        <v>0.49999999998817657</v>
      </c>
      <c r="BI34" s="140">
        <f t="shared" si="84"/>
        <v>-2.6000000000294676</v>
      </c>
      <c r="BJ34" s="137">
        <v>184.73909999999998</v>
      </c>
      <c r="BK34" s="140">
        <f t="shared" si="85"/>
        <v>-0.20000000000663931</v>
      </c>
      <c r="BL34" s="140">
        <f t="shared" si="86"/>
        <v>-2.8000000000361069</v>
      </c>
      <c r="BM34" s="137">
        <v>184.73849999999999</v>
      </c>
      <c r="BN34" s="140">
        <f t="shared" si="87"/>
        <v>-0.59999999999149622</v>
      </c>
      <c r="BO34" s="140">
        <f t="shared" si="88"/>
        <v>-3.4000000000276032</v>
      </c>
      <c r="BP34" s="148">
        <v>184.73869999999999</v>
      </c>
      <c r="BQ34" s="140">
        <f t="shared" si="89"/>
        <v>0.20000000000663931</v>
      </c>
      <c r="BR34" s="140">
        <f t="shared" si="90"/>
        <v>-3.2000000000209639</v>
      </c>
      <c r="BS34" s="142">
        <v>184.73859999999999</v>
      </c>
      <c r="BT34" s="140">
        <f t="shared" si="91"/>
        <v>-0.10000000000331966</v>
      </c>
      <c r="BU34" s="140">
        <f t="shared" si="92"/>
        <v>-3.3000000000242835</v>
      </c>
      <c r="BV34" s="142">
        <v>184.73849999999999</v>
      </c>
      <c r="BW34" s="140">
        <f t="shared" si="93"/>
        <v>-0.10000000000331966</v>
      </c>
      <c r="BX34" s="140">
        <f t="shared" si="94"/>
        <v>-3.4000000000276032</v>
      </c>
      <c r="BY34" s="143">
        <v>27</v>
      </c>
      <c r="CA34" s="1">
        <v>7000</v>
      </c>
    </row>
    <row r="35" spans="1:79" ht="15.75" x14ac:dyDescent="0.25">
      <c r="A35" s="136">
        <v>28</v>
      </c>
      <c r="B35" s="137">
        <v>184.74020000000002</v>
      </c>
      <c r="C35" s="136">
        <v>0</v>
      </c>
      <c r="D35" s="138">
        <v>0</v>
      </c>
      <c r="E35" s="137">
        <v>184.73950000000002</v>
      </c>
      <c r="F35" s="136">
        <f t="shared" si="95"/>
        <v>-0.69999999999481588</v>
      </c>
      <c r="G35" s="139">
        <f t="shared" si="96"/>
        <v>-0.69999999999481588</v>
      </c>
      <c r="H35" s="137">
        <v>184.7398</v>
      </c>
      <c r="I35" s="136">
        <f t="shared" si="49"/>
        <v>0.29999999998153726</v>
      </c>
      <c r="J35" s="139">
        <f t="shared" si="50"/>
        <v>-0.40000000001327862</v>
      </c>
      <c r="K35" s="137">
        <v>184.7397</v>
      </c>
      <c r="L35" s="136">
        <f t="shared" si="51"/>
        <v>-0.10000000000331966</v>
      </c>
      <c r="M35" s="139">
        <f t="shared" si="52"/>
        <v>-0.50000000001659828</v>
      </c>
      <c r="N35" s="137">
        <v>184.74</v>
      </c>
      <c r="O35" s="136">
        <f t="shared" si="53"/>
        <v>0.30000000000995897</v>
      </c>
      <c r="P35" s="139">
        <f t="shared" si="54"/>
        <v>-0.20000000000663931</v>
      </c>
      <c r="Q35" s="137">
        <v>184.74010000000001</v>
      </c>
      <c r="R35" s="136">
        <f t="shared" si="55"/>
        <v>0.10000000000331966</v>
      </c>
      <c r="S35" s="139">
        <f t="shared" si="56"/>
        <v>-0.10000000000331966</v>
      </c>
      <c r="T35" s="137">
        <v>184.73990000000001</v>
      </c>
      <c r="U35" s="136">
        <f t="shared" si="57"/>
        <v>-0.20000000000663931</v>
      </c>
      <c r="V35" s="139">
        <f t="shared" si="58"/>
        <v>-0.30000000000995897</v>
      </c>
      <c r="W35" s="137">
        <v>184.74039999999999</v>
      </c>
      <c r="X35" s="136">
        <f t="shared" si="59"/>
        <v>0.49999999998817657</v>
      </c>
      <c r="Y35" s="139">
        <f t="shared" si="60"/>
        <v>0.1999999999782176</v>
      </c>
      <c r="Z35" s="137">
        <v>184.74010000000001</v>
      </c>
      <c r="AA35" s="136">
        <f t="shared" si="61"/>
        <v>-0.29999999998153726</v>
      </c>
      <c r="AB35" s="139">
        <f t="shared" si="62"/>
        <v>-0.10000000000331966</v>
      </c>
      <c r="AC35" s="137">
        <v>184.73990000000001</v>
      </c>
      <c r="AD35" s="136">
        <f t="shared" si="63"/>
        <v>-0.20000000000663931</v>
      </c>
      <c r="AE35" s="139">
        <f t="shared" si="64"/>
        <v>-0.30000000000995897</v>
      </c>
      <c r="AF35" s="137">
        <v>184.7381</v>
      </c>
      <c r="AG35" s="136">
        <f t="shared" si="65"/>
        <v>-1.8000000000029104</v>
      </c>
      <c r="AH35" s="139">
        <f t="shared" si="66"/>
        <v>-2.1000000000128694</v>
      </c>
      <c r="AI35" s="137">
        <v>184.73580000000001</v>
      </c>
      <c r="AJ35" s="136">
        <f t="shared" si="67"/>
        <v>-2.299999999991087</v>
      </c>
      <c r="AK35" s="139">
        <f t="shared" si="68"/>
        <v>-4.4000000000039563</v>
      </c>
      <c r="AL35" s="137">
        <v>184.7362</v>
      </c>
      <c r="AM35" s="136">
        <f t="shared" si="69"/>
        <v>0.39999999998485691</v>
      </c>
      <c r="AN35" s="139">
        <f t="shared" si="70"/>
        <v>-4.0000000000190994</v>
      </c>
      <c r="AO35" s="148">
        <v>184.73679999999999</v>
      </c>
      <c r="AP35" s="140">
        <f t="shared" si="71"/>
        <v>0.59999999999149622</v>
      </c>
      <c r="AQ35" s="140">
        <f t="shared" si="72"/>
        <v>-3.4000000000276032</v>
      </c>
      <c r="AR35" s="148">
        <v>184.73670000000001</v>
      </c>
      <c r="AS35" s="140">
        <f t="shared" si="73"/>
        <v>-9.9999999974897946E-2</v>
      </c>
      <c r="AT35" s="141">
        <f t="shared" si="74"/>
        <v>-3.5000000000025011</v>
      </c>
      <c r="AU35" s="136">
        <v>184.73710000000003</v>
      </c>
      <c r="AV35" s="140">
        <f t="shared" si="75"/>
        <v>0.40000000001327862</v>
      </c>
      <c r="AW35" s="140">
        <f t="shared" si="76"/>
        <v>-3.0999999999892225</v>
      </c>
      <c r="AX35" s="136">
        <v>184.73760000000001</v>
      </c>
      <c r="AY35" s="140">
        <f t="shared" si="77"/>
        <v>0.49999999998817657</v>
      </c>
      <c r="AZ35" s="140">
        <f t="shared" si="78"/>
        <v>-2.6000000000010459</v>
      </c>
      <c r="BA35" s="137">
        <v>184.73750000000001</v>
      </c>
      <c r="BB35" s="140">
        <f t="shared" si="79"/>
        <v>-0.10000000000331966</v>
      </c>
      <c r="BC35" s="140">
        <f t="shared" si="80"/>
        <v>-2.7000000000043656</v>
      </c>
      <c r="BD35" s="137">
        <v>184.73740000000001</v>
      </c>
      <c r="BE35" s="140">
        <f t="shared" si="81"/>
        <v>-0.10000000000331966</v>
      </c>
      <c r="BF35" s="140">
        <f t="shared" si="82"/>
        <v>-2.8000000000076852</v>
      </c>
      <c r="BG35" s="137">
        <v>184.7372</v>
      </c>
      <c r="BH35" s="140">
        <f t="shared" si="83"/>
        <v>-0.20000000000663931</v>
      </c>
      <c r="BI35" s="140">
        <f t="shared" si="84"/>
        <v>-3.0000000000143245</v>
      </c>
      <c r="BJ35" s="137">
        <v>184.73650000000001</v>
      </c>
      <c r="BK35" s="140">
        <f t="shared" si="85"/>
        <v>-0.69999999999481588</v>
      </c>
      <c r="BL35" s="140">
        <f t="shared" si="86"/>
        <v>-3.7000000000091404</v>
      </c>
      <c r="BM35" s="137">
        <v>184.73670000000001</v>
      </c>
      <c r="BN35" s="140">
        <f t="shared" si="87"/>
        <v>0.20000000000663931</v>
      </c>
      <c r="BO35" s="140">
        <f t="shared" si="88"/>
        <v>-3.5000000000025011</v>
      </c>
      <c r="BP35" s="148">
        <v>184.73700000000002</v>
      </c>
      <c r="BQ35" s="140">
        <f t="shared" si="89"/>
        <v>0.30000000000995897</v>
      </c>
      <c r="BR35" s="140">
        <f t="shared" si="90"/>
        <v>-3.1999999999925421</v>
      </c>
      <c r="BS35" s="142">
        <v>184.73710000000003</v>
      </c>
      <c r="BT35" s="140">
        <f t="shared" si="91"/>
        <v>0.10000000000331966</v>
      </c>
      <c r="BU35" s="140">
        <f t="shared" si="92"/>
        <v>-3.0999999999892225</v>
      </c>
      <c r="BV35" s="142">
        <v>184.73680000000002</v>
      </c>
      <c r="BW35" s="140">
        <f t="shared" si="93"/>
        <v>-0.30000000000995897</v>
      </c>
      <c r="BX35" s="140">
        <f t="shared" si="94"/>
        <v>-3.3999999999991815</v>
      </c>
      <c r="BY35" s="143">
        <v>28</v>
      </c>
      <c r="CA35" s="145">
        <f>(BX37-BX38)/CA34</f>
        <v>-2.0000000000257906E-4</v>
      </c>
    </row>
    <row r="36" spans="1:79" ht="15.75" x14ac:dyDescent="0.25">
      <c r="A36" s="136">
        <v>29</v>
      </c>
      <c r="B36" s="137">
        <v>184.74</v>
      </c>
      <c r="C36" s="136">
        <v>0</v>
      </c>
      <c r="D36" s="138">
        <v>0</v>
      </c>
      <c r="E36" s="137">
        <v>184.74019999999999</v>
      </c>
      <c r="F36" s="136">
        <f t="shared" si="95"/>
        <v>0.1999999999782176</v>
      </c>
      <c r="G36" s="139">
        <f t="shared" si="96"/>
        <v>0.1999999999782176</v>
      </c>
      <c r="H36" s="137">
        <v>184.74010000000001</v>
      </c>
      <c r="I36" s="136">
        <f t="shared" si="49"/>
        <v>-9.9999999974897946E-2</v>
      </c>
      <c r="J36" s="139">
        <f t="shared" si="50"/>
        <v>0.10000000000331966</v>
      </c>
      <c r="K36" s="137">
        <v>184.74019999999999</v>
      </c>
      <c r="L36" s="136">
        <f t="shared" si="51"/>
        <v>9.9999999974897946E-2</v>
      </c>
      <c r="M36" s="139">
        <f t="shared" si="52"/>
        <v>0.1999999999782176</v>
      </c>
      <c r="N36" s="137">
        <v>184.74039999999999</v>
      </c>
      <c r="O36" s="136">
        <f t="shared" si="53"/>
        <v>0.20000000000663931</v>
      </c>
      <c r="P36" s="139">
        <f t="shared" si="54"/>
        <v>0.39999999998485691</v>
      </c>
      <c r="Q36" s="137">
        <v>184.74019999999999</v>
      </c>
      <c r="R36" s="136">
        <f t="shared" si="55"/>
        <v>-0.20000000000663931</v>
      </c>
      <c r="S36" s="139">
        <f t="shared" si="56"/>
        <v>0.1999999999782176</v>
      </c>
      <c r="T36" s="137">
        <v>184.73910000000001</v>
      </c>
      <c r="U36" s="136">
        <f t="shared" si="57"/>
        <v>-1.0999999999796728</v>
      </c>
      <c r="V36" s="139">
        <f t="shared" si="58"/>
        <v>-0.90000000000145519</v>
      </c>
      <c r="W36" s="137">
        <v>184.7397</v>
      </c>
      <c r="X36" s="136">
        <f t="shared" si="59"/>
        <v>0.59999999999149622</v>
      </c>
      <c r="Y36" s="139">
        <f t="shared" si="60"/>
        <v>-0.30000000000995897</v>
      </c>
      <c r="Z36" s="137">
        <v>184.73929999999999</v>
      </c>
      <c r="AA36" s="136">
        <f t="shared" si="61"/>
        <v>-0.40000000001327862</v>
      </c>
      <c r="AB36" s="139">
        <f t="shared" si="62"/>
        <v>-0.70000000002323759</v>
      </c>
      <c r="AC36" s="137">
        <v>184.73990000000001</v>
      </c>
      <c r="AD36" s="136">
        <f t="shared" si="63"/>
        <v>0.60000000001991793</v>
      </c>
      <c r="AE36" s="139">
        <f t="shared" si="64"/>
        <v>-0.10000000000331966</v>
      </c>
      <c r="AF36" s="137">
        <v>184.73910000000001</v>
      </c>
      <c r="AG36" s="136">
        <f t="shared" si="65"/>
        <v>-0.79999999999813554</v>
      </c>
      <c r="AH36" s="139">
        <f t="shared" si="66"/>
        <v>-0.90000000000145519</v>
      </c>
      <c r="AI36" s="137">
        <v>184.73679999999999</v>
      </c>
      <c r="AJ36" s="136">
        <f t="shared" si="67"/>
        <v>-2.3000000000195087</v>
      </c>
      <c r="AK36" s="139">
        <f t="shared" si="68"/>
        <v>-3.2000000000209639</v>
      </c>
      <c r="AL36" s="137">
        <v>184.7373</v>
      </c>
      <c r="AM36" s="136">
        <f t="shared" si="69"/>
        <v>0.50000000001659828</v>
      </c>
      <c r="AN36" s="139">
        <f t="shared" si="70"/>
        <v>-2.7000000000043656</v>
      </c>
      <c r="AO36" s="137">
        <v>184.73779999999999</v>
      </c>
      <c r="AP36" s="140">
        <f t="shared" si="71"/>
        <v>0.49999999998817657</v>
      </c>
      <c r="AQ36" s="140">
        <f t="shared" si="72"/>
        <v>-2.200000000016189</v>
      </c>
      <c r="AR36" s="137">
        <v>184.73759999999999</v>
      </c>
      <c r="AS36" s="140">
        <f t="shared" si="73"/>
        <v>-0.20000000000663931</v>
      </c>
      <c r="AT36" s="140">
        <f t="shared" si="74"/>
        <v>-2.4000000000228283</v>
      </c>
      <c r="AU36" s="136">
        <v>184.73740000000001</v>
      </c>
      <c r="AV36" s="140">
        <f t="shared" si="75"/>
        <v>-0.1999999999782176</v>
      </c>
      <c r="AW36" s="140">
        <f t="shared" si="76"/>
        <v>-2.6000000000010459</v>
      </c>
      <c r="AX36" s="136">
        <v>184.7372</v>
      </c>
      <c r="AY36" s="140">
        <f t="shared" si="77"/>
        <v>-0.20000000000663931</v>
      </c>
      <c r="AZ36" s="140">
        <f t="shared" si="78"/>
        <v>-2.8000000000076852</v>
      </c>
      <c r="BA36" s="137">
        <v>184.73699999999999</v>
      </c>
      <c r="BB36" s="140">
        <f t="shared" si="79"/>
        <v>-0.20000000000663931</v>
      </c>
      <c r="BC36" s="140">
        <f t="shared" si="80"/>
        <v>-3.0000000000143245</v>
      </c>
      <c r="BD36" s="137">
        <v>184.73659999999998</v>
      </c>
      <c r="BE36" s="140">
        <f t="shared" si="81"/>
        <v>-0.40000000001327862</v>
      </c>
      <c r="BF36" s="140">
        <f t="shared" si="82"/>
        <v>-3.4000000000276032</v>
      </c>
      <c r="BG36" s="148">
        <v>184.73599999999999</v>
      </c>
      <c r="BH36" s="140">
        <f t="shared" si="83"/>
        <v>-0.59999999999149622</v>
      </c>
      <c r="BI36" s="141">
        <f t="shared" si="84"/>
        <v>-4.0000000000190994</v>
      </c>
      <c r="BJ36" s="148">
        <v>184.7364</v>
      </c>
      <c r="BK36" s="140">
        <f t="shared" si="85"/>
        <v>0.40000000001327862</v>
      </c>
      <c r="BL36" s="140">
        <f t="shared" si="86"/>
        <v>-3.6000000000058208</v>
      </c>
      <c r="BM36" s="148">
        <v>184.73590000000002</v>
      </c>
      <c r="BN36" s="140">
        <f t="shared" si="87"/>
        <v>-0.49999999998817657</v>
      </c>
      <c r="BO36" s="141">
        <f t="shared" si="88"/>
        <v>-4.0999999999939973</v>
      </c>
      <c r="BP36" s="148">
        <v>184.7364</v>
      </c>
      <c r="BQ36" s="140">
        <f t="shared" si="89"/>
        <v>0.49999999998817657</v>
      </c>
      <c r="BR36" s="140">
        <f t="shared" si="90"/>
        <v>-3.6000000000058208</v>
      </c>
      <c r="BS36" s="142">
        <v>184.73660000000001</v>
      </c>
      <c r="BT36" s="140">
        <f t="shared" si="91"/>
        <v>0.20000000000663931</v>
      </c>
      <c r="BU36" s="140">
        <f t="shared" si="92"/>
        <v>-3.3999999999991815</v>
      </c>
      <c r="BV36" s="142">
        <v>184.73690000000002</v>
      </c>
      <c r="BW36" s="140">
        <f t="shared" si="93"/>
        <v>0.30000000000995897</v>
      </c>
      <c r="BX36" s="140">
        <f t="shared" si="94"/>
        <v>-3.0999999999892225</v>
      </c>
      <c r="BY36" s="143">
        <v>29</v>
      </c>
    </row>
    <row r="37" spans="1:79" ht="15.75" x14ac:dyDescent="0.25">
      <c r="A37" s="136">
        <v>30</v>
      </c>
      <c r="B37" s="137">
        <v>185.05880000000002</v>
      </c>
      <c r="C37" s="136">
        <v>0</v>
      </c>
      <c r="D37" s="138">
        <v>0</v>
      </c>
      <c r="E37" s="137">
        <v>185.05799999999999</v>
      </c>
      <c r="F37" s="136">
        <f t="shared" si="95"/>
        <v>-0.80000000002655725</v>
      </c>
      <c r="G37" s="139">
        <f t="shared" si="96"/>
        <v>-0.80000000002655725</v>
      </c>
      <c r="H37" s="137">
        <v>185.0582</v>
      </c>
      <c r="I37" s="136">
        <f t="shared" si="49"/>
        <v>0.20000000000663931</v>
      </c>
      <c r="J37" s="139">
        <f t="shared" si="50"/>
        <v>-0.60000000001991793</v>
      </c>
      <c r="K37" s="137">
        <v>185.05850000000001</v>
      </c>
      <c r="L37" s="136">
        <f t="shared" si="51"/>
        <v>0.30000000000995897</v>
      </c>
      <c r="M37" s="139">
        <f t="shared" si="52"/>
        <v>-0.30000000000995897</v>
      </c>
      <c r="N37" s="137">
        <v>185.05869999999999</v>
      </c>
      <c r="O37" s="136">
        <f t="shared" si="53"/>
        <v>0.1999999999782176</v>
      </c>
      <c r="P37" s="139">
        <f t="shared" si="54"/>
        <v>-0.10000000003174137</v>
      </c>
      <c r="Q37" s="137">
        <v>185.05879999999999</v>
      </c>
      <c r="R37" s="136">
        <f t="shared" si="55"/>
        <v>0.10000000000331966</v>
      </c>
      <c r="S37" s="139">
        <f t="shared" si="56"/>
        <v>-2.8421709430404007E-11</v>
      </c>
      <c r="T37" s="137">
        <v>185.0574</v>
      </c>
      <c r="U37" s="136">
        <f t="shared" si="57"/>
        <v>-1.3999999999896318</v>
      </c>
      <c r="V37" s="139">
        <f t="shared" si="58"/>
        <v>-1.4000000000180535</v>
      </c>
      <c r="W37" s="137">
        <v>185.05779999999999</v>
      </c>
      <c r="X37" s="136">
        <f t="shared" si="59"/>
        <v>0.39999999998485691</v>
      </c>
      <c r="Y37" s="139">
        <f t="shared" si="60"/>
        <v>-1.0000000000331966</v>
      </c>
      <c r="Z37" s="137">
        <v>185.0573</v>
      </c>
      <c r="AA37" s="136">
        <f t="shared" si="61"/>
        <v>-0.49999999998817657</v>
      </c>
      <c r="AB37" s="139">
        <f t="shared" si="62"/>
        <v>-1.5000000000213731</v>
      </c>
      <c r="AC37" s="137">
        <v>185.0575</v>
      </c>
      <c r="AD37" s="136">
        <f t="shared" si="63"/>
        <v>0.20000000000663931</v>
      </c>
      <c r="AE37" s="139">
        <f t="shared" si="64"/>
        <v>-1.3000000000147338</v>
      </c>
      <c r="AF37" s="137">
        <v>185.05710000000002</v>
      </c>
      <c r="AG37" s="136">
        <f t="shared" si="65"/>
        <v>-0.39999999998485691</v>
      </c>
      <c r="AH37" s="139">
        <f t="shared" si="66"/>
        <v>-1.6999999999995907</v>
      </c>
      <c r="AI37" s="137">
        <v>185.0547</v>
      </c>
      <c r="AJ37" s="136">
        <f t="shared" si="67"/>
        <v>-2.4000000000228283</v>
      </c>
      <c r="AK37" s="139">
        <f t="shared" si="68"/>
        <v>-4.100000000022419</v>
      </c>
      <c r="AL37" s="137">
        <v>185.05529999999999</v>
      </c>
      <c r="AM37" s="136">
        <f t="shared" si="69"/>
        <v>0.59999999999149622</v>
      </c>
      <c r="AN37" s="139">
        <f t="shared" si="70"/>
        <v>-3.5000000000309228</v>
      </c>
      <c r="AO37" s="137">
        <v>185.0557</v>
      </c>
      <c r="AP37" s="140">
        <f t="shared" si="71"/>
        <v>0.40000000001327862</v>
      </c>
      <c r="AQ37" s="140">
        <f t="shared" si="72"/>
        <v>-3.1000000000176442</v>
      </c>
      <c r="AR37" s="137">
        <v>185.0556</v>
      </c>
      <c r="AS37" s="140">
        <f t="shared" si="73"/>
        <v>-0.10000000000331966</v>
      </c>
      <c r="AT37" s="140">
        <f t="shared" si="74"/>
        <v>-3.2000000000209639</v>
      </c>
      <c r="AU37" s="136">
        <v>185.05529999999999</v>
      </c>
      <c r="AV37" s="140">
        <f t="shared" si="75"/>
        <v>-0.30000000000995897</v>
      </c>
      <c r="AW37" s="141">
        <f t="shared" si="76"/>
        <v>-3.5000000000309228</v>
      </c>
      <c r="AX37" s="136">
        <v>185.05520000000001</v>
      </c>
      <c r="AY37" s="140">
        <f t="shared" si="77"/>
        <v>-9.9999999974897946E-2</v>
      </c>
      <c r="AZ37" s="141">
        <f t="shared" si="78"/>
        <v>-3.6000000000058208</v>
      </c>
      <c r="BA37" s="137">
        <v>185.05500000000001</v>
      </c>
      <c r="BB37" s="140">
        <f t="shared" si="79"/>
        <v>-0.20000000000663931</v>
      </c>
      <c r="BC37" s="141">
        <f t="shared" si="80"/>
        <v>-3.8000000000124601</v>
      </c>
      <c r="BD37" s="137">
        <v>185.0547</v>
      </c>
      <c r="BE37" s="140">
        <f t="shared" si="81"/>
        <v>-0.30000000000995897</v>
      </c>
      <c r="BF37" s="141">
        <f t="shared" si="82"/>
        <v>-4.100000000022419</v>
      </c>
      <c r="BG37" s="148">
        <v>185.0549</v>
      </c>
      <c r="BH37" s="140">
        <f t="shared" si="83"/>
        <v>0.20000000000663931</v>
      </c>
      <c r="BI37" s="140">
        <f t="shared" si="84"/>
        <v>-3.9000000000157797</v>
      </c>
      <c r="BJ37" s="148">
        <v>185.0547</v>
      </c>
      <c r="BK37" s="140">
        <f t="shared" si="85"/>
        <v>-0.20000000000663931</v>
      </c>
      <c r="BL37" s="141">
        <f t="shared" si="86"/>
        <v>-4.100000000022419</v>
      </c>
      <c r="BM37" s="148">
        <v>185.05500000000001</v>
      </c>
      <c r="BN37" s="140">
        <f t="shared" si="87"/>
        <v>0.30000000000995897</v>
      </c>
      <c r="BO37" s="140">
        <f t="shared" si="88"/>
        <v>-3.8000000000124601</v>
      </c>
      <c r="BP37" s="148">
        <v>185.05510000000001</v>
      </c>
      <c r="BQ37" s="140">
        <f t="shared" si="89"/>
        <v>0.10000000000331966</v>
      </c>
      <c r="BR37" s="141">
        <f t="shared" si="90"/>
        <v>-3.7000000000091404</v>
      </c>
      <c r="BS37" s="142">
        <v>185.0549</v>
      </c>
      <c r="BT37" s="140">
        <f t="shared" si="91"/>
        <v>-0.20000000000663931</v>
      </c>
      <c r="BU37" s="141">
        <f t="shared" si="92"/>
        <v>-3.9000000000157797</v>
      </c>
      <c r="BV37" s="142">
        <v>185.05510000000001</v>
      </c>
      <c r="BW37" s="140">
        <f t="shared" si="93"/>
        <v>0.20000000000663931</v>
      </c>
      <c r="BX37" s="149">
        <f t="shared" si="94"/>
        <v>-3.7000000000091404</v>
      </c>
      <c r="BY37" s="150">
        <v>30</v>
      </c>
    </row>
    <row r="38" spans="1:79" ht="15.75" x14ac:dyDescent="0.25">
      <c r="A38" s="136">
        <v>31</v>
      </c>
      <c r="B38" s="137">
        <v>185.05850000000001</v>
      </c>
      <c r="C38" s="136">
        <v>0</v>
      </c>
      <c r="D38" s="138">
        <v>0</v>
      </c>
      <c r="E38" s="137">
        <v>185.05799999999999</v>
      </c>
      <c r="F38" s="136">
        <f t="shared" si="95"/>
        <v>-0.50000000001659828</v>
      </c>
      <c r="G38" s="139">
        <f t="shared" si="96"/>
        <v>-0.50000000001659828</v>
      </c>
      <c r="H38" s="137">
        <v>185.0583</v>
      </c>
      <c r="I38" s="136">
        <f t="shared" si="49"/>
        <v>0.30000000000995897</v>
      </c>
      <c r="J38" s="139">
        <f t="shared" si="50"/>
        <v>-0.20000000000663931</v>
      </c>
      <c r="K38" s="137">
        <v>185.0582</v>
      </c>
      <c r="L38" s="136">
        <f t="shared" si="51"/>
        <v>-0.10000000000331966</v>
      </c>
      <c r="M38" s="139">
        <f t="shared" si="52"/>
        <v>-0.30000000000995897</v>
      </c>
      <c r="N38" s="137">
        <v>185.05860000000001</v>
      </c>
      <c r="O38" s="136">
        <f t="shared" si="53"/>
        <v>0.40000000001327862</v>
      </c>
      <c r="P38" s="139">
        <f t="shared" si="54"/>
        <v>0.10000000000331966</v>
      </c>
      <c r="Q38" s="137">
        <v>185.05840000000001</v>
      </c>
      <c r="R38" s="136">
        <f t="shared" si="55"/>
        <v>-0.20000000000663931</v>
      </c>
      <c r="S38" s="139">
        <f t="shared" si="56"/>
        <v>-0.10000000000331966</v>
      </c>
      <c r="T38" s="137">
        <v>185.0575</v>
      </c>
      <c r="U38" s="136">
        <f t="shared" si="57"/>
        <v>-0.90000000000145519</v>
      </c>
      <c r="V38" s="139">
        <f t="shared" si="58"/>
        <v>-1.0000000000047748</v>
      </c>
      <c r="W38" s="137">
        <v>185.05799999999999</v>
      </c>
      <c r="X38" s="136">
        <f t="shared" si="59"/>
        <v>0.49999999998817657</v>
      </c>
      <c r="Y38" s="139">
        <f t="shared" si="60"/>
        <v>-0.50000000001659828</v>
      </c>
      <c r="Z38" s="137">
        <v>185.0575</v>
      </c>
      <c r="AA38" s="136">
        <f t="shared" si="61"/>
        <v>-0.49999999998817657</v>
      </c>
      <c r="AB38" s="139">
        <f t="shared" si="62"/>
        <v>-1.0000000000047748</v>
      </c>
      <c r="AC38" s="137">
        <v>185.0575</v>
      </c>
      <c r="AD38" s="136">
        <f t="shared" si="63"/>
        <v>0</v>
      </c>
      <c r="AE38" s="139">
        <f t="shared" si="64"/>
        <v>-1.0000000000047748</v>
      </c>
      <c r="AF38" s="137">
        <v>185.05690000000001</v>
      </c>
      <c r="AG38" s="136">
        <f t="shared" si="65"/>
        <v>-0.59999999999149622</v>
      </c>
      <c r="AH38" s="139">
        <f t="shared" si="66"/>
        <v>-1.5999999999962711</v>
      </c>
      <c r="AI38" s="137">
        <v>185.05459999999999</v>
      </c>
      <c r="AJ38" s="136">
        <f t="shared" si="67"/>
        <v>-2.3000000000195087</v>
      </c>
      <c r="AK38" s="139">
        <f t="shared" si="68"/>
        <v>-3.9000000000157797</v>
      </c>
      <c r="AL38" s="137">
        <v>185.05529999999999</v>
      </c>
      <c r="AM38" s="136">
        <f t="shared" si="69"/>
        <v>0.69999999999481588</v>
      </c>
      <c r="AN38" s="139">
        <f t="shared" si="70"/>
        <v>-3.2000000000209639</v>
      </c>
      <c r="AO38" s="137">
        <v>185.05590000000001</v>
      </c>
      <c r="AP38" s="140">
        <f t="shared" si="71"/>
        <v>0.60000000001991793</v>
      </c>
      <c r="AQ38" s="140">
        <f t="shared" si="72"/>
        <v>-2.6000000000010459</v>
      </c>
      <c r="AR38" s="137">
        <v>185.0558</v>
      </c>
      <c r="AS38" s="140">
        <f t="shared" si="73"/>
        <v>-0.10000000000331966</v>
      </c>
      <c r="AT38" s="140">
        <f t="shared" si="74"/>
        <v>-2.7000000000043656</v>
      </c>
      <c r="AU38" s="136">
        <v>185.0557</v>
      </c>
      <c r="AV38" s="140">
        <f t="shared" si="75"/>
        <v>-0.10000000000331966</v>
      </c>
      <c r="AW38" s="140">
        <f t="shared" si="76"/>
        <v>-2.8000000000076852</v>
      </c>
      <c r="AX38" s="136">
        <v>185.05549999999999</v>
      </c>
      <c r="AY38" s="140">
        <f t="shared" si="77"/>
        <v>-0.20000000000663931</v>
      </c>
      <c r="AZ38" s="140">
        <f t="shared" si="78"/>
        <v>-3.0000000000143245</v>
      </c>
      <c r="BA38" s="136">
        <v>185.05519999999999</v>
      </c>
      <c r="BB38" s="140">
        <f t="shared" si="79"/>
        <v>-0.30000000000995897</v>
      </c>
      <c r="BC38" s="140">
        <f t="shared" si="80"/>
        <v>-3.3000000000242835</v>
      </c>
      <c r="BD38" s="137">
        <v>185.0547</v>
      </c>
      <c r="BE38" s="140">
        <f t="shared" si="81"/>
        <v>-0.49999999998817657</v>
      </c>
      <c r="BF38" s="140">
        <f t="shared" si="82"/>
        <v>-3.8000000000124601</v>
      </c>
      <c r="BG38" s="137">
        <v>185.05510000000001</v>
      </c>
      <c r="BH38" s="140">
        <f t="shared" si="83"/>
        <v>0.40000000001327862</v>
      </c>
      <c r="BI38" s="140">
        <f t="shared" si="84"/>
        <v>-3.3999999999991815</v>
      </c>
      <c r="BJ38" s="137">
        <v>185.05550000000002</v>
      </c>
      <c r="BK38" s="140">
        <f t="shared" si="85"/>
        <v>0.40000000001327862</v>
      </c>
      <c r="BL38" s="140">
        <f t="shared" si="86"/>
        <v>-2.9999999999859028</v>
      </c>
      <c r="BM38" s="137">
        <v>185.05600000000001</v>
      </c>
      <c r="BN38" s="140">
        <f t="shared" si="87"/>
        <v>0.49999999998817657</v>
      </c>
      <c r="BO38" s="140">
        <f t="shared" si="88"/>
        <v>-2.4999999999977263</v>
      </c>
      <c r="BP38" s="148">
        <v>185.05590000000001</v>
      </c>
      <c r="BQ38" s="140">
        <f t="shared" si="89"/>
        <v>-0.10000000000331966</v>
      </c>
      <c r="BR38" s="140">
        <f t="shared" si="90"/>
        <v>-2.6000000000010459</v>
      </c>
      <c r="BS38" s="142">
        <v>185.05590000000001</v>
      </c>
      <c r="BT38" s="140">
        <f t="shared" si="91"/>
        <v>0</v>
      </c>
      <c r="BU38" s="140">
        <f t="shared" si="92"/>
        <v>-2.6000000000010459</v>
      </c>
      <c r="BV38" s="142">
        <v>185.05620000000002</v>
      </c>
      <c r="BW38" s="140">
        <f t="shared" si="93"/>
        <v>0.30000000000995897</v>
      </c>
      <c r="BX38" s="140">
        <f t="shared" si="94"/>
        <v>-2.299999999991087</v>
      </c>
      <c r="BY38" s="150">
        <v>31</v>
      </c>
    </row>
  </sheetData>
  <mergeCells count="58">
    <mergeCell ref="A8:BY8"/>
    <mergeCell ref="A9:BY9"/>
    <mergeCell ref="A10:A11"/>
    <mergeCell ref="B10:D10"/>
    <mergeCell ref="E10:G10"/>
    <mergeCell ref="H10:J10"/>
    <mergeCell ref="K10:M10"/>
    <mergeCell ref="N10:P10"/>
    <mergeCell ref="Q10:S10"/>
    <mergeCell ref="T10:V10"/>
    <mergeCell ref="BD10:BF10"/>
    <mergeCell ref="W10:Y10"/>
    <mergeCell ref="Z10:AB10"/>
    <mergeCell ref="AC10:AE10"/>
    <mergeCell ref="AF10:AH10"/>
    <mergeCell ref="AI10:AK10"/>
    <mergeCell ref="AL10:AN10"/>
    <mergeCell ref="AO10:AQ10"/>
    <mergeCell ref="AR10:AT10"/>
    <mergeCell ref="AU10:AW10"/>
    <mergeCell ref="AX10:AZ10"/>
    <mergeCell ref="BA10:BC10"/>
    <mergeCell ref="BY10:BY11"/>
    <mergeCell ref="A27:BY27"/>
    <mergeCell ref="A28:BY28"/>
    <mergeCell ref="A29:A30"/>
    <mergeCell ref="B29:D29"/>
    <mergeCell ref="E29:G29"/>
    <mergeCell ref="H29:J29"/>
    <mergeCell ref="K29:M29"/>
    <mergeCell ref="N29:P29"/>
    <mergeCell ref="Q29:S29"/>
    <mergeCell ref="BG10:BI10"/>
    <mergeCell ref="BJ10:BL10"/>
    <mergeCell ref="BM10:BO10"/>
    <mergeCell ref="BP10:BR10"/>
    <mergeCell ref="BS10:BU10"/>
    <mergeCell ref="BV10:BX10"/>
    <mergeCell ref="BA29:BC29"/>
    <mergeCell ref="T29:V29"/>
    <mergeCell ref="W29:Y29"/>
    <mergeCell ref="Z29:AB29"/>
    <mergeCell ref="AC29:AE29"/>
    <mergeCell ref="AF29:AH29"/>
    <mergeCell ref="AI29:AK29"/>
    <mergeCell ref="AL29:AN29"/>
    <mergeCell ref="AO29:AQ29"/>
    <mergeCell ref="AR29:AT29"/>
    <mergeCell ref="AU29:AW29"/>
    <mergeCell ref="AX29:AZ29"/>
    <mergeCell ref="BV29:BX29"/>
    <mergeCell ref="BY29:BY30"/>
    <mergeCell ref="BD29:BF29"/>
    <mergeCell ref="BG29:BI29"/>
    <mergeCell ref="BJ29:BL29"/>
    <mergeCell ref="BM29:BO29"/>
    <mergeCell ref="BP29:BR29"/>
    <mergeCell ref="BS29:BU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72"/>
  <sheetViews>
    <sheetView topLeftCell="A16" zoomScale="90" zoomScaleNormal="90" workbookViewId="0">
      <selection activeCell="CB47" sqref="CB47"/>
    </sheetView>
  </sheetViews>
  <sheetFormatPr defaultColWidth="9.140625" defaultRowHeight="15.75" x14ac:dyDescent="0.25"/>
  <cols>
    <col min="1" max="2" width="9.140625" style="1"/>
    <col min="3" max="3" width="6.7109375" style="1" customWidth="1"/>
    <col min="4" max="4" width="12.7109375" style="1" hidden="1" customWidth="1"/>
    <col min="5" max="6" width="9.7109375" style="1" hidden="1" customWidth="1"/>
    <col min="7" max="7" width="12.7109375" style="1" hidden="1" customWidth="1"/>
    <col min="8" max="8" width="12.28515625" style="1" hidden="1" customWidth="1"/>
    <col min="9" max="9" width="9.7109375" style="131" hidden="1" customWidth="1"/>
    <col min="10" max="10" width="12.7109375" style="1" hidden="1" customWidth="1"/>
    <col min="11" max="11" width="9.7109375" style="1" hidden="1" customWidth="1"/>
    <col min="12" max="12" width="9.7109375" style="131" hidden="1" customWidth="1"/>
    <col min="13" max="13" width="12.7109375" style="1" hidden="1" customWidth="1"/>
    <col min="14" max="14" width="9.7109375" style="1" hidden="1" customWidth="1"/>
    <col min="15" max="15" width="9.7109375" style="131" hidden="1" customWidth="1"/>
    <col min="16" max="16" width="12.7109375" style="1" hidden="1" customWidth="1"/>
    <col min="17" max="17" width="9.7109375" style="1" hidden="1" customWidth="1"/>
    <col min="18" max="18" width="9.7109375" style="131" hidden="1" customWidth="1"/>
    <col min="19" max="19" width="12.7109375" style="1" hidden="1" customWidth="1"/>
    <col min="20" max="20" width="9.7109375" style="1" hidden="1" customWidth="1"/>
    <col min="21" max="21" width="9.7109375" style="131" hidden="1" customWidth="1"/>
    <col min="22" max="22" width="12.7109375" style="1" hidden="1" customWidth="1"/>
    <col min="23" max="23" width="9.7109375" style="1" hidden="1" customWidth="1"/>
    <col min="24" max="24" width="9.7109375" style="131" hidden="1" customWidth="1"/>
    <col min="25" max="25" width="12.7109375" style="1" hidden="1" customWidth="1"/>
    <col min="26" max="26" width="9.7109375" style="1" hidden="1" customWidth="1"/>
    <col min="27" max="27" width="9.7109375" style="131" hidden="1" customWidth="1"/>
    <col min="28" max="28" width="12.7109375" style="1" hidden="1" customWidth="1"/>
    <col min="29" max="29" width="9.7109375" style="1" hidden="1" customWidth="1"/>
    <col min="30" max="30" width="9.7109375" style="131" hidden="1" customWidth="1"/>
    <col min="31" max="31" width="12.7109375" style="1" hidden="1" customWidth="1"/>
    <col min="32" max="32" width="9.7109375" style="1" hidden="1" customWidth="1"/>
    <col min="33" max="33" width="9.7109375" style="131" hidden="1" customWidth="1"/>
    <col min="34" max="34" width="12.7109375" style="1" hidden="1" customWidth="1"/>
    <col min="35" max="35" width="9.7109375" style="1" hidden="1" customWidth="1"/>
    <col min="36" max="36" width="9.7109375" style="131" hidden="1" customWidth="1"/>
    <col min="37" max="37" width="12.7109375" style="1" hidden="1" customWidth="1"/>
    <col min="38" max="38" width="9.7109375" style="1" hidden="1" customWidth="1"/>
    <col min="39" max="39" width="9.7109375" style="131" hidden="1" customWidth="1"/>
    <col min="40" max="40" width="12.7109375" style="1" hidden="1" customWidth="1"/>
    <col min="41" max="41" width="9.7109375" style="1" hidden="1" customWidth="1"/>
    <col min="42" max="42" width="9.7109375" style="131" hidden="1" customWidth="1"/>
    <col min="43" max="43" width="11.5703125" style="131" hidden="1" customWidth="1"/>
    <col min="44" max="45" width="9.7109375" style="131" hidden="1" customWidth="1"/>
    <col min="46" max="46" width="12.28515625" style="132" hidden="1" customWidth="1"/>
    <col min="47" max="48" width="9.7109375" style="131" hidden="1" customWidth="1"/>
    <col min="49" max="49" width="12.28515625" style="132" hidden="1" customWidth="1"/>
    <col min="50" max="51" width="9.7109375" style="131" hidden="1" customWidth="1"/>
    <col min="52" max="52" width="12.7109375" style="131" hidden="1" customWidth="1"/>
    <col min="53" max="54" width="9.7109375" style="131" hidden="1" customWidth="1"/>
    <col min="55" max="55" width="12.7109375" style="131" hidden="1" customWidth="1"/>
    <col min="56" max="57" width="9.7109375" style="131" hidden="1" customWidth="1"/>
    <col min="58" max="60" width="12.7109375" style="131" hidden="1" customWidth="1"/>
    <col min="61" max="61" width="12.7109375" style="132" hidden="1" customWidth="1"/>
    <col min="62" max="63" width="12.7109375" style="131" hidden="1" customWidth="1"/>
    <col min="64" max="64" width="12.7109375" style="132" hidden="1" customWidth="1"/>
    <col min="65" max="66" width="12.7109375" style="131" hidden="1" customWidth="1"/>
    <col min="67" max="67" width="12.7109375" style="132" hidden="1" customWidth="1"/>
    <col min="68" max="69" width="9.7109375" style="131" hidden="1" customWidth="1"/>
    <col min="70" max="70" width="12.7109375" style="132" hidden="1" customWidth="1"/>
    <col min="71" max="72" width="9.7109375" style="131" hidden="1" customWidth="1"/>
    <col min="73" max="73" width="12.7109375" style="132" customWidth="1"/>
    <col min="74" max="75" width="9.7109375" style="131" customWidth="1"/>
    <col min="76" max="76" width="12.7109375" style="132" customWidth="1"/>
    <col min="77" max="78" width="9.7109375" style="131" customWidth="1"/>
    <col min="79" max="79" width="6.7109375" style="131" customWidth="1"/>
    <col min="80" max="80" width="12.7109375" style="1" bestFit="1" customWidth="1"/>
    <col min="81" max="16384" width="9.140625" style="1"/>
  </cols>
  <sheetData>
    <row r="1" spans="1:81" x14ac:dyDescent="0.25">
      <c r="CB1" s="133" t="s">
        <v>209</v>
      </c>
    </row>
    <row r="2" spans="1:81" x14ac:dyDescent="0.25"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42"/>
      <c r="AU2" s="3"/>
      <c r="AV2" s="3"/>
      <c r="AW2" s="42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42"/>
      <c r="BJ2" s="3"/>
      <c r="BK2" s="3"/>
      <c r="BL2" s="42"/>
      <c r="BM2" s="3"/>
      <c r="BN2" s="3"/>
      <c r="BO2" s="42"/>
      <c r="BP2" s="3"/>
      <c r="BQ2" s="3"/>
      <c r="BR2" s="42"/>
      <c r="BS2" s="3"/>
      <c r="BT2" s="3"/>
      <c r="BU2" s="42"/>
      <c r="BV2" s="3"/>
      <c r="BW2" s="3"/>
      <c r="BX2" s="42"/>
      <c r="BY2" s="3"/>
      <c r="BZ2" s="3"/>
      <c r="CA2" s="4" t="s">
        <v>73</v>
      </c>
    </row>
    <row r="3" spans="1:81" x14ac:dyDescent="0.25">
      <c r="A3" s="134"/>
      <c r="B3" s="134"/>
      <c r="C3" s="177" t="s">
        <v>62</v>
      </c>
      <c r="D3" s="177"/>
      <c r="E3" s="177"/>
      <c r="F3" s="177"/>
      <c r="G3" s="177"/>
      <c r="H3" s="177"/>
      <c r="I3" s="177"/>
      <c r="J3" s="177"/>
      <c r="K3" s="177"/>
      <c r="L3" s="177"/>
      <c r="M3" s="177"/>
      <c r="N3" s="177"/>
      <c r="O3" s="177"/>
      <c r="P3" s="177"/>
      <c r="Q3" s="177"/>
      <c r="R3" s="177"/>
      <c r="S3" s="177"/>
      <c r="T3" s="177"/>
      <c r="U3" s="177"/>
      <c r="V3" s="177"/>
      <c r="W3" s="177"/>
      <c r="X3" s="177"/>
      <c r="Y3" s="177"/>
      <c r="Z3" s="177"/>
      <c r="AA3" s="177"/>
      <c r="AB3" s="177"/>
      <c r="AC3" s="177"/>
      <c r="AD3" s="177"/>
      <c r="AE3" s="177"/>
      <c r="AF3" s="177"/>
      <c r="AG3" s="177"/>
      <c r="AH3" s="177"/>
      <c r="AI3" s="177"/>
      <c r="AJ3" s="177"/>
      <c r="AK3" s="177"/>
      <c r="AL3" s="177"/>
      <c r="AM3" s="177"/>
      <c r="AN3" s="177"/>
      <c r="AO3" s="177"/>
      <c r="AP3" s="177"/>
      <c r="AQ3" s="177"/>
      <c r="AR3" s="177"/>
      <c r="AS3" s="177"/>
      <c r="AT3" s="177"/>
      <c r="AU3" s="177"/>
      <c r="AV3" s="177"/>
      <c r="AW3" s="177"/>
      <c r="AX3" s="177"/>
      <c r="AY3" s="177"/>
      <c r="AZ3" s="177"/>
      <c r="BA3" s="177"/>
      <c r="BB3" s="177"/>
      <c r="BC3" s="177"/>
      <c r="BD3" s="177"/>
      <c r="BE3" s="177"/>
      <c r="BF3" s="177"/>
      <c r="BG3" s="177"/>
      <c r="BH3" s="177"/>
      <c r="BI3" s="177"/>
      <c r="BJ3" s="177"/>
      <c r="BK3" s="177"/>
      <c r="BL3" s="177"/>
      <c r="BM3" s="177"/>
      <c r="BN3" s="177"/>
      <c r="BO3" s="177"/>
      <c r="BP3" s="177"/>
      <c r="BQ3" s="177"/>
      <c r="BR3" s="177"/>
      <c r="BS3" s="177"/>
      <c r="BT3" s="177"/>
      <c r="BU3" s="177"/>
      <c r="BV3" s="177"/>
      <c r="BW3" s="177"/>
      <c r="BX3" s="177"/>
      <c r="BY3" s="177"/>
      <c r="BZ3" s="177"/>
      <c r="CA3" s="177"/>
      <c r="CB3" s="134"/>
      <c r="CC3" s="134"/>
    </row>
    <row r="4" spans="1:81" ht="28.5" customHeight="1" x14ac:dyDescent="0.25">
      <c r="A4" s="134"/>
      <c r="B4" s="134"/>
      <c r="C4" s="177" t="s">
        <v>63</v>
      </c>
      <c r="D4" s="177"/>
      <c r="E4" s="177"/>
      <c r="F4" s="177"/>
      <c r="G4" s="177"/>
      <c r="H4" s="177"/>
      <c r="I4" s="177"/>
      <c r="J4" s="177"/>
      <c r="K4" s="177"/>
      <c r="L4" s="177"/>
      <c r="M4" s="177"/>
      <c r="N4" s="177"/>
      <c r="O4" s="177"/>
      <c r="P4" s="177"/>
      <c r="Q4" s="177"/>
      <c r="R4" s="177"/>
      <c r="S4" s="177"/>
      <c r="T4" s="177"/>
      <c r="U4" s="177"/>
      <c r="V4" s="177"/>
      <c r="W4" s="177"/>
      <c r="X4" s="177"/>
      <c r="Y4" s="177"/>
      <c r="Z4" s="177"/>
      <c r="AA4" s="177"/>
      <c r="AB4" s="177"/>
      <c r="AC4" s="177"/>
      <c r="AD4" s="177"/>
      <c r="AE4" s="177"/>
      <c r="AF4" s="177"/>
      <c r="AG4" s="177"/>
      <c r="AH4" s="177"/>
      <c r="AI4" s="177"/>
      <c r="AJ4" s="177"/>
      <c r="AK4" s="177"/>
      <c r="AL4" s="177"/>
      <c r="AM4" s="177"/>
      <c r="AN4" s="177"/>
      <c r="AO4" s="177"/>
      <c r="AP4" s="177"/>
      <c r="AQ4" s="177"/>
      <c r="AR4" s="177"/>
      <c r="AS4" s="177"/>
      <c r="AT4" s="177"/>
      <c r="AU4" s="177"/>
      <c r="AV4" s="177"/>
      <c r="AW4" s="177"/>
      <c r="AX4" s="177"/>
      <c r="AY4" s="177"/>
      <c r="AZ4" s="177"/>
      <c r="BA4" s="177"/>
      <c r="BB4" s="177"/>
      <c r="BC4" s="177"/>
      <c r="BD4" s="177"/>
      <c r="BE4" s="177"/>
      <c r="BF4" s="177"/>
      <c r="BG4" s="177"/>
      <c r="BH4" s="177"/>
      <c r="BI4" s="177"/>
      <c r="BJ4" s="177"/>
      <c r="BK4" s="177"/>
      <c r="BL4" s="177"/>
      <c r="BM4" s="177"/>
      <c r="BN4" s="177"/>
      <c r="BO4" s="177"/>
      <c r="BP4" s="177"/>
      <c r="BQ4" s="177"/>
      <c r="BR4" s="177"/>
      <c r="BS4" s="177"/>
      <c r="BT4" s="177"/>
      <c r="BU4" s="177"/>
      <c r="BV4" s="177"/>
      <c r="BW4" s="177"/>
      <c r="BX4" s="177"/>
      <c r="BY4" s="177"/>
      <c r="BZ4" s="177"/>
      <c r="CA4" s="177"/>
      <c r="CB4" s="134"/>
      <c r="CC4" s="134"/>
    </row>
    <row r="5" spans="1:81" ht="29.25" customHeight="1" x14ac:dyDescent="0.25">
      <c r="C5" s="178" t="s">
        <v>1</v>
      </c>
      <c r="D5" s="174" t="s">
        <v>185</v>
      </c>
      <c r="E5" s="175"/>
      <c r="F5" s="176"/>
      <c r="G5" s="174" t="s">
        <v>186</v>
      </c>
      <c r="H5" s="175"/>
      <c r="I5" s="176"/>
      <c r="J5" s="174" t="s">
        <v>187</v>
      </c>
      <c r="K5" s="175"/>
      <c r="L5" s="176"/>
      <c r="M5" s="174" t="s">
        <v>188</v>
      </c>
      <c r="N5" s="175"/>
      <c r="O5" s="176"/>
      <c r="P5" s="174" t="s">
        <v>189</v>
      </c>
      <c r="Q5" s="175"/>
      <c r="R5" s="176"/>
      <c r="S5" s="174" t="s">
        <v>190</v>
      </c>
      <c r="T5" s="175"/>
      <c r="U5" s="176"/>
      <c r="V5" s="174" t="s">
        <v>191</v>
      </c>
      <c r="W5" s="175"/>
      <c r="X5" s="176"/>
      <c r="Y5" s="174" t="s">
        <v>192</v>
      </c>
      <c r="Z5" s="175"/>
      <c r="AA5" s="176"/>
      <c r="AB5" s="174" t="s">
        <v>193</v>
      </c>
      <c r="AC5" s="175"/>
      <c r="AD5" s="176"/>
      <c r="AE5" s="174" t="s">
        <v>194</v>
      </c>
      <c r="AF5" s="175"/>
      <c r="AG5" s="176"/>
      <c r="AH5" s="174" t="s">
        <v>195</v>
      </c>
      <c r="AI5" s="175"/>
      <c r="AJ5" s="176"/>
      <c r="AK5" s="174" t="s">
        <v>196</v>
      </c>
      <c r="AL5" s="175"/>
      <c r="AM5" s="176"/>
      <c r="AN5" s="174" t="s">
        <v>197</v>
      </c>
      <c r="AO5" s="175"/>
      <c r="AP5" s="176"/>
      <c r="AQ5" s="174" t="s">
        <v>198</v>
      </c>
      <c r="AR5" s="175"/>
      <c r="AS5" s="176"/>
      <c r="AT5" s="174" t="s">
        <v>199</v>
      </c>
      <c r="AU5" s="175"/>
      <c r="AV5" s="176"/>
      <c r="AW5" s="174" t="s">
        <v>200</v>
      </c>
      <c r="AX5" s="175"/>
      <c r="AY5" s="176"/>
      <c r="AZ5" s="174" t="s">
        <v>201</v>
      </c>
      <c r="BA5" s="175"/>
      <c r="BB5" s="176"/>
      <c r="BC5" s="174" t="s">
        <v>202</v>
      </c>
      <c r="BD5" s="175"/>
      <c r="BE5" s="176"/>
      <c r="BF5" s="171" t="s">
        <v>203</v>
      </c>
      <c r="BG5" s="172"/>
      <c r="BH5" s="173"/>
      <c r="BI5" s="171" t="s">
        <v>204</v>
      </c>
      <c r="BJ5" s="172"/>
      <c r="BK5" s="173"/>
      <c r="BL5" s="171" t="s">
        <v>205</v>
      </c>
      <c r="BM5" s="172"/>
      <c r="BN5" s="173"/>
      <c r="BO5" s="171" t="s">
        <v>206</v>
      </c>
      <c r="BP5" s="172"/>
      <c r="BQ5" s="173"/>
      <c r="BR5" s="167" t="s">
        <v>207</v>
      </c>
      <c r="BS5" s="168"/>
      <c r="BT5" s="169"/>
      <c r="BU5" s="167" t="s">
        <v>208</v>
      </c>
      <c r="BV5" s="168"/>
      <c r="BW5" s="169"/>
      <c r="BX5" s="167" t="s">
        <v>214</v>
      </c>
      <c r="BY5" s="168"/>
      <c r="BZ5" s="169"/>
      <c r="CA5" s="178" t="s">
        <v>1</v>
      </c>
      <c r="CB5" s="9"/>
    </row>
    <row r="6" spans="1:81" ht="45.75" customHeight="1" x14ac:dyDescent="0.25">
      <c r="C6" s="179"/>
      <c r="D6" s="130" t="s">
        <v>2</v>
      </c>
      <c r="E6" s="130" t="s">
        <v>3</v>
      </c>
      <c r="F6" s="135" t="s">
        <v>4</v>
      </c>
      <c r="G6" s="130" t="s">
        <v>2</v>
      </c>
      <c r="H6" s="130" t="s">
        <v>3</v>
      </c>
      <c r="I6" s="135" t="s">
        <v>4</v>
      </c>
      <c r="J6" s="130" t="s">
        <v>2</v>
      </c>
      <c r="K6" s="130" t="s">
        <v>3</v>
      </c>
      <c r="L6" s="135" t="s">
        <v>4</v>
      </c>
      <c r="M6" s="130" t="s">
        <v>2</v>
      </c>
      <c r="N6" s="130" t="s">
        <v>3</v>
      </c>
      <c r="O6" s="135" t="s">
        <v>4</v>
      </c>
      <c r="P6" s="130" t="s">
        <v>2</v>
      </c>
      <c r="Q6" s="130" t="s">
        <v>3</v>
      </c>
      <c r="R6" s="135" t="s">
        <v>4</v>
      </c>
      <c r="S6" s="130" t="s">
        <v>2</v>
      </c>
      <c r="T6" s="130" t="s">
        <v>3</v>
      </c>
      <c r="U6" s="135" t="s">
        <v>4</v>
      </c>
      <c r="V6" s="130" t="s">
        <v>2</v>
      </c>
      <c r="W6" s="130" t="s">
        <v>3</v>
      </c>
      <c r="X6" s="135" t="s">
        <v>4</v>
      </c>
      <c r="Y6" s="130" t="s">
        <v>2</v>
      </c>
      <c r="Z6" s="130" t="s">
        <v>3</v>
      </c>
      <c r="AA6" s="135" t="s">
        <v>4</v>
      </c>
      <c r="AB6" s="130" t="s">
        <v>2</v>
      </c>
      <c r="AC6" s="130" t="s">
        <v>3</v>
      </c>
      <c r="AD6" s="135" t="s">
        <v>4</v>
      </c>
      <c r="AE6" s="130" t="s">
        <v>2</v>
      </c>
      <c r="AF6" s="130" t="s">
        <v>3</v>
      </c>
      <c r="AG6" s="135" t="s">
        <v>4</v>
      </c>
      <c r="AH6" s="130" t="s">
        <v>2</v>
      </c>
      <c r="AI6" s="130" t="s">
        <v>3</v>
      </c>
      <c r="AJ6" s="135" t="s">
        <v>4</v>
      </c>
      <c r="AK6" s="130" t="s">
        <v>2</v>
      </c>
      <c r="AL6" s="130" t="s">
        <v>3</v>
      </c>
      <c r="AM6" s="135" t="s">
        <v>4</v>
      </c>
      <c r="AN6" s="130" t="s">
        <v>2</v>
      </c>
      <c r="AO6" s="130" t="s">
        <v>3</v>
      </c>
      <c r="AP6" s="135" t="s">
        <v>4</v>
      </c>
      <c r="AQ6" s="130" t="s">
        <v>2</v>
      </c>
      <c r="AR6" s="130" t="s">
        <v>3</v>
      </c>
      <c r="AS6" s="135" t="s">
        <v>4</v>
      </c>
      <c r="AT6" s="130" t="s">
        <v>2</v>
      </c>
      <c r="AU6" s="130" t="s">
        <v>3</v>
      </c>
      <c r="AV6" s="135" t="s">
        <v>4</v>
      </c>
      <c r="AW6" s="130" t="s">
        <v>2</v>
      </c>
      <c r="AX6" s="130" t="s">
        <v>3</v>
      </c>
      <c r="AY6" s="135" t="s">
        <v>4</v>
      </c>
      <c r="AZ6" s="130" t="s">
        <v>2</v>
      </c>
      <c r="BA6" s="130" t="s">
        <v>3</v>
      </c>
      <c r="BB6" s="135" t="s">
        <v>4</v>
      </c>
      <c r="BC6" s="130" t="s">
        <v>2</v>
      </c>
      <c r="BD6" s="130" t="s">
        <v>3</v>
      </c>
      <c r="BE6" s="135" t="s">
        <v>4</v>
      </c>
      <c r="BF6" s="130" t="s">
        <v>2</v>
      </c>
      <c r="BG6" s="130" t="s">
        <v>3</v>
      </c>
      <c r="BH6" s="135" t="s">
        <v>4</v>
      </c>
      <c r="BI6" s="130" t="s">
        <v>2</v>
      </c>
      <c r="BJ6" s="130" t="s">
        <v>3</v>
      </c>
      <c r="BK6" s="135" t="s">
        <v>4</v>
      </c>
      <c r="BL6" s="130" t="s">
        <v>2</v>
      </c>
      <c r="BM6" s="130" t="s">
        <v>3</v>
      </c>
      <c r="BN6" s="135" t="s">
        <v>4</v>
      </c>
      <c r="BO6" s="130" t="s">
        <v>2</v>
      </c>
      <c r="BP6" s="130" t="s">
        <v>3</v>
      </c>
      <c r="BQ6" s="135" t="s">
        <v>4</v>
      </c>
      <c r="BR6" s="130" t="s">
        <v>2</v>
      </c>
      <c r="BS6" s="130" t="s">
        <v>3</v>
      </c>
      <c r="BT6" s="135" t="s">
        <v>4</v>
      </c>
      <c r="BU6" s="130" t="s">
        <v>2</v>
      </c>
      <c r="BV6" s="130" t="s">
        <v>3</v>
      </c>
      <c r="BW6" s="135" t="s">
        <v>4</v>
      </c>
      <c r="BX6" s="130" t="s">
        <v>2</v>
      </c>
      <c r="BY6" s="130" t="s">
        <v>3</v>
      </c>
      <c r="BZ6" s="135" t="s">
        <v>4</v>
      </c>
      <c r="CA6" s="179"/>
      <c r="CB6" s="9"/>
    </row>
    <row r="7" spans="1:81" ht="15.6" customHeight="1" x14ac:dyDescent="0.25">
      <c r="C7" s="136">
        <v>1</v>
      </c>
      <c r="D7" s="137">
        <v>182.018</v>
      </c>
      <c r="E7" s="136">
        <v>0</v>
      </c>
      <c r="F7" s="138">
        <v>0</v>
      </c>
      <c r="G7" s="137">
        <v>182.01750000000001</v>
      </c>
      <c r="H7" s="136">
        <f>(G7-D7)*1000</f>
        <v>-0.49999999998817657</v>
      </c>
      <c r="I7" s="139">
        <f>F7+H7</f>
        <v>-0.49999999998817657</v>
      </c>
      <c r="J7" s="137">
        <v>182.01740000000001</v>
      </c>
      <c r="K7" s="136">
        <f t="shared" ref="K7:K17" si="0">(J7-G7)*1000</f>
        <v>-0.10000000000331966</v>
      </c>
      <c r="L7" s="139">
        <f t="shared" ref="L7:L17" si="1">I7+K7</f>
        <v>-0.59999999999149622</v>
      </c>
      <c r="M7" s="137">
        <v>182.01750000000001</v>
      </c>
      <c r="N7" s="136">
        <f t="shared" ref="N7:N17" si="2">(M7-J7)*1000</f>
        <v>0.10000000000331966</v>
      </c>
      <c r="O7" s="139">
        <f t="shared" ref="O7:O17" si="3">L7+N7</f>
        <v>-0.49999999998817657</v>
      </c>
      <c r="P7" s="137">
        <v>182.01769999999999</v>
      </c>
      <c r="Q7" s="136">
        <f t="shared" ref="Q7:Q17" si="4">(P7-M7)*1000</f>
        <v>0.1999999999782176</v>
      </c>
      <c r="R7" s="139">
        <f t="shared" ref="R7:R17" si="5">O7+Q7</f>
        <v>-0.30000000000995897</v>
      </c>
      <c r="S7" s="137">
        <v>182.01779999999999</v>
      </c>
      <c r="T7" s="136">
        <f t="shared" ref="T7:T17" si="6">(S7-P7)*1000</f>
        <v>0.10000000000331966</v>
      </c>
      <c r="U7" s="139">
        <f t="shared" ref="U7:U17" si="7">R7+T7</f>
        <v>-0.20000000000663931</v>
      </c>
      <c r="V7" s="137">
        <v>182.01830000000001</v>
      </c>
      <c r="W7" s="136">
        <f t="shared" ref="W7:W17" si="8">(V7-S7)*1000</f>
        <v>0.50000000001659828</v>
      </c>
      <c r="X7" s="139">
        <f t="shared" ref="X7:X17" si="9">U7+W7</f>
        <v>0.30000000000995897</v>
      </c>
      <c r="Y7" s="137">
        <v>182.0188</v>
      </c>
      <c r="Z7" s="136">
        <f t="shared" ref="Z7:Z17" si="10">(Y7-V7)*1000</f>
        <v>0.49999999998817657</v>
      </c>
      <c r="AA7" s="139">
        <f t="shared" ref="AA7:AA17" si="11">X7+Z7</f>
        <v>0.79999999999813554</v>
      </c>
      <c r="AB7" s="137">
        <v>182.01820000000001</v>
      </c>
      <c r="AC7" s="136">
        <f t="shared" ref="AC7:AC17" si="12">(AB7-Y7)*1000</f>
        <v>-0.59999999999149622</v>
      </c>
      <c r="AD7" s="139">
        <f t="shared" ref="AD7:AD17" si="13">AA7+AC7</f>
        <v>0.20000000000663931</v>
      </c>
      <c r="AE7" s="137">
        <v>182.01849999999999</v>
      </c>
      <c r="AF7" s="136">
        <f t="shared" ref="AF7:AF17" si="14">(AE7-AB7)*1000</f>
        <v>0.29999999998153726</v>
      </c>
      <c r="AG7" s="139">
        <f t="shared" ref="AG7:AG17" si="15">AD7+AF7</f>
        <v>0.49999999998817657</v>
      </c>
      <c r="AH7" s="137">
        <v>182.01820000000001</v>
      </c>
      <c r="AI7" s="136">
        <f t="shared" ref="AI7:AI17" si="16">(AH7-AE7)*1000</f>
        <v>-0.29999999998153726</v>
      </c>
      <c r="AJ7" s="139">
        <f t="shared" ref="AJ7:AJ17" si="17">AG7+AI7</f>
        <v>0.20000000000663931</v>
      </c>
      <c r="AK7" s="137">
        <v>182.01730000000001</v>
      </c>
      <c r="AL7" s="136">
        <f t="shared" ref="AL7:AL17" si="18">(AK7-AH7)*1000</f>
        <v>-0.90000000000145519</v>
      </c>
      <c r="AM7" s="139">
        <f t="shared" ref="AM7:AM17" si="19">AJ7+AL7</f>
        <v>-0.69999999999481588</v>
      </c>
      <c r="AN7" s="137">
        <v>182.01670000000001</v>
      </c>
      <c r="AO7" s="136">
        <f t="shared" ref="AO7:AO17" si="20">(AN7-AK7)*1000</f>
        <v>-0.59999999999149622</v>
      </c>
      <c r="AP7" s="139">
        <f t="shared" ref="AP7:AP17" si="21">AM7+AO7</f>
        <v>-1.2999999999863121</v>
      </c>
      <c r="AQ7" s="136">
        <v>182.01740000000001</v>
      </c>
      <c r="AR7" s="140">
        <f t="shared" ref="AR7:AR17" si="22">(AQ7-AN7)*1000</f>
        <v>0.69999999999481588</v>
      </c>
      <c r="AS7" s="140">
        <f t="shared" ref="AS7:AS17" si="23">AP7+AR7</f>
        <v>-0.59999999999149622</v>
      </c>
      <c r="AT7" s="137">
        <v>182.0172</v>
      </c>
      <c r="AU7" s="140">
        <f t="shared" ref="AU7:AU17" si="24">(AT7-AQ7)*1000</f>
        <v>-0.20000000000663931</v>
      </c>
      <c r="AV7" s="141">
        <f t="shared" ref="AV7:AV17" si="25">AS7+AU7</f>
        <v>-0.79999999999813554</v>
      </c>
      <c r="AW7" s="137">
        <v>182.01760000000002</v>
      </c>
      <c r="AX7" s="140">
        <f t="shared" ref="AX7:AX17" si="26">(AW7-AT7)*1000</f>
        <v>0.40000000001327862</v>
      </c>
      <c r="AY7" s="141">
        <f t="shared" ref="AY7:AY17" si="27">AV7+AX7</f>
        <v>-0.39999999998485691</v>
      </c>
      <c r="AZ7" s="137">
        <v>182.0179</v>
      </c>
      <c r="BA7" s="140">
        <f t="shared" ref="BA7" si="28">(AZ7-AW7)*1000</f>
        <v>0.29999999998153726</v>
      </c>
      <c r="BB7" s="141">
        <f t="shared" ref="BB7" si="29">AY7+BA7</f>
        <v>-0.10000000000331966</v>
      </c>
      <c r="BC7" s="137" t="s">
        <v>69</v>
      </c>
      <c r="BD7" s="140" t="s">
        <v>80</v>
      </c>
      <c r="BE7" s="140">
        <f>BB7</f>
        <v>-0.10000000000331966</v>
      </c>
      <c r="BF7" s="137" t="s">
        <v>69</v>
      </c>
      <c r="BG7" s="140" t="s">
        <v>80</v>
      </c>
      <c r="BH7" s="140">
        <f t="shared" ref="BH7:BH17" si="30">BE7</f>
        <v>-0.10000000000331966</v>
      </c>
      <c r="BI7" s="137" t="s">
        <v>69</v>
      </c>
      <c r="BJ7" s="140" t="s">
        <v>80</v>
      </c>
      <c r="BK7" s="140">
        <f t="shared" ref="BK7:BK17" si="31">BH7</f>
        <v>-0.10000000000331966</v>
      </c>
      <c r="BL7" s="137" t="s">
        <v>69</v>
      </c>
      <c r="BM7" s="140" t="s">
        <v>80</v>
      </c>
      <c r="BN7" s="140">
        <f t="shared" ref="BN7:BN17" si="32">BK7</f>
        <v>-0.10000000000331966</v>
      </c>
      <c r="BO7" s="137" t="s">
        <v>69</v>
      </c>
      <c r="BP7" s="140" t="s">
        <v>80</v>
      </c>
      <c r="BQ7" s="140">
        <f t="shared" ref="BQ7:BQ17" si="33">BN7</f>
        <v>-0.10000000000331966</v>
      </c>
      <c r="BR7" s="137" t="s">
        <v>69</v>
      </c>
      <c r="BS7" s="140" t="s">
        <v>80</v>
      </c>
      <c r="BT7" s="140">
        <f t="shared" ref="BT7:BT17" si="34">BQ7</f>
        <v>-0.10000000000331966</v>
      </c>
      <c r="BU7" s="137" t="s">
        <v>69</v>
      </c>
      <c r="BV7" s="140" t="s">
        <v>80</v>
      </c>
      <c r="BW7" s="140">
        <f t="shared" ref="BW7:BW17" si="35">BT7</f>
        <v>-0.10000000000331966</v>
      </c>
      <c r="BX7" s="137" t="s">
        <v>69</v>
      </c>
      <c r="BY7" s="140" t="s">
        <v>80</v>
      </c>
      <c r="BZ7" s="140">
        <f t="shared" ref="BZ7:BZ17" si="36">BW7</f>
        <v>-0.10000000000331966</v>
      </c>
      <c r="CA7" s="143">
        <v>1</v>
      </c>
    </row>
    <row r="8" spans="1:81" ht="15.6" customHeight="1" x14ac:dyDescent="0.25">
      <c r="C8" s="136">
        <v>2</v>
      </c>
      <c r="D8" s="137">
        <v>182.4511</v>
      </c>
      <c r="E8" s="136">
        <v>0</v>
      </c>
      <c r="F8" s="138">
        <v>0</v>
      </c>
      <c r="G8" s="137">
        <v>182.45089999999999</v>
      </c>
      <c r="H8" s="136">
        <f t="shared" ref="H8:H17" si="37">(G8-D8)*1000</f>
        <v>-0.20000000000663931</v>
      </c>
      <c r="I8" s="139">
        <f t="shared" ref="I8:I17" si="38">F8+H8</f>
        <v>-0.20000000000663931</v>
      </c>
      <c r="J8" s="137">
        <v>182.45079999999999</v>
      </c>
      <c r="K8" s="136">
        <f t="shared" si="0"/>
        <v>-0.10000000000331966</v>
      </c>
      <c r="L8" s="139">
        <f t="shared" si="1"/>
        <v>-0.30000000000995897</v>
      </c>
      <c r="M8" s="137">
        <v>182.45099999999999</v>
      </c>
      <c r="N8" s="136">
        <f t="shared" si="2"/>
        <v>0.20000000000663931</v>
      </c>
      <c r="O8" s="139">
        <f t="shared" si="3"/>
        <v>-0.10000000000331966</v>
      </c>
      <c r="P8" s="137">
        <v>182.4511</v>
      </c>
      <c r="Q8" s="136">
        <f t="shared" si="4"/>
        <v>0.10000000000331966</v>
      </c>
      <c r="R8" s="139">
        <f t="shared" si="5"/>
        <v>0</v>
      </c>
      <c r="S8" s="137">
        <v>182.45099999999999</v>
      </c>
      <c r="T8" s="136">
        <f t="shared" si="6"/>
        <v>-0.10000000000331966</v>
      </c>
      <c r="U8" s="139">
        <f t="shared" si="7"/>
        <v>-0.10000000000331966</v>
      </c>
      <c r="V8" s="137">
        <v>182.45140000000001</v>
      </c>
      <c r="W8" s="136">
        <f t="shared" si="8"/>
        <v>0.40000000001327862</v>
      </c>
      <c r="X8" s="139">
        <f t="shared" si="9"/>
        <v>0.30000000000995897</v>
      </c>
      <c r="Y8" s="137">
        <v>182.45169999999999</v>
      </c>
      <c r="Z8" s="136">
        <f t="shared" si="10"/>
        <v>0.29999999998153726</v>
      </c>
      <c r="AA8" s="139">
        <f t="shared" si="11"/>
        <v>0.59999999999149622</v>
      </c>
      <c r="AB8" s="137">
        <v>182.4513</v>
      </c>
      <c r="AC8" s="136">
        <f t="shared" si="12"/>
        <v>-0.39999999998485691</v>
      </c>
      <c r="AD8" s="139">
        <f t="shared" si="13"/>
        <v>0.20000000000663931</v>
      </c>
      <c r="AE8" s="137">
        <v>182.45150000000001</v>
      </c>
      <c r="AF8" s="136">
        <f t="shared" si="14"/>
        <v>0.20000000000663931</v>
      </c>
      <c r="AG8" s="139">
        <f t="shared" si="15"/>
        <v>0.40000000001327862</v>
      </c>
      <c r="AH8" s="137">
        <v>182.45169999999999</v>
      </c>
      <c r="AI8" s="136">
        <f t="shared" si="16"/>
        <v>0.1999999999782176</v>
      </c>
      <c r="AJ8" s="139">
        <f t="shared" si="17"/>
        <v>0.59999999999149622</v>
      </c>
      <c r="AK8" s="137">
        <v>182.4511</v>
      </c>
      <c r="AL8" s="136">
        <f t="shared" si="18"/>
        <v>-0.59999999999149622</v>
      </c>
      <c r="AM8" s="139">
        <f t="shared" si="19"/>
        <v>0</v>
      </c>
      <c r="AN8" s="137">
        <v>182.45160000000001</v>
      </c>
      <c r="AO8" s="136">
        <f t="shared" si="20"/>
        <v>0.50000000001659828</v>
      </c>
      <c r="AP8" s="139">
        <f t="shared" si="21"/>
        <v>0.50000000001659828</v>
      </c>
      <c r="AQ8" s="136">
        <v>182.4521</v>
      </c>
      <c r="AR8" s="140">
        <f t="shared" si="22"/>
        <v>0.49999999998817657</v>
      </c>
      <c r="AS8" s="140">
        <f t="shared" si="23"/>
        <v>1.0000000000047748</v>
      </c>
      <c r="AT8" s="137">
        <v>182.452</v>
      </c>
      <c r="AU8" s="140">
        <f t="shared" si="24"/>
        <v>-0.10000000000331966</v>
      </c>
      <c r="AV8" s="140">
        <f t="shared" si="25"/>
        <v>0.90000000000145519</v>
      </c>
      <c r="AW8" s="137">
        <v>182.45230000000001</v>
      </c>
      <c r="AX8" s="140">
        <f t="shared" si="26"/>
        <v>0.30000000000995897</v>
      </c>
      <c r="AY8" s="140">
        <f t="shared" si="27"/>
        <v>1.2000000000114142</v>
      </c>
      <c r="AZ8" s="136">
        <v>182.45240000000001</v>
      </c>
      <c r="BA8" s="140">
        <f t="shared" ref="BA8:BA17" si="39">(AZ8-AW8)*1000</f>
        <v>0.10000000000331966</v>
      </c>
      <c r="BB8" s="140">
        <f t="shared" ref="BB8:BB17" si="40">AY8+BA8</f>
        <v>1.3000000000147338</v>
      </c>
      <c r="BC8" s="137" t="s">
        <v>69</v>
      </c>
      <c r="BD8" s="140" t="s">
        <v>80</v>
      </c>
      <c r="BE8" s="140">
        <f t="shared" ref="BE8:BE17" si="41">BB8</f>
        <v>1.3000000000147338</v>
      </c>
      <c r="BF8" s="137" t="s">
        <v>69</v>
      </c>
      <c r="BG8" s="140" t="s">
        <v>80</v>
      </c>
      <c r="BH8" s="140">
        <f t="shared" si="30"/>
        <v>1.3000000000147338</v>
      </c>
      <c r="BI8" s="137" t="s">
        <v>69</v>
      </c>
      <c r="BJ8" s="140" t="s">
        <v>80</v>
      </c>
      <c r="BK8" s="140">
        <f t="shared" si="31"/>
        <v>1.3000000000147338</v>
      </c>
      <c r="BL8" s="137" t="s">
        <v>69</v>
      </c>
      <c r="BM8" s="140" t="s">
        <v>80</v>
      </c>
      <c r="BN8" s="140">
        <f t="shared" si="32"/>
        <v>1.3000000000147338</v>
      </c>
      <c r="BO8" s="137" t="s">
        <v>69</v>
      </c>
      <c r="BP8" s="140" t="s">
        <v>80</v>
      </c>
      <c r="BQ8" s="140">
        <f t="shared" si="33"/>
        <v>1.3000000000147338</v>
      </c>
      <c r="BR8" s="137" t="s">
        <v>69</v>
      </c>
      <c r="BS8" s="140" t="s">
        <v>80</v>
      </c>
      <c r="BT8" s="140">
        <f t="shared" si="34"/>
        <v>1.3000000000147338</v>
      </c>
      <c r="BU8" s="137" t="s">
        <v>69</v>
      </c>
      <c r="BV8" s="140" t="s">
        <v>80</v>
      </c>
      <c r="BW8" s="140">
        <f t="shared" si="35"/>
        <v>1.3000000000147338</v>
      </c>
      <c r="BX8" s="137" t="s">
        <v>69</v>
      </c>
      <c r="BY8" s="140" t="s">
        <v>80</v>
      </c>
      <c r="BZ8" s="140">
        <f t="shared" si="36"/>
        <v>1.3000000000147338</v>
      </c>
      <c r="CA8" s="143">
        <v>2</v>
      </c>
    </row>
    <row r="9" spans="1:81" ht="15.6" customHeight="1" x14ac:dyDescent="0.25">
      <c r="C9" s="136">
        <v>3</v>
      </c>
      <c r="D9" s="137">
        <v>182.47130000000001</v>
      </c>
      <c r="E9" s="136">
        <v>0</v>
      </c>
      <c r="F9" s="138">
        <v>0</v>
      </c>
      <c r="G9" s="137">
        <v>182.471</v>
      </c>
      <c r="H9" s="136">
        <f t="shared" si="37"/>
        <v>-0.30000000000995897</v>
      </c>
      <c r="I9" s="139">
        <f t="shared" si="38"/>
        <v>-0.30000000000995897</v>
      </c>
      <c r="J9" s="137">
        <v>182.4708</v>
      </c>
      <c r="K9" s="136">
        <f t="shared" si="0"/>
        <v>-0.20000000000663931</v>
      </c>
      <c r="L9" s="139">
        <f t="shared" si="1"/>
        <v>-0.50000000001659828</v>
      </c>
      <c r="M9" s="137">
        <v>182.47049999999999</v>
      </c>
      <c r="N9" s="136">
        <f t="shared" si="2"/>
        <v>-0.30000000000995897</v>
      </c>
      <c r="O9" s="139">
        <f t="shared" si="3"/>
        <v>-0.80000000002655725</v>
      </c>
      <c r="P9" s="137">
        <v>182.4708</v>
      </c>
      <c r="Q9" s="136">
        <f t="shared" si="4"/>
        <v>0.30000000000995897</v>
      </c>
      <c r="R9" s="144">
        <f t="shared" si="5"/>
        <v>-0.50000000001659828</v>
      </c>
      <c r="S9" s="137">
        <v>182.471</v>
      </c>
      <c r="T9" s="136">
        <f t="shared" si="6"/>
        <v>0.20000000000663931</v>
      </c>
      <c r="U9" s="139">
        <f t="shared" si="7"/>
        <v>-0.30000000000995897</v>
      </c>
      <c r="V9" s="137">
        <v>182.4718</v>
      </c>
      <c r="W9" s="136">
        <f t="shared" si="8"/>
        <v>0.79999999999813554</v>
      </c>
      <c r="X9" s="139">
        <f t="shared" si="9"/>
        <v>0.49999999998817657</v>
      </c>
      <c r="Y9" s="137">
        <v>182.47130000000001</v>
      </c>
      <c r="Z9" s="136">
        <f t="shared" si="10"/>
        <v>-0.49999999998817657</v>
      </c>
      <c r="AA9" s="139">
        <f t="shared" si="11"/>
        <v>0</v>
      </c>
      <c r="AB9" s="137">
        <v>182.47059999999999</v>
      </c>
      <c r="AC9" s="136">
        <f t="shared" si="12"/>
        <v>-0.70000000002323759</v>
      </c>
      <c r="AD9" s="139">
        <f t="shared" si="13"/>
        <v>-0.70000000002323759</v>
      </c>
      <c r="AE9" s="137">
        <v>182.47110000000001</v>
      </c>
      <c r="AF9" s="136">
        <f t="shared" si="14"/>
        <v>0.50000000001659828</v>
      </c>
      <c r="AG9" s="139">
        <f t="shared" si="15"/>
        <v>-0.20000000000663931</v>
      </c>
      <c r="AH9" s="137">
        <v>182.47149999999999</v>
      </c>
      <c r="AI9" s="136">
        <f t="shared" si="16"/>
        <v>0.39999999998485691</v>
      </c>
      <c r="AJ9" s="139">
        <f t="shared" si="17"/>
        <v>0.1999999999782176</v>
      </c>
      <c r="AK9" s="137">
        <v>182.471</v>
      </c>
      <c r="AL9" s="136">
        <f t="shared" si="18"/>
        <v>-0.49999999998817657</v>
      </c>
      <c r="AM9" s="139">
        <f t="shared" si="19"/>
        <v>-0.30000000000995897</v>
      </c>
      <c r="AN9" s="137">
        <v>182.47120000000001</v>
      </c>
      <c r="AO9" s="136">
        <f t="shared" si="20"/>
        <v>0.20000000000663931</v>
      </c>
      <c r="AP9" s="139">
        <f t="shared" si="21"/>
        <v>-0.10000000000331966</v>
      </c>
      <c r="AQ9" s="136">
        <v>182.47149999999999</v>
      </c>
      <c r="AR9" s="140">
        <f t="shared" si="22"/>
        <v>0.29999999998153726</v>
      </c>
      <c r="AS9" s="140">
        <f t="shared" si="23"/>
        <v>0.1999999999782176</v>
      </c>
      <c r="AT9" s="137">
        <v>182.47149999999999</v>
      </c>
      <c r="AU9" s="140">
        <f t="shared" si="24"/>
        <v>0</v>
      </c>
      <c r="AV9" s="140">
        <f t="shared" si="25"/>
        <v>0.1999999999782176</v>
      </c>
      <c r="AW9" s="137">
        <v>182.47200000000001</v>
      </c>
      <c r="AX9" s="140">
        <f t="shared" si="26"/>
        <v>0.50000000001659828</v>
      </c>
      <c r="AY9" s="140">
        <f t="shared" si="27"/>
        <v>0.69999999999481588</v>
      </c>
      <c r="AZ9" s="137">
        <v>182.47219999999999</v>
      </c>
      <c r="BA9" s="140">
        <f t="shared" si="39"/>
        <v>0.1999999999782176</v>
      </c>
      <c r="BB9" s="140">
        <f t="shared" si="40"/>
        <v>0.89999999997303348</v>
      </c>
      <c r="BC9" s="137" t="s">
        <v>69</v>
      </c>
      <c r="BD9" s="140" t="s">
        <v>80</v>
      </c>
      <c r="BE9" s="140">
        <f t="shared" si="41"/>
        <v>0.89999999997303348</v>
      </c>
      <c r="BF9" s="137" t="s">
        <v>69</v>
      </c>
      <c r="BG9" s="140" t="s">
        <v>80</v>
      </c>
      <c r="BH9" s="140">
        <f t="shared" si="30"/>
        <v>0.89999999997303348</v>
      </c>
      <c r="BI9" s="137" t="s">
        <v>69</v>
      </c>
      <c r="BJ9" s="140" t="s">
        <v>80</v>
      </c>
      <c r="BK9" s="140">
        <f t="shared" si="31"/>
        <v>0.89999999997303348</v>
      </c>
      <c r="BL9" s="137" t="s">
        <v>69</v>
      </c>
      <c r="BM9" s="140" t="s">
        <v>80</v>
      </c>
      <c r="BN9" s="140">
        <f t="shared" si="32"/>
        <v>0.89999999997303348</v>
      </c>
      <c r="BO9" s="137" t="s">
        <v>69</v>
      </c>
      <c r="BP9" s="140" t="s">
        <v>80</v>
      </c>
      <c r="BQ9" s="140">
        <f t="shared" si="33"/>
        <v>0.89999999997303348</v>
      </c>
      <c r="BR9" s="137" t="s">
        <v>69</v>
      </c>
      <c r="BS9" s="140" t="s">
        <v>80</v>
      </c>
      <c r="BT9" s="140">
        <f t="shared" si="34"/>
        <v>0.89999999997303348</v>
      </c>
      <c r="BU9" s="137" t="s">
        <v>69</v>
      </c>
      <c r="BV9" s="140" t="s">
        <v>80</v>
      </c>
      <c r="BW9" s="140">
        <f t="shared" si="35"/>
        <v>0.89999999997303348</v>
      </c>
      <c r="BX9" s="137" t="s">
        <v>69</v>
      </c>
      <c r="BY9" s="140" t="s">
        <v>80</v>
      </c>
      <c r="BZ9" s="140">
        <f t="shared" si="36"/>
        <v>0.89999999997303348</v>
      </c>
      <c r="CA9" s="143">
        <v>3</v>
      </c>
    </row>
    <row r="10" spans="1:81" ht="15.6" customHeight="1" x14ac:dyDescent="0.25">
      <c r="C10" s="136">
        <v>4</v>
      </c>
      <c r="D10" s="137">
        <v>182.5795</v>
      </c>
      <c r="E10" s="136">
        <v>0</v>
      </c>
      <c r="F10" s="138">
        <v>0</v>
      </c>
      <c r="G10" s="137">
        <v>182.57910000000001</v>
      </c>
      <c r="H10" s="136">
        <f t="shared" si="37"/>
        <v>-0.39999999998485691</v>
      </c>
      <c r="I10" s="139">
        <f t="shared" si="38"/>
        <v>-0.39999999998485691</v>
      </c>
      <c r="J10" s="137">
        <v>182.57919999999999</v>
      </c>
      <c r="K10" s="136">
        <f t="shared" si="0"/>
        <v>9.9999999974897946E-2</v>
      </c>
      <c r="L10" s="139">
        <f t="shared" si="1"/>
        <v>-0.30000000000995897</v>
      </c>
      <c r="M10" s="137">
        <v>182.57929999999999</v>
      </c>
      <c r="N10" s="136">
        <f t="shared" si="2"/>
        <v>0.10000000000331966</v>
      </c>
      <c r="O10" s="139">
        <f t="shared" si="3"/>
        <v>-0.20000000000663931</v>
      </c>
      <c r="P10" s="137">
        <v>182.5797</v>
      </c>
      <c r="Q10" s="136">
        <f t="shared" si="4"/>
        <v>0.40000000001327862</v>
      </c>
      <c r="R10" s="139">
        <f t="shared" si="5"/>
        <v>0.20000000000663931</v>
      </c>
      <c r="S10" s="137">
        <v>182.57939999999999</v>
      </c>
      <c r="T10" s="136">
        <f t="shared" si="6"/>
        <v>-0.30000000000995897</v>
      </c>
      <c r="U10" s="139">
        <f t="shared" si="7"/>
        <v>-0.10000000000331966</v>
      </c>
      <c r="V10" s="137">
        <v>182.57990000000001</v>
      </c>
      <c r="W10" s="136">
        <f t="shared" si="8"/>
        <v>0.50000000001659828</v>
      </c>
      <c r="X10" s="139">
        <f t="shared" si="9"/>
        <v>0.40000000001327862</v>
      </c>
      <c r="Y10" s="137">
        <v>182.5804</v>
      </c>
      <c r="Z10" s="136">
        <f t="shared" si="10"/>
        <v>0.49999999998817657</v>
      </c>
      <c r="AA10" s="139">
        <f t="shared" si="11"/>
        <v>0.90000000000145519</v>
      </c>
      <c r="AB10" s="137">
        <v>182.58</v>
      </c>
      <c r="AC10" s="136">
        <f t="shared" si="12"/>
        <v>-0.39999999998485691</v>
      </c>
      <c r="AD10" s="139">
        <f t="shared" si="13"/>
        <v>0.50000000001659828</v>
      </c>
      <c r="AE10" s="137">
        <v>182.58009999999999</v>
      </c>
      <c r="AF10" s="136">
        <f t="shared" si="14"/>
        <v>9.9999999974897946E-2</v>
      </c>
      <c r="AG10" s="139">
        <f t="shared" si="15"/>
        <v>0.59999999999149622</v>
      </c>
      <c r="AH10" s="137">
        <v>182.58019999999999</v>
      </c>
      <c r="AI10" s="136">
        <f t="shared" si="16"/>
        <v>0.10000000000331966</v>
      </c>
      <c r="AJ10" s="139">
        <f t="shared" si="17"/>
        <v>0.69999999999481588</v>
      </c>
      <c r="AK10" s="137">
        <v>182.5795</v>
      </c>
      <c r="AL10" s="136">
        <f t="shared" si="18"/>
        <v>-0.69999999999481588</v>
      </c>
      <c r="AM10" s="139">
        <f t="shared" si="19"/>
        <v>0</v>
      </c>
      <c r="AN10" s="137">
        <v>182.58</v>
      </c>
      <c r="AO10" s="136">
        <f t="shared" si="20"/>
        <v>0.50000000001659828</v>
      </c>
      <c r="AP10" s="139">
        <f t="shared" si="21"/>
        <v>0.50000000001659828</v>
      </c>
      <c r="AQ10" s="136">
        <v>182.5806</v>
      </c>
      <c r="AR10" s="140">
        <f t="shared" si="22"/>
        <v>0.59999999999149622</v>
      </c>
      <c r="AS10" s="140">
        <f t="shared" si="23"/>
        <v>1.1000000000080945</v>
      </c>
      <c r="AT10" s="137">
        <v>182.58070000000001</v>
      </c>
      <c r="AU10" s="140">
        <f t="shared" si="24"/>
        <v>0.10000000000331966</v>
      </c>
      <c r="AV10" s="140">
        <f t="shared" si="25"/>
        <v>1.2000000000114142</v>
      </c>
      <c r="AW10" s="137">
        <v>182.58109999999999</v>
      </c>
      <c r="AX10" s="140">
        <f t="shared" si="26"/>
        <v>0.39999999998485691</v>
      </c>
      <c r="AY10" s="140">
        <f t="shared" si="27"/>
        <v>1.5999999999962711</v>
      </c>
      <c r="AZ10" s="137">
        <v>182.5813</v>
      </c>
      <c r="BA10" s="140">
        <f t="shared" si="39"/>
        <v>0.20000000000663931</v>
      </c>
      <c r="BB10" s="140">
        <f t="shared" si="40"/>
        <v>1.8000000000029104</v>
      </c>
      <c r="BC10" s="137" t="s">
        <v>69</v>
      </c>
      <c r="BD10" s="140" t="s">
        <v>80</v>
      </c>
      <c r="BE10" s="140">
        <f t="shared" si="41"/>
        <v>1.8000000000029104</v>
      </c>
      <c r="BF10" s="137" t="s">
        <v>69</v>
      </c>
      <c r="BG10" s="140" t="s">
        <v>80</v>
      </c>
      <c r="BH10" s="140">
        <f t="shared" si="30"/>
        <v>1.8000000000029104</v>
      </c>
      <c r="BI10" s="137" t="s">
        <v>69</v>
      </c>
      <c r="BJ10" s="140" t="s">
        <v>80</v>
      </c>
      <c r="BK10" s="140">
        <f t="shared" si="31"/>
        <v>1.8000000000029104</v>
      </c>
      <c r="BL10" s="137" t="s">
        <v>69</v>
      </c>
      <c r="BM10" s="140" t="s">
        <v>80</v>
      </c>
      <c r="BN10" s="140">
        <f t="shared" si="32"/>
        <v>1.8000000000029104</v>
      </c>
      <c r="BO10" s="137" t="s">
        <v>69</v>
      </c>
      <c r="BP10" s="140" t="s">
        <v>80</v>
      </c>
      <c r="BQ10" s="140">
        <f t="shared" si="33"/>
        <v>1.8000000000029104</v>
      </c>
      <c r="BR10" s="137" t="s">
        <v>69</v>
      </c>
      <c r="BS10" s="140" t="s">
        <v>80</v>
      </c>
      <c r="BT10" s="140">
        <f t="shared" si="34"/>
        <v>1.8000000000029104</v>
      </c>
      <c r="BU10" s="137" t="s">
        <v>69</v>
      </c>
      <c r="BV10" s="140" t="s">
        <v>80</v>
      </c>
      <c r="BW10" s="140">
        <f t="shared" si="35"/>
        <v>1.8000000000029104</v>
      </c>
      <c r="BX10" s="137" t="s">
        <v>69</v>
      </c>
      <c r="BY10" s="140" t="s">
        <v>80</v>
      </c>
      <c r="BZ10" s="140">
        <f t="shared" si="36"/>
        <v>1.8000000000029104</v>
      </c>
      <c r="CA10" s="143">
        <v>4</v>
      </c>
      <c r="CB10" s="1">
        <v>9000</v>
      </c>
    </row>
    <row r="11" spans="1:81" ht="15.6" customHeight="1" x14ac:dyDescent="0.25">
      <c r="C11" s="136">
        <v>5</v>
      </c>
      <c r="D11" s="137">
        <v>182.5916</v>
      </c>
      <c r="E11" s="136">
        <v>0</v>
      </c>
      <c r="F11" s="138">
        <v>0</v>
      </c>
      <c r="G11" s="137">
        <v>182.59100000000001</v>
      </c>
      <c r="H11" s="136">
        <f t="shared" si="37"/>
        <v>-0.59999999999149622</v>
      </c>
      <c r="I11" s="139">
        <f t="shared" si="38"/>
        <v>-0.59999999999149622</v>
      </c>
      <c r="J11" s="137">
        <v>182.59129999999999</v>
      </c>
      <c r="K11" s="136">
        <f t="shared" si="0"/>
        <v>0.29999999998153726</v>
      </c>
      <c r="L11" s="139">
        <f t="shared" si="1"/>
        <v>-0.30000000000995897</v>
      </c>
      <c r="M11" s="137">
        <v>182.5915</v>
      </c>
      <c r="N11" s="136">
        <f t="shared" si="2"/>
        <v>0.20000000000663931</v>
      </c>
      <c r="O11" s="139">
        <f t="shared" si="3"/>
        <v>-0.10000000000331966</v>
      </c>
      <c r="P11" s="137">
        <v>182.59139999999999</v>
      </c>
      <c r="Q11" s="136">
        <f t="shared" si="4"/>
        <v>-0.10000000000331966</v>
      </c>
      <c r="R11" s="139">
        <f t="shared" si="5"/>
        <v>-0.20000000000663931</v>
      </c>
      <c r="S11" s="137">
        <v>182.5915</v>
      </c>
      <c r="T11" s="136">
        <f t="shared" si="6"/>
        <v>0.10000000000331966</v>
      </c>
      <c r="U11" s="139">
        <f t="shared" si="7"/>
        <v>-0.10000000000331966</v>
      </c>
      <c r="V11" s="137">
        <v>182.59209999999999</v>
      </c>
      <c r="W11" s="136">
        <f t="shared" si="8"/>
        <v>0.59999999999149622</v>
      </c>
      <c r="X11" s="139">
        <f t="shared" si="9"/>
        <v>0.49999999998817657</v>
      </c>
      <c r="Y11" s="137">
        <v>182.59270000000001</v>
      </c>
      <c r="Z11" s="136">
        <f t="shared" si="10"/>
        <v>0.60000000001991793</v>
      </c>
      <c r="AA11" s="139">
        <f t="shared" si="11"/>
        <v>1.1000000000080945</v>
      </c>
      <c r="AB11" s="137">
        <v>182.59200000000001</v>
      </c>
      <c r="AC11" s="136">
        <f t="shared" si="12"/>
        <v>-0.69999999999481588</v>
      </c>
      <c r="AD11" s="139">
        <f t="shared" si="13"/>
        <v>0.40000000001327862</v>
      </c>
      <c r="AE11" s="137">
        <v>182.5924</v>
      </c>
      <c r="AF11" s="136">
        <f t="shared" si="14"/>
        <v>0.39999999998485691</v>
      </c>
      <c r="AG11" s="139">
        <f t="shared" si="15"/>
        <v>0.79999999999813554</v>
      </c>
      <c r="AH11" s="137">
        <v>182.59270000000001</v>
      </c>
      <c r="AI11" s="136">
        <f t="shared" si="16"/>
        <v>0.30000000000995897</v>
      </c>
      <c r="AJ11" s="139">
        <f t="shared" si="17"/>
        <v>1.1000000000080945</v>
      </c>
      <c r="AK11" s="137">
        <v>182.59209999999999</v>
      </c>
      <c r="AL11" s="136">
        <f t="shared" si="18"/>
        <v>-0.60000000001991793</v>
      </c>
      <c r="AM11" s="139">
        <f t="shared" si="19"/>
        <v>0.49999999998817657</v>
      </c>
      <c r="AN11" s="137">
        <v>182.59229999999999</v>
      </c>
      <c r="AO11" s="136">
        <f t="shared" si="20"/>
        <v>0.20000000000663931</v>
      </c>
      <c r="AP11" s="139">
        <f t="shared" si="21"/>
        <v>0.69999999999481588</v>
      </c>
      <c r="AQ11" s="136">
        <v>182.59270000000001</v>
      </c>
      <c r="AR11" s="140">
        <f t="shared" si="22"/>
        <v>0.40000000001327862</v>
      </c>
      <c r="AS11" s="140">
        <f t="shared" si="23"/>
        <v>1.1000000000080945</v>
      </c>
      <c r="AT11" s="137">
        <v>182.59289999999999</v>
      </c>
      <c r="AU11" s="140">
        <f t="shared" si="24"/>
        <v>0.1999999999782176</v>
      </c>
      <c r="AV11" s="140">
        <f t="shared" si="25"/>
        <v>1.2999999999863121</v>
      </c>
      <c r="AW11" s="137">
        <v>182.5932</v>
      </c>
      <c r="AX11" s="140">
        <f t="shared" si="26"/>
        <v>0.30000000000995897</v>
      </c>
      <c r="AY11" s="140">
        <f t="shared" si="27"/>
        <v>1.5999999999962711</v>
      </c>
      <c r="AZ11" s="137">
        <v>182.5934</v>
      </c>
      <c r="BA11" s="140">
        <f t="shared" si="39"/>
        <v>0.20000000000663931</v>
      </c>
      <c r="BB11" s="140">
        <f t="shared" si="40"/>
        <v>1.8000000000029104</v>
      </c>
      <c r="BC11" s="137" t="s">
        <v>69</v>
      </c>
      <c r="BD11" s="140" t="s">
        <v>80</v>
      </c>
      <c r="BE11" s="140">
        <f t="shared" si="41"/>
        <v>1.8000000000029104</v>
      </c>
      <c r="BF11" s="137" t="s">
        <v>69</v>
      </c>
      <c r="BG11" s="140" t="s">
        <v>80</v>
      </c>
      <c r="BH11" s="140">
        <f t="shared" si="30"/>
        <v>1.8000000000029104</v>
      </c>
      <c r="BI11" s="137" t="s">
        <v>69</v>
      </c>
      <c r="BJ11" s="140" t="s">
        <v>80</v>
      </c>
      <c r="BK11" s="140">
        <f t="shared" si="31"/>
        <v>1.8000000000029104</v>
      </c>
      <c r="BL11" s="137" t="s">
        <v>69</v>
      </c>
      <c r="BM11" s="140" t="s">
        <v>80</v>
      </c>
      <c r="BN11" s="140">
        <f t="shared" si="32"/>
        <v>1.8000000000029104</v>
      </c>
      <c r="BO11" s="137" t="s">
        <v>69</v>
      </c>
      <c r="BP11" s="140" t="s">
        <v>80</v>
      </c>
      <c r="BQ11" s="140">
        <f t="shared" si="33"/>
        <v>1.8000000000029104</v>
      </c>
      <c r="BR11" s="137" t="s">
        <v>69</v>
      </c>
      <c r="BS11" s="140" t="s">
        <v>80</v>
      </c>
      <c r="BT11" s="140">
        <f t="shared" si="34"/>
        <v>1.8000000000029104</v>
      </c>
      <c r="BU11" s="137" t="s">
        <v>69</v>
      </c>
      <c r="BV11" s="140" t="s">
        <v>80</v>
      </c>
      <c r="BW11" s="140">
        <f t="shared" si="35"/>
        <v>1.8000000000029104</v>
      </c>
      <c r="BX11" s="137" t="s">
        <v>69</v>
      </c>
      <c r="BY11" s="140" t="s">
        <v>80</v>
      </c>
      <c r="BZ11" s="140">
        <f t="shared" si="36"/>
        <v>1.8000000000029104</v>
      </c>
      <c r="CA11" s="143">
        <v>5</v>
      </c>
      <c r="CB11" s="145">
        <f>(BB7-BB8)/CB10</f>
        <v>-1.555555555575615E-4</v>
      </c>
    </row>
    <row r="12" spans="1:81" ht="15.6" customHeight="1" x14ac:dyDescent="0.25">
      <c r="C12" s="136">
        <v>6</v>
      </c>
      <c r="D12" s="137">
        <v>182.62120000000002</v>
      </c>
      <c r="E12" s="136">
        <v>0</v>
      </c>
      <c r="F12" s="138">
        <v>0</v>
      </c>
      <c r="G12" s="137">
        <v>182.6208</v>
      </c>
      <c r="H12" s="136">
        <f t="shared" si="37"/>
        <v>-0.40000000001327862</v>
      </c>
      <c r="I12" s="139">
        <f t="shared" si="38"/>
        <v>-0.40000000001327862</v>
      </c>
      <c r="J12" s="137">
        <v>182.62090000000001</v>
      </c>
      <c r="K12" s="136">
        <f t="shared" si="0"/>
        <v>0.10000000000331966</v>
      </c>
      <c r="L12" s="139">
        <f t="shared" si="1"/>
        <v>-0.30000000000995897</v>
      </c>
      <c r="M12" s="137">
        <v>182.6208</v>
      </c>
      <c r="N12" s="136">
        <f t="shared" si="2"/>
        <v>-0.10000000000331966</v>
      </c>
      <c r="O12" s="139">
        <f t="shared" si="3"/>
        <v>-0.40000000001327862</v>
      </c>
      <c r="P12" s="137">
        <v>182.62100000000001</v>
      </c>
      <c r="Q12" s="136">
        <f t="shared" si="4"/>
        <v>0.20000000000663931</v>
      </c>
      <c r="R12" s="139">
        <f t="shared" si="5"/>
        <v>-0.20000000000663931</v>
      </c>
      <c r="S12" s="137">
        <v>182.62119999999999</v>
      </c>
      <c r="T12" s="136">
        <f t="shared" si="6"/>
        <v>0.1999999999782176</v>
      </c>
      <c r="U12" s="139">
        <f t="shared" si="7"/>
        <v>-2.8421709430404007E-11</v>
      </c>
      <c r="V12" s="137">
        <v>182.6216</v>
      </c>
      <c r="W12" s="136">
        <f t="shared" si="8"/>
        <v>0.40000000001327862</v>
      </c>
      <c r="X12" s="139">
        <f t="shared" si="9"/>
        <v>0.39999999998485691</v>
      </c>
      <c r="Y12" s="137">
        <v>182.62210000000002</v>
      </c>
      <c r="Z12" s="136">
        <f t="shared" si="10"/>
        <v>0.50000000001659828</v>
      </c>
      <c r="AA12" s="139">
        <f t="shared" si="11"/>
        <v>0.90000000000145519</v>
      </c>
      <c r="AB12" s="137">
        <v>182.6217</v>
      </c>
      <c r="AC12" s="136">
        <f t="shared" si="12"/>
        <v>-0.40000000001327862</v>
      </c>
      <c r="AD12" s="139">
        <f t="shared" si="13"/>
        <v>0.49999999998817657</v>
      </c>
      <c r="AE12" s="137">
        <v>182.62219999999999</v>
      </c>
      <c r="AF12" s="136">
        <f t="shared" si="14"/>
        <v>0.49999999998817657</v>
      </c>
      <c r="AG12" s="139">
        <f t="shared" si="15"/>
        <v>0.99999999997635314</v>
      </c>
      <c r="AH12" s="137">
        <v>182.6217</v>
      </c>
      <c r="AI12" s="136">
        <f t="shared" si="16"/>
        <v>-0.49999999998817657</v>
      </c>
      <c r="AJ12" s="139">
        <f t="shared" si="17"/>
        <v>0.49999999998817657</v>
      </c>
      <c r="AK12" s="137">
        <v>182.62119999999999</v>
      </c>
      <c r="AL12" s="136">
        <f t="shared" si="18"/>
        <v>-0.50000000001659828</v>
      </c>
      <c r="AM12" s="139">
        <f t="shared" si="19"/>
        <v>-2.8421709430404007E-11</v>
      </c>
      <c r="AN12" s="137">
        <v>182.6216</v>
      </c>
      <c r="AO12" s="136">
        <f t="shared" si="20"/>
        <v>0.40000000001327862</v>
      </c>
      <c r="AP12" s="139">
        <f t="shared" si="21"/>
        <v>0.39999999998485691</v>
      </c>
      <c r="AQ12" s="136">
        <v>182.62209999999999</v>
      </c>
      <c r="AR12" s="140">
        <f t="shared" si="22"/>
        <v>0.49999999998817657</v>
      </c>
      <c r="AS12" s="140">
        <f t="shared" si="23"/>
        <v>0.89999999997303348</v>
      </c>
      <c r="AT12" s="137">
        <v>182.6223</v>
      </c>
      <c r="AU12" s="140">
        <f t="shared" si="24"/>
        <v>0.20000000000663931</v>
      </c>
      <c r="AV12" s="140">
        <f t="shared" si="25"/>
        <v>1.0999999999796728</v>
      </c>
      <c r="AW12" s="137">
        <v>182.6225</v>
      </c>
      <c r="AX12" s="140">
        <f t="shared" si="26"/>
        <v>0.20000000000663931</v>
      </c>
      <c r="AY12" s="140">
        <f t="shared" si="27"/>
        <v>1.2999999999863121</v>
      </c>
      <c r="AZ12" s="137">
        <v>182.62280000000001</v>
      </c>
      <c r="BA12" s="140">
        <f t="shared" si="39"/>
        <v>0.30000000000995897</v>
      </c>
      <c r="BB12" s="140">
        <f t="shared" si="40"/>
        <v>1.5999999999962711</v>
      </c>
      <c r="BC12" s="137" t="s">
        <v>69</v>
      </c>
      <c r="BD12" s="140" t="s">
        <v>80</v>
      </c>
      <c r="BE12" s="140">
        <f t="shared" si="41"/>
        <v>1.5999999999962711</v>
      </c>
      <c r="BF12" s="137" t="s">
        <v>69</v>
      </c>
      <c r="BG12" s="140" t="s">
        <v>80</v>
      </c>
      <c r="BH12" s="140">
        <f t="shared" si="30"/>
        <v>1.5999999999962711</v>
      </c>
      <c r="BI12" s="137" t="s">
        <v>69</v>
      </c>
      <c r="BJ12" s="140" t="s">
        <v>80</v>
      </c>
      <c r="BK12" s="140">
        <f t="shared" si="31"/>
        <v>1.5999999999962711</v>
      </c>
      <c r="BL12" s="137" t="s">
        <v>69</v>
      </c>
      <c r="BM12" s="140" t="s">
        <v>80</v>
      </c>
      <c r="BN12" s="140">
        <f t="shared" si="32"/>
        <v>1.5999999999962711</v>
      </c>
      <c r="BO12" s="137" t="s">
        <v>69</v>
      </c>
      <c r="BP12" s="140" t="s">
        <v>80</v>
      </c>
      <c r="BQ12" s="140">
        <f t="shared" si="33"/>
        <v>1.5999999999962711</v>
      </c>
      <c r="BR12" s="137" t="s">
        <v>69</v>
      </c>
      <c r="BS12" s="140" t="s">
        <v>80</v>
      </c>
      <c r="BT12" s="140">
        <f t="shared" si="34"/>
        <v>1.5999999999962711</v>
      </c>
      <c r="BU12" s="137" t="s">
        <v>69</v>
      </c>
      <c r="BV12" s="140" t="s">
        <v>80</v>
      </c>
      <c r="BW12" s="140">
        <f t="shared" si="35"/>
        <v>1.5999999999962711</v>
      </c>
      <c r="BX12" s="137" t="s">
        <v>69</v>
      </c>
      <c r="BY12" s="140" t="s">
        <v>80</v>
      </c>
      <c r="BZ12" s="140">
        <f t="shared" si="36"/>
        <v>1.5999999999962711</v>
      </c>
      <c r="CA12" s="143">
        <v>6</v>
      </c>
    </row>
    <row r="13" spans="1:81" ht="15.6" customHeight="1" x14ac:dyDescent="0.25">
      <c r="C13" s="136">
        <v>7</v>
      </c>
      <c r="D13" s="137">
        <v>182.60730000000001</v>
      </c>
      <c r="E13" s="136">
        <v>0</v>
      </c>
      <c r="F13" s="138">
        <v>0</v>
      </c>
      <c r="G13" s="137">
        <v>182.607</v>
      </c>
      <c r="H13" s="136">
        <f t="shared" si="37"/>
        <v>-0.30000000000995897</v>
      </c>
      <c r="I13" s="139">
        <f t="shared" si="38"/>
        <v>-0.30000000000995897</v>
      </c>
      <c r="J13" s="137">
        <v>182.60720000000001</v>
      </c>
      <c r="K13" s="136">
        <f t="shared" si="0"/>
        <v>0.20000000000663931</v>
      </c>
      <c r="L13" s="139">
        <f t="shared" si="1"/>
        <v>-0.10000000000331966</v>
      </c>
      <c r="M13" s="137">
        <v>182.6069</v>
      </c>
      <c r="N13" s="136">
        <f t="shared" si="2"/>
        <v>-0.30000000000995897</v>
      </c>
      <c r="O13" s="139">
        <f t="shared" si="3"/>
        <v>-0.40000000001327862</v>
      </c>
      <c r="P13" s="137">
        <v>182.607</v>
      </c>
      <c r="Q13" s="136">
        <f t="shared" si="4"/>
        <v>0.10000000000331966</v>
      </c>
      <c r="R13" s="139">
        <f t="shared" si="5"/>
        <v>-0.30000000000995897</v>
      </c>
      <c r="S13" s="137">
        <v>182.6071</v>
      </c>
      <c r="T13" s="136">
        <f t="shared" si="6"/>
        <v>0.10000000000331966</v>
      </c>
      <c r="U13" s="139">
        <f t="shared" si="7"/>
        <v>-0.20000000000663931</v>
      </c>
      <c r="V13" s="137">
        <v>182.60759999999999</v>
      </c>
      <c r="W13" s="136">
        <f t="shared" si="8"/>
        <v>0.49999999998817657</v>
      </c>
      <c r="X13" s="139">
        <f t="shared" si="9"/>
        <v>0.29999999998153726</v>
      </c>
      <c r="Y13" s="137">
        <v>182.60820000000001</v>
      </c>
      <c r="Z13" s="136">
        <f t="shared" si="10"/>
        <v>0.60000000001991793</v>
      </c>
      <c r="AA13" s="139">
        <f t="shared" si="11"/>
        <v>0.90000000000145519</v>
      </c>
      <c r="AB13" s="137">
        <v>182.60769999999999</v>
      </c>
      <c r="AC13" s="136">
        <f t="shared" si="12"/>
        <v>-0.50000000001659828</v>
      </c>
      <c r="AD13" s="139">
        <f t="shared" si="13"/>
        <v>0.39999999998485691</v>
      </c>
      <c r="AE13" s="137">
        <v>182.6079</v>
      </c>
      <c r="AF13" s="136">
        <f t="shared" si="14"/>
        <v>0.20000000000663931</v>
      </c>
      <c r="AG13" s="139">
        <f t="shared" si="15"/>
        <v>0.59999999999149622</v>
      </c>
      <c r="AH13" s="137">
        <v>182.60850000000002</v>
      </c>
      <c r="AI13" s="136">
        <f t="shared" si="16"/>
        <v>0.60000000001991793</v>
      </c>
      <c r="AJ13" s="139">
        <f t="shared" si="17"/>
        <v>1.2000000000114142</v>
      </c>
      <c r="AK13" s="137">
        <v>182.6078</v>
      </c>
      <c r="AL13" s="136">
        <f t="shared" si="18"/>
        <v>-0.70000000002323759</v>
      </c>
      <c r="AM13" s="139">
        <f t="shared" si="19"/>
        <v>0.49999999998817657</v>
      </c>
      <c r="AN13" s="137">
        <v>182.60830000000001</v>
      </c>
      <c r="AO13" s="136">
        <f t="shared" si="20"/>
        <v>0.50000000001659828</v>
      </c>
      <c r="AP13" s="139">
        <f t="shared" si="21"/>
        <v>1.0000000000047748</v>
      </c>
      <c r="AQ13" s="136">
        <v>182.60890000000001</v>
      </c>
      <c r="AR13" s="140">
        <f t="shared" si="22"/>
        <v>0.59999999999149622</v>
      </c>
      <c r="AS13" s="140">
        <f t="shared" si="23"/>
        <v>1.5999999999962711</v>
      </c>
      <c r="AT13" s="137">
        <v>182.6086</v>
      </c>
      <c r="AU13" s="140">
        <f t="shared" si="24"/>
        <v>-0.30000000000995897</v>
      </c>
      <c r="AV13" s="140">
        <f t="shared" si="25"/>
        <v>1.2999999999863121</v>
      </c>
      <c r="AW13" s="137">
        <v>182.60900000000001</v>
      </c>
      <c r="AX13" s="140">
        <f t="shared" si="26"/>
        <v>0.40000000001327862</v>
      </c>
      <c r="AY13" s="140">
        <f t="shared" si="27"/>
        <v>1.6999999999995907</v>
      </c>
      <c r="AZ13" s="137">
        <v>182.60919999999999</v>
      </c>
      <c r="BA13" s="140">
        <f t="shared" si="39"/>
        <v>0.1999999999782176</v>
      </c>
      <c r="BB13" s="140">
        <f t="shared" si="40"/>
        <v>1.8999999999778083</v>
      </c>
      <c r="BC13" s="137" t="s">
        <v>69</v>
      </c>
      <c r="BD13" s="140" t="s">
        <v>80</v>
      </c>
      <c r="BE13" s="140">
        <f t="shared" si="41"/>
        <v>1.8999999999778083</v>
      </c>
      <c r="BF13" s="137" t="s">
        <v>69</v>
      </c>
      <c r="BG13" s="140" t="s">
        <v>80</v>
      </c>
      <c r="BH13" s="140">
        <f t="shared" si="30"/>
        <v>1.8999999999778083</v>
      </c>
      <c r="BI13" s="137" t="s">
        <v>69</v>
      </c>
      <c r="BJ13" s="140" t="s">
        <v>80</v>
      </c>
      <c r="BK13" s="140">
        <f t="shared" si="31"/>
        <v>1.8999999999778083</v>
      </c>
      <c r="BL13" s="137" t="s">
        <v>69</v>
      </c>
      <c r="BM13" s="140" t="s">
        <v>80</v>
      </c>
      <c r="BN13" s="140">
        <f t="shared" si="32"/>
        <v>1.8999999999778083</v>
      </c>
      <c r="BO13" s="137" t="s">
        <v>69</v>
      </c>
      <c r="BP13" s="140" t="s">
        <v>80</v>
      </c>
      <c r="BQ13" s="140">
        <f t="shared" si="33"/>
        <v>1.8999999999778083</v>
      </c>
      <c r="BR13" s="137" t="s">
        <v>69</v>
      </c>
      <c r="BS13" s="140" t="s">
        <v>80</v>
      </c>
      <c r="BT13" s="140">
        <f t="shared" si="34"/>
        <v>1.8999999999778083</v>
      </c>
      <c r="BU13" s="137" t="s">
        <v>69</v>
      </c>
      <c r="BV13" s="140" t="s">
        <v>80</v>
      </c>
      <c r="BW13" s="140">
        <f t="shared" si="35"/>
        <v>1.8999999999778083</v>
      </c>
      <c r="BX13" s="137" t="s">
        <v>69</v>
      </c>
      <c r="BY13" s="140" t="s">
        <v>80</v>
      </c>
      <c r="BZ13" s="140">
        <f t="shared" si="36"/>
        <v>1.8999999999778083</v>
      </c>
      <c r="CA13" s="143">
        <v>7</v>
      </c>
    </row>
    <row r="14" spans="1:81" ht="15.6" customHeight="1" x14ac:dyDescent="0.25">
      <c r="C14" s="136">
        <v>8</v>
      </c>
      <c r="D14" s="137">
        <v>182.5994</v>
      </c>
      <c r="E14" s="136">
        <v>0</v>
      </c>
      <c r="F14" s="138">
        <v>0</v>
      </c>
      <c r="G14" s="137">
        <v>182.59899999999999</v>
      </c>
      <c r="H14" s="136">
        <f t="shared" si="37"/>
        <v>-0.40000000001327862</v>
      </c>
      <c r="I14" s="139">
        <f t="shared" si="38"/>
        <v>-0.40000000001327862</v>
      </c>
      <c r="J14" s="137">
        <v>182.59909999999999</v>
      </c>
      <c r="K14" s="136">
        <f t="shared" si="0"/>
        <v>0.10000000000331966</v>
      </c>
      <c r="L14" s="139">
        <f t="shared" si="1"/>
        <v>-0.30000000000995897</v>
      </c>
      <c r="M14" s="137">
        <v>182.5993</v>
      </c>
      <c r="N14" s="136">
        <f t="shared" si="2"/>
        <v>0.20000000000663931</v>
      </c>
      <c r="O14" s="139">
        <f t="shared" si="3"/>
        <v>-0.10000000000331966</v>
      </c>
      <c r="P14" s="137">
        <v>182.59960000000001</v>
      </c>
      <c r="Q14" s="136">
        <f t="shared" si="4"/>
        <v>0.30000000000995897</v>
      </c>
      <c r="R14" s="139">
        <f t="shared" si="5"/>
        <v>0.20000000000663931</v>
      </c>
      <c r="S14" s="137">
        <v>182.5994</v>
      </c>
      <c r="T14" s="136">
        <f t="shared" si="6"/>
        <v>-0.20000000000663931</v>
      </c>
      <c r="U14" s="139">
        <f t="shared" si="7"/>
        <v>0</v>
      </c>
      <c r="V14" s="137">
        <v>182.59970000000001</v>
      </c>
      <c r="W14" s="136">
        <f t="shared" si="8"/>
        <v>0.30000000000995897</v>
      </c>
      <c r="X14" s="139">
        <f t="shared" si="9"/>
        <v>0.30000000000995897</v>
      </c>
      <c r="Y14" s="137">
        <v>182.59989999999999</v>
      </c>
      <c r="Z14" s="136">
        <f t="shared" si="10"/>
        <v>0.1999999999782176</v>
      </c>
      <c r="AA14" s="139">
        <f t="shared" si="11"/>
        <v>0.49999999998817657</v>
      </c>
      <c r="AB14" s="137">
        <v>182.5994</v>
      </c>
      <c r="AC14" s="136">
        <f t="shared" si="12"/>
        <v>-0.49999999998817657</v>
      </c>
      <c r="AD14" s="139">
        <f t="shared" si="13"/>
        <v>0</v>
      </c>
      <c r="AE14" s="137">
        <v>182.59970000000001</v>
      </c>
      <c r="AF14" s="136">
        <f t="shared" si="14"/>
        <v>0.30000000000995897</v>
      </c>
      <c r="AG14" s="139">
        <f t="shared" si="15"/>
        <v>0.30000000000995897</v>
      </c>
      <c r="AH14" s="137">
        <v>182.59989999999999</v>
      </c>
      <c r="AI14" s="136">
        <f t="shared" si="16"/>
        <v>0.1999999999782176</v>
      </c>
      <c r="AJ14" s="139">
        <f t="shared" si="17"/>
        <v>0.49999999998817657</v>
      </c>
      <c r="AK14" s="137">
        <v>182.59909999999999</v>
      </c>
      <c r="AL14" s="136">
        <f t="shared" si="18"/>
        <v>-0.79999999999813554</v>
      </c>
      <c r="AM14" s="139">
        <f t="shared" si="19"/>
        <v>-0.30000000000995897</v>
      </c>
      <c r="AN14" s="137">
        <v>182.59950000000001</v>
      </c>
      <c r="AO14" s="136">
        <f t="shared" si="20"/>
        <v>0.40000000001327862</v>
      </c>
      <c r="AP14" s="139">
        <f t="shared" si="21"/>
        <v>0.10000000000331966</v>
      </c>
      <c r="AQ14" s="137">
        <v>182.6</v>
      </c>
      <c r="AR14" s="140">
        <f t="shared" si="22"/>
        <v>0.49999999998817657</v>
      </c>
      <c r="AS14" s="140">
        <f t="shared" si="23"/>
        <v>0.59999999999149622</v>
      </c>
      <c r="AT14" s="137">
        <v>182.6</v>
      </c>
      <c r="AU14" s="140">
        <f t="shared" si="24"/>
        <v>0</v>
      </c>
      <c r="AV14" s="140">
        <f t="shared" si="25"/>
        <v>0.59999999999149622</v>
      </c>
      <c r="AW14" s="137">
        <v>182.6001</v>
      </c>
      <c r="AX14" s="140">
        <f t="shared" si="26"/>
        <v>0.10000000000331966</v>
      </c>
      <c r="AY14" s="140">
        <f t="shared" si="27"/>
        <v>0.69999999999481588</v>
      </c>
      <c r="AZ14" s="137">
        <v>182.6003</v>
      </c>
      <c r="BA14" s="140">
        <f t="shared" si="39"/>
        <v>0.20000000000663931</v>
      </c>
      <c r="BB14" s="140">
        <f t="shared" si="40"/>
        <v>0.90000000000145519</v>
      </c>
      <c r="BC14" s="137" t="s">
        <v>69</v>
      </c>
      <c r="BD14" s="140" t="s">
        <v>80</v>
      </c>
      <c r="BE14" s="140">
        <f t="shared" si="41"/>
        <v>0.90000000000145519</v>
      </c>
      <c r="BF14" s="137" t="s">
        <v>69</v>
      </c>
      <c r="BG14" s="140" t="s">
        <v>80</v>
      </c>
      <c r="BH14" s="140">
        <f t="shared" si="30"/>
        <v>0.90000000000145519</v>
      </c>
      <c r="BI14" s="137" t="s">
        <v>69</v>
      </c>
      <c r="BJ14" s="140" t="s">
        <v>80</v>
      </c>
      <c r="BK14" s="140">
        <f t="shared" si="31"/>
        <v>0.90000000000145519</v>
      </c>
      <c r="BL14" s="137" t="s">
        <v>69</v>
      </c>
      <c r="BM14" s="140" t="s">
        <v>80</v>
      </c>
      <c r="BN14" s="140">
        <f t="shared" si="32"/>
        <v>0.90000000000145519</v>
      </c>
      <c r="BO14" s="137" t="s">
        <v>69</v>
      </c>
      <c r="BP14" s="140" t="s">
        <v>80</v>
      </c>
      <c r="BQ14" s="140">
        <f t="shared" si="33"/>
        <v>0.90000000000145519</v>
      </c>
      <c r="BR14" s="137" t="s">
        <v>69</v>
      </c>
      <c r="BS14" s="140" t="s">
        <v>80</v>
      </c>
      <c r="BT14" s="140">
        <f t="shared" si="34"/>
        <v>0.90000000000145519</v>
      </c>
      <c r="BU14" s="137" t="s">
        <v>69</v>
      </c>
      <c r="BV14" s="140" t="s">
        <v>80</v>
      </c>
      <c r="BW14" s="140">
        <f t="shared" si="35"/>
        <v>0.90000000000145519</v>
      </c>
      <c r="BX14" s="137" t="s">
        <v>69</v>
      </c>
      <c r="BY14" s="140" t="s">
        <v>80</v>
      </c>
      <c r="BZ14" s="140">
        <f t="shared" si="36"/>
        <v>0.90000000000145519</v>
      </c>
      <c r="CA14" s="143">
        <v>8</v>
      </c>
    </row>
    <row r="15" spans="1:81" ht="15.6" customHeight="1" x14ac:dyDescent="0.25">
      <c r="C15" s="136">
        <v>9</v>
      </c>
      <c r="D15" s="137">
        <v>182.608</v>
      </c>
      <c r="E15" s="136">
        <v>0</v>
      </c>
      <c r="F15" s="138">
        <v>0</v>
      </c>
      <c r="G15" s="137">
        <v>182.60749999999999</v>
      </c>
      <c r="H15" s="136">
        <f t="shared" si="37"/>
        <v>-0.50000000001659828</v>
      </c>
      <c r="I15" s="139">
        <f t="shared" si="38"/>
        <v>-0.50000000001659828</v>
      </c>
      <c r="J15" s="137">
        <v>182.6078</v>
      </c>
      <c r="K15" s="136">
        <f t="shared" si="0"/>
        <v>0.30000000000995897</v>
      </c>
      <c r="L15" s="139">
        <f t="shared" si="1"/>
        <v>-0.20000000000663931</v>
      </c>
      <c r="M15" s="137">
        <v>182.60810000000001</v>
      </c>
      <c r="N15" s="136">
        <f t="shared" si="2"/>
        <v>0.30000000000995897</v>
      </c>
      <c r="O15" s="139">
        <f t="shared" si="3"/>
        <v>0.10000000000331966</v>
      </c>
      <c r="P15" s="137">
        <v>182.608</v>
      </c>
      <c r="Q15" s="136">
        <f t="shared" si="4"/>
        <v>-0.10000000000331966</v>
      </c>
      <c r="R15" s="139">
        <f t="shared" si="5"/>
        <v>0</v>
      </c>
      <c r="S15" s="137">
        <v>182.60830000000001</v>
      </c>
      <c r="T15" s="136">
        <f t="shared" si="6"/>
        <v>0.30000000000995897</v>
      </c>
      <c r="U15" s="139">
        <f t="shared" si="7"/>
        <v>0.30000000000995897</v>
      </c>
      <c r="V15" s="137">
        <v>182.6088</v>
      </c>
      <c r="W15" s="136">
        <f t="shared" si="8"/>
        <v>0.49999999998817657</v>
      </c>
      <c r="X15" s="139">
        <f t="shared" si="9"/>
        <v>0.79999999999813554</v>
      </c>
      <c r="Y15" s="137">
        <v>182.60919999999999</v>
      </c>
      <c r="Z15" s="136">
        <f t="shared" si="10"/>
        <v>0.39999999998485691</v>
      </c>
      <c r="AA15" s="139">
        <f t="shared" si="11"/>
        <v>1.1999999999829924</v>
      </c>
      <c r="AB15" s="137">
        <v>182.6086</v>
      </c>
      <c r="AC15" s="136">
        <f t="shared" si="12"/>
        <v>-0.59999999999149622</v>
      </c>
      <c r="AD15" s="139">
        <f t="shared" si="13"/>
        <v>0.59999999999149622</v>
      </c>
      <c r="AE15" s="137">
        <v>182.60910000000001</v>
      </c>
      <c r="AF15" s="136">
        <f t="shared" si="14"/>
        <v>0.50000000001659828</v>
      </c>
      <c r="AG15" s="139">
        <f t="shared" si="15"/>
        <v>1.1000000000080945</v>
      </c>
      <c r="AH15" s="137">
        <v>182.60900000000001</v>
      </c>
      <c r="AI15" s="136">
        <f t="shared" si="16"/>
        <v>-0.10000000000331966</v>
      </c>
      <c r="AJ15" s="139">
        <f t="shared" si="17"/>
        <v>1.0000000000047748</v>
      </c>
      <c r="AK15" s="137">
        <v>182.60849999999999</v>
      </c>
      <c r="AL15" s="136">
        <f t="shared" si="18"/>
        <v>-0.50000000001659828</v>
      </c>
      <c r="AM15" s="139">
        <f t="shared" si="19"/>
        <v>0.49999999998817657</v>
      </c>
      <c r="AN15" s="137">
        <v>182.6088</v>
      </c>
      <c r="AO15" s="136">
        <f t="shared" si="20"/>
        <v>0.30000000000995897</v>
      </c>
      <c r="AP15" s="139">
        <f t="shared" si="21"/>
        <v>0.79999999999813554</v>
      </c>
      <c r="AQ15" s="136">
        <v>182.60919999999999</v>
      </c>
      <c r="AR15" s="140">
        <f t="shared" si="22"/>
        <v>0.39999999998485691</v>
      </c>
      <c r="AS15" s="140">
        <f t="shared" si="23"/>
        <v>1.1999999999829924</v>
      </c>
      <c r="AT15" s="137">
        <v>182.60929999999999</v>
      </c>
      <c r="AU15" s="140">
        <f t="shared" si="24"/>
        <v>0.10000000000331966</v>
      </c>
      <c r="AV15" s="140">
        <f t="shared" si="25"/>
        <v>1.2999999999863121</v>
      </c>
      <c r="AW15" s="137">
        <v>182.6096</v>
      </c>
      <c r="AX15" s="140">
        <f t="shared" si="26"/>
        <v>0.30000000000995897</v>
      </c>
      <c r="AY15" s="140">
        <f t="shared" si="27"/>
        <v>1.5999999999962711</v>
      </c>
      <c r="AZ15" s="137">
        <v>182.6097</v>
      </c>
      <c r="BA15" s="140">
        <f t="shared" si="39"/>
        <v>0.10000000000331966</v>
      </c>
      <c r="BB15" s="140">
        <f t="shared" si="40"/>
        <v>1.6999999999995907</v>
      </c>
      <c r="BC15" s="137" t="s">
        <v>69</v>
      </c>
      <c r="BD15" s="140" t="s">
        <v>80</v>
      </c>
      <c r="BE15" s="140">
        <f t="shared" si="41"/>
        <v>1.6999999999995907</v>
      </c>
      <c r="BF15" s="137" t="s">
        <v>69</v>
      </c>
      <c r="BG15" s="140" t="s">
        <v>80</v>
      </c>
      <c r="BH15" s="140">
        <f t="shared" si="30"/>
        <v>1.6999999999995907</v>
      </c>
      <c r="BI15" s="137" t="s">
        <v>69</v>
      </c>
      <c r="BJ15" s="140" t="s">
        <v>80</v>
      </c>
      <c r="BK15" s="140">
        <f t="shared" si="31"/>
        <v>1.6999999999995907</v>
      </c>
      <c r="BL15" s="137" t="s">
        <v>69</v>
      </c>
      <c r="BM15" s="140" t="s">
        <v>80</v>
      </c>
      <c r="BN15" s="140">
        <f t="shared" si="32"/>
        <v>1.6999999999995907</v>
      </c>
      <c r="BO15" s="137" t="s">
        <v>69</v>
      </c>
      <c r="BP15" s="140" t="s">
        <v>80</v>
      </c>
      <c r="BQ15" s="140">
        <f t="shared" si="33"/>
        <v>1.6999999999995907</v>
      </c>
      <c r="BR15" s="137" t="s">
        <v>69</v>
      </c>
      <c r="BS15" s="140" t="s">
        <v>80</v>
      </c>
      <c r="BT15" s="140">
        <f t="shared" si="34"/>
        <v>1.6999999999995907</v>
      </c>
      <c r="BU15" s="137" t="s">
        <v>69</v>
      </c>
      <c r="BV15" s="140" t="s">
        <v>80</v>
      </c>
      <c r="BW15" s="140">
        <f t="shared" si="35"/>
        <v>1.6999999999995907</v>
      </c>
      <c r="BX15" s="137" t="s">
        <v>69</v>
      </c>
      <c r="BY15" s="140" t="s">
        <v>80</v>
      </c>
      <c r="BZ15" s="140">
        <f t="shared" si="36"/>
        <v>1.6999999999995907</v>
      </c>
      <c r="CA15" s="143">
        <v>9</v>
      </c>
    </row>
    <row r="16" spans="1:81" ht="15.6" customHeight="1" x14ac:dyDescent="0.25">
      <c r="C16" s="136">
        <v>10</v>
      </c>
      <c r="D16" s="137">
        <v>181.90540000000001</v>
      </c>
      <c r="E16" s="136">
        <v>0</v>
      </c>
      <c r="F16" s="138">
        <v>0</v>
      </c>
      <c r="G16" s="137">
        <v>181.9051</v>
      </c>
      <c r="H16" s="136">
        <f t="shared" si="37"/>
        <v>-0.30000000000995897</v>
      </c>
      <c r="I16" s="139">
        <f t="shared" si="38"/>
        <v>-0.30000000000995897</v>
      </c>
      <c r="J16" s="137">
        <v>181.90530000000001</v>
      </c>
      <c r="K16" s="136">
        <f t="shared" si="0"/>
        <v>0.20000000000663931</v>
      </c>
      <c r="L16" s="139">
        <f t="shared" si="1"/>
        <v>-0.10000000000331966</v>
      </c>
      <c r="M16" s="137">
        <v>181.9057</v>
      </c>
      <c r="N16" s="136">
        <f t="shared" si="2"/>
        <v>0.39999999998485691</v>
      </c>
      <c r="O16" s="139">
        <f t="shared" si="3"/>
        <v>0.29999999998153726</v>
      </c>
      <c r="P16" s="137">
        <v>181.9058</v>
      </c>
      <c r="Q16" s="136">
        <f t="shared" si="4"/>
        <v>0.10000000000331966</v>
      </c>
      <c r="R16" s="139">
        <f t="shared" si="5"/>
        <v>0.39999999998485691</v>
      </c>
      <c r="S16" s="137">
        <v>181.9057</v>
      </c>
      <c r="T16" s="136">
        <f t="shared" si="6"/>
        <v>-0.10000000000331966</v>
      </c>
      <c r="U16" s="139">
        <f t="shared" si="7"/>
        <v>0.29999999998153726</v>
      </c>
      <c r="V16" s="137">
        <v>181.90629999999999</v>
      </c>
      <c r="W16" s="136">
        <f t="shared" si="8"/>
        <v>0.59999999999149622</v>
      </c>
      <c r="X16" s="139">
        <f t="shared" si="9"/>
        <v>0.89999999997303348</v>
      </c>
      <c r="Y16" s="137">
        <v>181.9068</v>
      </c>
      <c r="Z16" s="136">
        <f t="shared" si="10"/>
        <v>0.50000000001659828</v>
      </c>
      <c r="AA16" s="139">
        <f t="shared" si="11"/>
        <v>1.3999999999896318</v>
      </c>
      <c r="AB16" s="137">
        <v>181.90610000000001</v>
      </c>
      <c r="AC16" s="136">
        <f t="shared" si="12"/>
        <v>-0.69999999999481588</v>
      </c>
      <c r="AD16" s="139">
        <f t="shared" si="13"/>
        <v>0.69999999999481588</v>
      </c>
      <c r="AE16" s="137">
        <v>181.90649999999999</v>
      </c>
      <c r="AF16" s="136">
        <f t="shared" si="14"/>
        <v>0.39999999998485691</v>
      </c>
      <c r="AG16" s="139">
        <f t="shared" si="15"/>
        <v>1.0999999999796728</v>
      </c>
      <c r="AH16" s="137">
        <v>181.90610000000001</v>
      </c>
      <c r="AI16" s="136">
        <f t="shared" si="16"/>
        <v>-0.39999999998485691</v>
      </c>
      <c r="AJ16" s="139">
        <f t="shared" si="17"/>
        <v>0.69999999999481588</v>
      </c>
      <c r="AK16" s="137">
        <v>181.9057</v>
      </c>
      <c r="AL16" s="136">
        <f t="shared" si="18"/>
        <v>-0.40000000001327862</v>
      </c>
      <c r="AM16" s="139">
        <f t="shared" si="19"/>
        <v>0.29999999998153726</v>
      </c>
      <c r="AN16" s="137">
        <v>181.90620000000001</v>
      </c>
      <c r="AO16" s="136">
        <f t="shared" si="20"/>
        <v>0.50000000001659828</v>
      </c>
      <c r="AP16" s="139">
        <f t="shared" si="21"/>
        <v>0.79999999999813554</v>
      </c>
      <c r="AQ16" s="136">
        <v>181.9067</v>
      </c>
      <c r="AR16" s="140">
        <f t="shared" si="22"/>
        <v>0.49999999998817657</v>
      </c>
      <c r="AS16" s="140">
        <f t="shared" si="23"/>
        <v>1.2999999999863121</v>
      </c>
      <c r="AT16" s="137">
        <v>181.9066</v>
      </c>
      <c r="AU16" s="140">
        <f t="shared" si="24"/>
        <v>-0.10000000000331966</v>
      </c>
      <c r="AV16" s="140">
        <f t="shared" si="25"/>
        <v>1.1999999999829924</v>
      </c>
      <c r="AW16" s="137">
        <v>181.90709999999999</v>
      </c>
      <c r="AX16" s="140">
        <f t="shared" si="26"/>
        <v>0.49999999998817657</v>
      </c>
      <c r="AY16" s="140">
        <f t="shared" si="27"/>
        <v>1.699999999971169</v>
      </c>
      <c r="AZ16" s="137">
        <v>181.90729999999999</v>
      </c>
      <c r="BA16" s="140">
        <f t="shared" si="39"/>
        <v>0.20000000000663931</v>
      </c>
      <c r="BB16" s="140">
        <f t="shared" si="40"/>
        <v>1.8999999999778083</v>
      </c>
      <c r="BC16" s="137" t="s">
        <v>69</v>
      </c>
      <c r="BD16" s="140" t="s">
        <v>80</v>
      </c>
      <c r="BE16" s="140">
        <f t="shared" si="41"/>
        <v>1.8999999999778083</v>
      </c>
      <c r="BF16" s="137" t="s">
        <v>69</v>
      </c>
      <c r="BG16" s="140" t="s">
        <v>80</v>
      </c>
      <c r="BH16" s="140">
        <f t="shared" si="30"/>
        <v>1.8999999999778083</v>
      </c>
      <c r="BI16" s="137" t="s">
        <v>69</v>
      </c>
      <c r="BJ16" s="140" t="s">
        <v>80</v>
      </c>
      <c r="BK16" s="140">
        <f t="shared" si="31"/>
        <v>1.8999999999778083</v>
      </c>
      <c r="BL16" s="137" t="s">
        <v>69</v>
      </c>
      <c r="BM16" s="140" t="s">
        <v>80</v>
      </c>
      <c r="BN16" s="140">
        <f t="shared" si="32"/>
        <v>1.8999999999778083</v>
      </c>
      <c r="BO16" s="137" t="s">
        <v>69</v>
      </c>
      <c r="BP16" s="140" t="s">
        <v>80</v>
      </c>
      <c r="BQ16" s="140">
        <f t="shared" si="33"/>
        <v>1.8999999999778083</v>
      </c>
      <c r="BR16" s="137" t="s">
        <v>69</v>
      </c>
      <c r="BS16" s="140" t="s">
        <v>80</v>
      </c>
      <c r="BT16" s="140">
        <f t="shared" si="34"/>
        <v>1.8999999999778083</v>
      </c>
      <c r="BU16" s="137" t="s">
        <v>69</v>
      </c>
      <c r="BV16" s="140" t="s">
        <v>80</v>
      </c>
      <c r="BW16" s="140">
        <f t="shared" si="35"/>
        <v>1.8999999999778083</v>
      </c>
      <c r="BX16" s="137" t="s">
        <v>69</v>
      </c>
      <c r="BY16" s="140" t="s">
        <v>80</v>
      </c>
      <c r="BZ16" s="140">
        <f t="shared" si="36"/>
        <v>1.8999999999778083</v>
      </c>
      <c r="CA16" s="143">
        <v>10</v>
      </c>
    </row>
    <row r="17" spans="1:81" ht="15.6" customHeight="1" x14ac:dyDescent="0.25">
      <c r="C17" s="136">
        <v>11</v>
      </c>
      <c r="D17" s="137">
        <v>181.904</v>
      </c>
      <c r="E17" s="136">
        <v>0</v>
      </c>
      <c r="F17" s="138">
        <v>0</v>
      </c>
      <c r="G17" s="137">
        <v>181.90350000000001</v>
      </c>
      <c r="H17" s="136">
        <f t="shared" si="37"/>
        <v>-0.49999999998817657</v>
      </c>
      <c r="I17" s="139">
        <f t="shared" si="38"/>
        <v>-0.49999999998817657</v>
      </c>
      <c r="J17" s="137">
        <v>181.9034</v>
      </c>
      <c r="K17" s="136">
        <f t="shared" si="0"/>
        <v>-0.10000000000331966</v>
      </c>
      <c r="L17" s="139">
        <f t="shared" si="1"/>
        <v>-0.59999999999149622</v>
      </c>
      <c r="M17" s="137">
        <v>181.90369999999999</v>
      </c>
      <c r="N17" s="136">
        <f t="shared" si="2"/>
        <v>0.29999999998153726</v>
      </c>
      <c r="O17" s="139">
        <f t="shared" si="3"/>
        <v>-0.30000000000995897</v>
      </c>
      <c r="P17" s="137">
        <v>181.90389999999999</v>
      </c>
      <c r="Q17" s="136">
        <f t="shared" si="4"/>
        <v>0.20000000000663931</v>
      </c>
      <c r="R17" s="139">
        <f t="shared" si="5"/>
        <v>-0.10000000000331966</v>
      </c>
      <c r="S17" s="137">
        <v>181.9041</v>
      </c>
      <c r="T17" s="136">
        <f t="shared" si="6"/>
        <v>0.20000000000663931</v>
      </c>
      <c r="U17" s="139">
        <f t="shared" si="7"/>
        <v>0.10000000000331966</v>
      </c>
      <c r="V17" s="137">
        <v>181.90450000000001</v>
      </c>
      <c r="W17" s="136">
        <f t="shared" si="8"/>
        <v>0.40000000001327862</v>
      </c>
      <c r="X17" s="139">
        <f t="shared" si="9"/>
        <v>0.50000000001659828</v>
      </c>
      <c r="Y17" s="137">
        <v>181.905</v>
      </c>
      <c r="Z17" s="136">
        <f t="shared" si="10"/>
        <v>0.49999999998817657</v>
      </c>
      <c r="AA17" s="139">
        <f t="shared" si="11"/>
        <v>1.0000000000047748</v>
      </c>
      <c r="AB17" s="137">
        <v>181.90459999999999</v>
      </c>
      <c r="AC17" s="136">
        <f t="shared" si="12"/>
        <v>-0.40000000001327862</v>
      </c>
      <c r="AD17" s="139">
        <f t="shared" si="13"/>
        <v>0.59999999999149622</v>
      </c>
      <c r="AE17" s="137">
        <v>181.9049</v>
      </c>
      <c r="AF17" s="136">
        <f t="shared" si="14"/>
        <v>0.30000000000995897</v>
      </c>
      <c r="AG17" s="139">
        <f t="shared" si="15"/>
        <v>0.90000000000145519</v>
      </c>
      <c r="AH17" s="137">
        <v>181.905</v>
      </c>
      <c r="AI17" s="136">
        <f t="shared" si="16"/>
        <v>0.10000000000331966</v>
      </c>
      <c r="AJ17" s="139">
        <f t="shared" si="17"/>
        <v>1.0000000000047748</v>
      </c>
      <c r="AK17" s="137">
        <v>181.90479999999999</v>
      </c>
      <c r="AL17" s="136">
        <f t="shared" si="18"/>
        <v>-0.20000000000663931</v>
      </c>
      <c r="AM17" s="139">
        <f t="shared" si="19"/>
        <v>0.79999999999813554</v>
      </c>
      <c r="AN17" s="137">
        <v>181.90520000000001</v>
      </c>
      <c r="AO17" s="136">
        <f t="shared" si="20"/>
        <v>0.40000000001327862</v>
      </c>
      <c r="AP17" s="139">
        <f t="shared" si="21"/>
        <v>1.2000000000114142</v>
      </c>
      <c r="AQ17" s="136">
        <v>181.90559999999999</v>
      </c>
      <c r="AR17" s="140">
        <f t="shared" si="22"/>
        <v>0.39999999998485691</v>
      </c>
      <c r="AS17" s="140">
        <f t="shared" si="23"/>
        <v>1.5999999999962711</v>
      </c>
      <c r="AT17" s="137">
        <v>181.9058</v>
      </c>
      <c r="AU17" s="140">
        <f t="shared" si="24"/>
        <v>0.20000000000663931</v>
      </c>
      <c r="AV17" s="140">
        <f t="shared" si="25"/>
        <v>1.8000000000029104</v>
      </c>
      <c r="AW17" s="137">
        <v>181.90610000000001</v>
      </c>
      <c r="AX17" s="140">
        <f t="shared" si="26"/>
        <v>0.30000000000995897</v>
      </c>
      <c r="AY17" s="140">
        <f t="shared" si="27"/>
        <v>2.1000000000128694</v>
      </c>
      <c r="AZ17" s="137">
        <v>181.90629999999999</v>
      </c>
      <c r="BA17" s="140">
        <f t="shared" si="39"/>
        <v>0.1999999999782176</v>
      </c>
      <c r="BB17" s="140">
        <f t="shared" si="40"/>
        <v>2.299999999991087</v>
      </c>
      <c r="BC17" s="137" t="s">
        <v>69</v>
      </c>
      <c r="BD17" s="140" t="s">
        <v>80</v>
      </c>
      <c r="BE17" s="140">
        <f t="shared" si="41"/>
        <v>2.299999999991087</v>
      </c>
      <c r="BF17" s="137" t="s">
        <v>69</v>
      </c>
      <c r="BG17" s="140" t="s">
        <v>80</v>
      </c>
      <c r="BH17" s="140">
        <f t="shared" si="30"/>
        <v>2.299999999991087</v>
      </c>
      <c r="BI17" s="137" t="s">
        <v>69</v>
      </c>
      <c r="BJ17" s="140" t="s">
        <v>80</v>
      </c>
      <c r="BK17" s="140">
        <f t="shared" si="31"/>
        <v>2.299999999991087</v>
      </c>
      <c r="BL17" s="137" t="s">
        <v>69</v>
      </c>
      <c r="BM17" s="140" t="s">
        <v>80</v>
      </c>
      <c r="BN17" s="140">
        <f t="shared" si="32"/>
        <v>2.299999999991087</v>
      </c>
      <c r="BO17" s="137" t="s">
        <v>69</v>
      </c>
      <c r="BP17" s="140" t="s">
        <v>80</v>
      </c>
      <c r="BQ17" s="140">
        <f t="shared" si="33"/>
        <v>2.299999999991087</v>
      </c>
      <c r="BR17" s="137" t="s">
        <v>69</v>
      </c>
      <c r="BS17" s="140" t="s">
        <v>80</v>
      </c>
      <c r="BT17" s="140">
        <f t="shared" si="34"/>
        <v>2.299999999991087</v>
      </c>
      <c r="BU17" s="137" t="s">
        <v>69</v>
      </c>
      <c r="BV17" s="140" t="s">
        <v>80</v>
      </c>
      <c r="BW17" s="140">
        <f t="shared" si="35"/>
        <v>2.299999999991087</v>
      </c>
      <c r="BX17" s="137" t="s">
        <v>69</v>
      </c>
      <c r="BY17" s="140" t="s">
        <v>80</v>
      </c>
      <c r="BZ17" s="140">
        <f t="shared" si="36"/>
        <v>2.299999999991087</v>
      </c>
      <c r="CA17" s="143">
        <v>11</v>
      </c>
    </row>
    <row r="20" spans="1:81" x14ac:dyDescent="0.25"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42"/>
      <c r="AU20" s="3"/>
      <c r="AV20" s="3"/>
      <c r="AW20" s="42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42"/>
      <c r="BJ20" s="3"/>
      <c r="BK20" s="3"/>
      <c r="BL20" s="42"/>
      <c r="BM20" s="3"/>
      <c r="BN20" s="3"/>
      <c r="BO20" s="42"/>
      <c r="BP20" s="3"/>
      <c r="BQ20" s="3"/>
      <c r="BR20" s="42"/>
      <c r="BS20" s="3"/>
      <c r="BT20" s="3"/>
      <c r="BU20" s="42"/>
      <c r="BV20" s="3"/>
      <c r="BW20" s="3"/>
      <c r="BX20" s="42"/>
      <c r="BY20" s="3"/>
      <c r="BZ20" s="3"/>
      <c r="CA20" s="4" t="s">
        <v>74</v>
      </c>
    </row>
    <row r="21" spans="1:81" x14ac:dyDescent="0.25">
      <c r="A21" s="134"/>
      <c r="B21" s="134"/>
      <c r="C21" s="177" t="s">
        <v>62</v>
      </c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7"/>
      <c r="AB21" s="177"/>
      <c r="AC21" s="177"/>
      <c r="AD21" s="177"/>
      <c r="AE21" s="177"/>
      <c r="AF21" s="177"/>
      <c r="AG21" s="177"/>
      <c r="AH21" s="177"/>
      <c r="AI21" s="177"/>
      <c r="AJ21" s="177"/>
      <c r="AK21" s="177"/>
      <c r="AL21" s="177"/>
      <c r="AM21" s="177"/>
      <c r="AN21" s="177"/>
      <c r="AO21" s="177"/>
      <c r="AP21" s="177"/>
      <c r="AQ21" s="177"/>
      <c r="AR21" s="177"/>
      <c r="AS21" s="177"/>
      <c r="AT21" s="177"/>
      <c r="AU21" s="177"/>
      <c r="AV21" s="177"/>
      <c r="AW21" s="177"/>
      <c r="AX21" s="177"/>
      <c r="AY21" s="177"/>
      <c r="AZ21" s="177"/>
      <c r="BA21" s="177"/>
      <c r="BB21" s="177"/>
      <c r="BC21" s="177"/>
      <c r="BD21" s="177"/>
      <c r="BE21" s="177"/>
      <c r="BF21" s="177"/>
      <c r="BG21" s="177"/>
      <c r="BH21" s="177"/>
      <c r="BI21" s="177"/>
      <c r="BJ21" s="177"/>
      <c r="BK21" s="177"/>
      <c r="BL21" s="177"/>
      <c r="BM21" s="177"/>
      <c r="BN21" s="177"/>
      <c r="BO21" s="177"/>
      <c r="BP21" s="177"/>
      <c r="BQ21" s="177"/>
      <c r="BR21" s="177"/>
      <c r="BS21" s="177"/>
      <c r="BT21" s="177"/>
      <c r="BU21" s="177"/>
      <c r="BV21" s="177"/>
      <c r="BW21" s="177"/>
      <c r="BX21" s="177"/>
      <c r="BY21" s="177"/>
      <c r="BZ21" s="177"/>
      <c r="CA21" s="177"/>
      <c r="CB21" s="134"/>
      <c r="CC21" s="134"/>
    </row>
    <row r="22" spans="1:81" ht="18" customHeight="1" x14ac:dyDescent="0.25">
      <c r="A22" s="134"/>
      <c r="B22" s="134"/>
      <c r="C22" s="177" t="s">
        <v>64</v>
      </c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7"/>
      <c r="AB22" s="177"/>
      <c r="AC22" s="177"/>
      <c r="AD22" s="177"/>
      <c r="AE22" s="177"/>
      <c r="AF22" s="177"/>
      <c r="AG22" s="177"/>
      <c r="AH22" s="177"/>
      <c r="AI22" s="177"/>
      <c r="AJ22" s="177"/>
      <c r="AK22" s="177"/>
      <c r="AL22" s="177"/>
      <c r="AM22" s="177"/>
      <c r="AN22" s="177"/>
      <c r="AO22" s="177"/>
      <c r="AP22" s="177"/>
      <c r="AQ22" s="177"/>
      <c r="AR22" s="177"/>
      <c r="AS22" s="177"/>
      <c r="AT22" s="177"/>
      <c r="AU22" s="177"/>
      <c r="AV22" s="177"/>
      <c r="AW22" s="177"/>
      <c r="AX22" s="177"/>
      <c r="AY22" s="177"/>
      <c r="AZ22" s="177"/>
      <c r="BA22" s="177"/>
      <c r="BB22" s="177"/>
      <c r="BC22" s="177"/>
      <c r="BD22" s="177"/>
      <c r="BE22" s="177"/>
      <c r="BF22" s="177"/>
      <c r="BG22" s="177"/>
      <c r="BH22" s="177"/>
      <c r="BI22" s="177"/>
      <c r="BJ22" s="177"/>
      <c r="BK22" s="177"/>
      <c r="BL22" s="177"/>
      <c r="BM22" s="177"/>
      <c r="BN22" s="177"/>
      <c r="BO22" s="177"/>
      <c r="BP22" s="177"/>
      <c r="BQ22" s="177"/>
      <c r="BR22" s="177"/>
      <c r="BS22" s="177"/>
      <c r="BT22" s="177"/>
      <c r="BU22" s="177"/>
      <c r="BV22" s="177"/>
      <c r="BW22" s="177"/>
      <c r="BX22" s="177"/>
      <c r="BY22" s="177"/>
      <c r="BZ22" s="177"/>
      <c r="CA22" s="177"/>
      <c r="CB22" s="134"/>
      <c r="CC22" s="134"/>
    </row>
    <row r="23" spans="1:81" ht="29.25" customHeight="1" x14ac:dyDescent="0.25">
      <c r="C23" s="178" t="s">
        <v>1</v>
      </c>
      <c r="D23" s="174" t="s">
        <v>185</v>
      </c>
      <c r="E23" s="175"/>
      <c r="F23" s="176"/>
      <c r="G23" s="174" t="s">
        <v>186</v>
      </c>
      <c r="H23" s="175"/>
      <c r="I23" s="176"/>
      <c r="J23" s="174" t="s">
        <v>187</v>
      </c>
      <c r="K23" s="175"/>
      <c r="L23" s="176"/>
      <c r="M23" s="174" t="s">
        <v>188</v>
      </c>
      <c r="N23" s="175"/>
      <c r="O23" s="176"/>
      <c r="P23" s="174" t="s">
        <v>189</v>
      </c>
      <c r="Q23" s="175"/>
      <c r="R23" s="176"/>
      <c r="S23" s="174" t="s">
        <v>190</v>
      </c>
      <c r="T23" s="175"/>
      <c r="U23" s="176"/>
      <c r="V23" s="174" t="s">
        <v>191</v>
      </c>
      <c r="W23" s="175"/>
      <c r="X23" s="176"/>
      <c r="Y23" s="174" t="s">
        <v>192</v>
      </c>
      <c r="Z23" s="175"/>
      <c r="AA23" s="176"/>
      <c r="AB23" s="174" t="s">
        <v>193</v>
      </c>
      <c r="AC23" s="175"/>
      <c r="AD23" s="176"/>
      <c r="AE23" s="174" t="s">
        <v>194</v>
      </c>
      <c r="AF23" s="175"/>
      <c r="AG23" s="176"/>
      <c r="AH23" s="174" t="s">
        <v>195</v>
      </c>
      <c r="AI23" s="175"/>
      <c r="AJ23" s="176"/>
      <c r="AK23" s="174" t="s">
        <v>196</v>
      </c>
      <c r="AL23" s="175"/>
      <c r="AM23" s="176"/>
      <c r="AN23" s="174" t="s">
        <v>197</v>
      </c>
      <c r="AO23" s="175"/>
      <c r="AP23" s="176"/>
      <c r="AQ23" s="174" t="s">
        <v>198</v>
      </c>
      <c r="AR23" s="175"/>
      <c r="AS23" s="176"/>
      <c r="AT23" s="174" t="s">
        <v>199</v>
      </c>
      <c r="AU23" s="175"/>
      <c r="AV23" s="176"/>
      <c r="AW23" s="174" t="s">
        <v>200</v>
      </c>
      <c r="AX23" s="175"/>
      <c r="AY23" s="176"/>
      <c r="AZ23" s="174" t="s">
        <v>201</v>
      </c>
      <c r="BA23" s="175"/>
      <c r="BB23" s="176"/>
      <c r="BC23" s="174" t="s">
        <v>202</v>
      </c>
      <c r="BD23" s="175"/>
      <c r="BE23" s="176"/>
      <c r="BF23" s="171" t="s">
        <v>203</v>
      </c>
      <c r="BG23" s="172"/>
      <c r="BH23" s="173"/>
      <c r="BI23" s="171" t="s">
        <v>204</v>
      </c>
      <c r="BJ23" s="172"/>
      <c r="BK23" s="173"/>
      <c r="BL23" s="171" t="s">
        <v>205</v>
      </c>
      <c r="BM23" s="172"/>
      <c r="BN23" s="173"/>
      <c r="BO23" s="171" t="s">
        <v>206</v>
      </c>
      <c r="BP23" s="172"/>
      <c r="BQ23" s="173"/>
      <c r="BR23" s="167" t="s">
        <v>207</v>
      </c>
      <c r="BS23" s="168"/>
      <c r="BT23" s="169"/>
      <c r="BU23" s="167" t="s">
        <v>208</v>
      </c>
      <c r="BV23" s="168"/>
      <c r="BW23" s="169"/>
      <c r="BX23" s="167" t="s">
        <v>214</v>
      </c>
      <c r="BY23" s="168"/>
      <c r="BZ23" s="169"/>
      <c r="CA23" s="178" t="s">
        <v>1</v>
      </c>
      <c r="CB23" s="9"/>
    </row>
    <row r="24" spans="1:81" ht="45.75" customHeight="1" x14ac:dyDescent="0.25">
      <c r="C24" s="179"/>
      <c r="D24" s="130" t="s">
        <v>2</v>
      </c>
      <c r="E24" s="130" t="s">
        <v>3</v>
      </c>
      <c r="F24" s="135" t="s">
        <v>4</v>
      </c>
      <c r="G24" s="130" t="s">
        <v>2</v>
      </c>
      <c r="H24" s="130" t="s">
        <v>3</v>
      </c>
      <c r="I24" s="135" t="s">
        <v>4</v>
      </c>
      <c r="J24" s="130" t="s">
        <v>2</v>
      </c>
      <c r="K24" s="130" t="s">
        <v>3</v>
      </c>
      <c r="L24" s="135" t="s">
        <v>4</v>
      </c>
      <c r="M24" s="130" t="s">
        <v>2</v>
      </c>
      <c r="N24" s="130" t="s">
        <v>3</v>
      </c>
      <c r="O24" s="135" t="s">
        <v>4</v>
      </c>
      <c r="P24" s="130" t="s">
        <v>2</v>
      </c>
      <c r="Q24" s="130" t="s">
        <v>3</v>
      </c>
      <c r="R24" s="135" t="s">
        <v>4</v>
      </c>
      <c r="S24" s="130" t="s">
        <v>2</v>
      </c>
      <c r="T24" s="130" t="s">
        <v>3</v>
      </c>
      <c r="U24" s="135" t="s">
        <v>4</v>
      </c>
      <c r="V24" s="130" t="s">
        <v>2</v>
      </c>
      <c r="W24" s="130" t="s">
        <v>3</v>
      </c>
      <c r="X24" s="135" t="s">
        <v>4</v>
      </c>
      <c r="Y24" s="130" t="s">
        <v>2</v>
      </c>
      <c r="Z24" s="130" t="s">
        <v>3</v>
      </c>
      <c r="AA24" s="135" t="s">
        <v>4</v>
      </c>
      <c r="AB24" s="130" t="s">
        <v>2</v>
      </c>
      <c r="AC24" s="130" t="s">
        <v>3</v>
      </c>
      <c r="AD24" s="135" t="s">
        <v>4</v>
      </c>
      <c r="AE24" s="130" t="s">
        <v>2</v>
      </c>
      <c r="AF24" s="130" t="s">
        <v>3</v>
      </c>
      <c r="AG24" s="135" t="s">
        <v>4</v>
      </c>
      <c r="AH24" s="130" t="s">
        <v>2</v>
      </c>
      <c r="AI24" s="130" t="s">
        <v>3</v>
      </c>
      <c r="AJ24" s="135" t="s">
        <v>4</v>
      </c>
      <c r="AK24" s="130" t="s">
        <v>2</v>
      </c>
      <c r="AL24" s="130" t="s">
        <v>3</v>
      </c>
      <c r="AM24" s="135" t="s">
        <v>4</v>
      </c>
      <c r="AN24" s="130" t="s">
        <v>2</v>
      </c>
      <c r="AO24" s="130" t="s">
        <v>3</v>
      </c>
      <c r="AP24" s="135" t="s">
        <v>4</v>
      </c>
      <c r="AQ24" s="130" t="s">
        <v>2</v>
      </c>
      <c r="AR24" s="130" t="s">
        <v>3</v>
      </c>
      <c r="AS24" s="135" t="s">
        <v>4</v>
      </c>
      <c r="AT24" s="130" t="s">
        <v>2</v>
      </c>
      <c r="AU24" s="130" t="s">
        <v>3</v>
      </c>
      <c r="AV24" s="135" t="s">
        <v>4</v>
      </c>
      <c r="AW24" s="130" t="s">
        <v>2</v>
      </c>
      <c r="AX24" s="130" t="s">
        <v>3</v>
      </c>
      <c r="AY24" s="135" t="s">
        <v>4</v>
      </c>
      <c r="AZ24" s="130" t="s">
        <v>2</v>
      </c>
      <c r="BA24" s="130" t="s">
        <v>3</v>
      </c>
      <c r="BB24" s="135" t="s">
        <v>4</v>
      </c>
      <c r="BC24" s="130" t="s">
        <v>2</v>
      </c>
      <c r="BD24" s="130" t="s">
        <v>3</v>
      </c>
      <c r="BE24" s="135" t="s">
        <v>4</v>
      </c>
      <c r="BF24" s="130" t="s">
        <v>2</v>
      </c>
      <c r="BG24" s="130" t="s">
        <v>3</v>
      </c>
      <c r="BH24" s="135" t="s">
        <v>4</v>
      </c>
      <c r="BI24" s="130" t="s">
        <v>2</v>
      </c>
      <c r="BJ24" s="130" t="s">
        <v>3</v>
      </c>
      <c r="BK24" s="135" t="s">
        <v>4</v>
      </c>
      <c r="BL24" s="130" t="s">
        <v>2</v>
      </c>
      <c r="BM24" s="130" t="s">
        <v>3</v>
      </c>
      <c r="BN24" s="135" t="s">
        <v>4</v>
      </c>
      <c r="BO24" s="130" t="s">
        <v>2</v>
      </c>
      <c r="BP24" s="130" t="s">
        <v>3</v>
      </c>
      <c r="BQ24" s="135" t="s">
        <v>4</v>
      </c>
      <c r="BR24" s="130" t="s">
        <v>2</v>
      </c>
      <c r="BS24" s="130" t="s">
        <v>3</v>
      </c>
      <c r="BT24" s="135" t="s">
        <v>4</v>
      </c>
      <c r="BU24" s="130" t="s">
        <v>2</v>
      </c>
      <c r="BV24" s="130" t="s">
        <v>3</v>
      </c>
      <c r="BW24" s="135" t="s">
        <v>4</v>
      </c>
      <c r="BX24" s="130" t="s">
        <v>2</v>
      </c>
      <c r="BY24" s="130" t="s">
        <v>3</v>
      </c>
      <c r="BZ24" s="135" t="s">
        <v>4</v>
      </c>
      <c r="CA24" s="179"/>
      <c r="CB24" s="9" t="s">
        <v>71</v>
      </c>
    </row>
    <row r="25" spans="1:81" ht="15.6" customHeight="1" x14ac:dyDescent="0.25">
      <c r="C25" s="136">
        <v>12</v>
      </c>
      <c r="D25" s="136">
        <v>180.8691</v>
      </c>
      <c r="E25" s="136">
        <v>0</v>
      </c>
      <c r="F25" s="138">
        <v>0</v>
      </c>
      <c r="G25" s="136">
        <v>180.86859999999999</v>
      </c>
      <c r="H25" s="136">
        <f>(G25-D25)*1000</f>
        <v>-0.50000000001659828</v>
      </c>
      <c r="I25" s="139">
        <f>F25+H25</f>
        <v>-0.50000000001659828</v>
      </c>
      <c r="J25" s="136">
        <v>180.86850000000001</v>
      </c>
      <c r="K25" s="136">
        <f t="shared" ref="K25:K36" si="42">(J25-G25)*1000</f>
        <v>-9.9999999974897946E-2</v>
      </c>
      <c r="L25" s="139">
        <f t="shared" ref="L25:L36" si="43">I25+K25</f>
        <v>-0.59999999999149622</v>
      </c>
      <c r="M25" s="136">
        <v>180.8683</v>
      </c>
      <c r="N25" s="136">
        <f t="shared" ref="N25:N36" si="44">(M25-J25)*1000</f>
        <v>-0.20000000000663931</v>
      </c>
      <c r="O25" s="139">
        <f t="shared" ref="O25:O36" si="45">L25+N25</f>
        <v>-0.79999999999813554</v>
      </c>
      <c r="P25" s="136">
        <v>180.86840000000001</v>
      </c>
      <c r="Q25" s="136">
        <f t="shared" ref="Q25:Q36" si="46">(P25-M25)*1000</f>
        <v>0.10000000000331966</v>
      </c>
      <c r="R25" s="139">
        <f t="shared" ref="R25:R36" si="47">O25+Q25</f>
        <v>-0.69999999999481588</v>
      </c>
      <c r="S25" s="136">
        <v>180.86869999999999</v>
      </c>
      <c r="T25" s="136">
        <f t="shared" ref="T25:T36" si="48">(S25-P25)*1000</f>
        <v>0.29999999998153726</v>
      </c>
      <c r="U25" s="139">
        <f t="shared" ref="U25:U36" si="49">R25+T25</f>
        <v>-0.40000000001327862</v>
      </c>
      <c r="V25" s="146">
        <v>180.86779999999999</v>
      </c>
      <c r="W25" s="147">
        <f t="shared" ref="W25:W36" si="50">(V25-S25)*1000</f>
        <v>-0.90000000000145519</v>
      </c>
      <c r="X25" s="144">
        <f t="shared" ref="X25:X36" si="51">U25+W25</f>
        <v>-1.3000000000147338</v>
      </c>
      <c r="Y25" s="146">
        <v>180.86700000000002</v>
      </c>
      <c r="Z25" s="147">
        <f t="shared" ref="Z25:Z36" si="52">(Y25-V25)*1000</f>
        <v>-0.79999999996971383</v>
      </c>
      <c r="AA25" s="144">
        <f t="shared" ref="AA25:AA36" si="53">X25+Z25</f>
        <v>-2.0999999999844476</v>
      </c>
      <c r="AB25" s="146">
        <v>180.86750000000001</v>
      </c>
      <c r="AC25" s="147">
        <f t="shared" ref="AC25:AC36" si="54">(AB25-Y25)*1000</f>
        <v>0.49999999998817657</v>
      </c>
      <c r="AD25" s="144">
        <f t="shared" ref="AD25:AD36" si="55">AA25+AC25</f>
        <v>-1.5999999999962711</v>
      </c>
      <c r="AE25" s="146">
        <v>180.86760000000001</v>
      </c>
      <c r="AF25" s="147">
        <f t="shared" ref="AF25:AF36" si="56">(AE25-AB25)*1000</f>
        <v>0.10000000000331966</v>
      </c>
      <c r="AG25" s="144">
        <f t="shared" ref="AG25:AG36" si="57">AD25+AF25</f>
        <v>-1.4999999999929514</v>
      </c>
      <c r="AH25" s="146">
        <v>180.8681</v>
      </c>
      <c r="AI25" s="147">
        <f t="shared" ref="AI25:AI36" si="58">(AH25-AE25)*1000</f>
        <v>0.49999999998817657</v>
      </c>
      <c r="AJ25" s="144">
        <f t="shared" ref="AJ25:AJ36" si="59">AG25+AI25</f>
        <v>-1.0000000000047748</v>
      </c>
      <c r="AK25" s="146">
        <v>180.86760000000001</v>
      </c>
      <c r="AL25" s="147">
        <f t="shared" ref="AL25:AL36" si="60">(AK25-AH25)*1000</f>
        <v>-0.49999999998817657</v>
      </c>
      <c r="AM25" s="144">
        <f t="shared" ref="AM25:AM36" si="61">AJ25+AL25</f>
        <v>-1.4999999999929514</v>
      </c>
      <c r="AN25" s="146">
        <v>180.86780000000002</v>
      </c>
      <c r="AO25" s="147">
        <f t="shared" ref="AO25:AO36" si="62">(AN25-AK25)*1000</f>
        <v>0.20000000000663931</v>
      </c>
      <c r="AP25" s="144">
        <f t="shared" ref="AP25:AP36" si="63">AM25+AO25</f>
        <v>-1.2999999999863121</v>
      </c>
      <c r="AQ25" s="136">
        <v>180.8682</v>
      </c>
      <c r="AR25" s="140">
        <f t="shared" ref="AR25:AR36" si="64">(AQ25-AN25)*1000</f>
        <v>0.39999999998485691</v>
      </c>
      <c r="AS25" s="140">
        <f t="shared" ref="AS25:AS36" si="65">AP25+AR25</f>
        <v>-0.90000000000145519</v>
      </c>
      <c r="AT25" s="137">
        <v>180.86840000000001</v>
      </c>
      <c r="AU25" s="140">
        <f t="shared" ref="AU25:AU36" si="66">(AT25-AQ25)*1000</f>
        <v>0.20000000000663931</v>
      </c>
      <c r="AV25" s="140">
        <f t="shared" ref="AV25:AV36" si="67">AS25+AU25</f>
        <v>-0.69999999999481588</v>
      </c>
      <c r="AW25" s="136">
        <v>180.86870000000002</v>
      </c>
      <c r="AX25" s="140">
        <f t="shared" ref="AX25:AX36" si="68">(AW25-AT25)*1000</f>
        <v>0.30000000000995897</v>
      </c>
      <c r="AY25" s="140">
        <f t="shared" ref="AY25:AY36" si="69">AV25+AX25</f>
        <v>-0.39999999998485691</v>
      </c>
      <c r="AZ25" s="136">
        <v>180.8689</v>
      </c>
      <c r="BA25" s="140">
        <f t="shared" ref="BA25" si="70">(AZ25-AW25)*1000</f>
        <v>0.1999999999782176</v>
      </c>
      <c r="BB25" s="140">
        <f t="shared" ref="BB25" si="71">AY25+BA25</f>
        <v>-0.20000000000663931</v>
      </c>
      <c r="BC25" s="136">
        <v>180.86850000000001</v>
      </c>
      <c r="BD25" s="140">
        <f t="shared" ref="BD25:BD36" si="72">(BC25-AZ25)*1000</f>
        <v>-0.39999999998485691</v>
      </c>
      <c r="BE25" s="140">
        <f t="shared" ref="BE25:BE36" si="73">BB25+BD25</f>
        <v>-0.59999999999149622</v>
      </c>
      <c r="BF25" s="137">
        <v>180.86799999999999</v>
      </c>
      <c r="BG25" s="140">
        <f t="shared" ref="BG25:BG36" si="74">(BF25-BC25)*1000</f>
        <v>-0.50000000001659828</v>
      </c>
      <c r="BH25" s="140">
        <f t="shared" ref="BH25:BH36" si="75">BE25+BG25</f>
        <v>-1.1000000000080945</v>
      </c>
      <c r="BI25" s="137">
        <v>180.86750000000001</v>
      </c>
      <c r="BJ25" s="140">
        <f t="shared" ref="BJ25" si="76">(BI25-BF25)*1000</f>
        <v>-0.49999999998817657</v>
      </c>
      <c r="BK25" s="140">
        <f t="shared" ref="BK25" si="77">BH25+BJ25</f>
        <v>-1.5999999999962711</v>
      </c>
      <c r="BL25" s="137">
        <v>180.86709999999999</v>
      </c>
      <c r="BM25" s="140">
        <f t="shared" ref="BM25:BM36" si="78">(BL25-BI25)*1000</f>
        <v>-0.40000000001327862</v>
      </c>
      <c r="BN25" s="140">
        <f t="shared" ref="BN25:BN36" si="79">BK25+BM25</f>
        <v>-2.0000000000095497</v>
      </c>
      <c r="BO25" s="137">
        <v>180.8674</v>
      </c>
      <c r="BP25" s="140">
        <f t="shared" ref="BP25:BP36" si="80">(BO25-BL25)*1000</f>
        <v>0.30000000000995897</v>
      </c>
      <c r="BQ25" s="140">
        <f t="shared" ref="BQ25:BQ36" si="81">BN25+BP25</f>
        <v>-1.6999999999995907</v>
      </c>
      <c r="BR25" s="148">
        <v>180.86770000000001</v>
      </c>
      <c r="BS25" s="140">
        <f t="shared" ref="BS25:BS36" si="82">(BR25-BO25)*1000</f>
        <v>0.30000000000995897</v>
      </c>
      <c r="BT25" s="140">
        <f t="shared" ref="BT25:BT36" si="83">BQ25+BS25</f>
        <v>-1.3999999999896318</v>
      </c>
      <c r="BU25" s="142">
        <v>180.86790000000002</v>
      </c>
      <c r="BV25" s="140">
        <f t="shared" ref="BV25" si="84">(BU25-BR25)*1000</f>
        <v>0.20000000000663931</v>
      </c>
      <c r="BW25" s="140">
        <f t="shared" ref="BW25" si="85">BT25+BV25</f>
        <v>-1.1999999999829924</v>
      </c>
      <c r="BX25" s="142">
        <v>180.86779999999999</v>
      </c>
      <c r="BY25" s="140">
        <f t="shared" ref="BY25:BY36" si="86">(BX25-BU25)*1000</f>
        <v>-0.10000000003174137</v>
      </c>
      <c r="BZ25" s="140">
        <f t="shared" ref="BZ25:BZ36" si="87">BW25+BY25</f>
        <v>-1.3000000000147338</v>
      </c>
      <c r="CA25" s="143">
        <v>12</v>
      </c>
    </row>
    <row r="26" spans="1:81" ht="15.6" customHeight="1" x14ac:dyDescent="0.25">
      <c r="C26" s="136">
        <v>13</v>
      </c>
      <c r="D26" s="136">
        <v>180.86590000000001</v>
      </c>
      <c r="E26" s="136">
        <v>0</v>
      </c>
      <c r="F26" s="138">
        <v>0</v>
      </c>
      <c r="G26" s="136">
        <v>180.8655</v>
      </c>
      <c r="H26" s="136">
        <f t="shared" ref="H26:H36" si="88">(G26-D26)*1000</f>
        <v>-0.40000000001327862</v>
      </c>
      <c r="I26" s="139">
        <f t="shared" ref="I26:I36" si="89">F26+H26</f>
        <v>-0.40000000001327862</v>
      </c>
      <c r="J26" s="136">
        <v>180.8656</v>
      </c>
      <c r="K26" s="136">
        <f t="shared" si="42"/>
        <v>0.10000000000331966</v>
      </c>
      <c r="L26" s="139">
        <f t="shared" si="43"/>
        <v>-0.30000000000995897</v>
      </c>
      <c r="M26" s="136">
        <v>180.8655</v>
      </c>
      <c r="N26" s="136">
        <f t="shared" si="44"/>
        <v>-0.10000000000331966</v>
      </c>
      <c r="O26" s="139">
        <f t="shared" si="45"/>
        <v>-0.40000000001327862</v>
      </c>
      <c r="P26" s="136">
        <v>180.86580000000001</v>
      </c>
      <c r="Q26" s="136">
        <f t="shared" si="46"/>
        <v>0.30000000000995897</v>
      </c>
      <c r="R26" s="139">
        <f t="shared" si="47"/>
        <v>-0.10000000000331966</v>
      </c>
      <c r="S26" s="136">
        <v>180.8656</v>
      </c>
      <c r="T26" s="136">
        <f t="shared" si="48"/>
        <v>-0.20000000000663931</v>
      </c>
      <c r="U26" s="139">
        <f t="shared" si="49"/>
        <v>-0.30000000000995897</v>
      </c>
      <c r="V26" s="146">
        <v>180.86410000000001</v>
      </c>
      <c r="W26" s="147">
        <f t="shared" si="50"/>
        <v>-1.4999999999929514</v>
      </c>
      <c r="X26" s="144">
        <f t="shared" si="51"/>
        <v>-1.8000000000029104</v>
      </c>
      <c r="Y26" s="146">
        <v>180.86360000000002</v>
      </c>
      <c r="Z26" s="147">
        <f t="shared" si="52"/>
        <v>-0.49999999998817657</v>
      </c>
      <c r="AA26" s="144">
        <f t="shared" si="53"/>
        <v>-2.299999999991087</v>
      </c>
      <c r="AB26" s="146">
        <v>180.864</v>
      </c>
      <c r="AC26" s="147">
        <f t="shared" si="54"/>
        <v>0.39999999998485691</v>
      </c>
      <c r="AD26" s="144">
        <f t="shared" si="55"/>
        <v>-1.90000000000623</v>
      </c>
      <c r="AE26" s="146">
        <v>180.86429999999999</v>
      </c>
      <c r="AF26" s="147">
        <f t="shared" si="56"/>
        <v>0.29999999998153726</v>
      </c>
      <c r="AG26" s="144">
        <f t="shared" si="57"/>
        <v>-1.6000000000246928</v>
      </c>
      <c r="AH26" s="146">
        <v>180.8647</v>
      </c>
      <c r="AI26" s="147">
        <f t="shared" si="58"/>
        <v>0.40000000001327862</v>
      </c>
      <c r="AJ26" s="144">
        <f t="shared" si="59"/>
        <v>-1.2000000000114142</v>
      </c>
      <c r="AK26" s="146">
        <v>180.864</v>
      </c>
      <c r="AL26" s="147">
        <f t="shared" si="60"/>
        <v>-0.69999999999481588</v>
      </c>
      <c r="AM26" s="144">
        <f t="shared" si="61"/>
        <v>-1.90000000000623</v>
      </c>
      <c r="AN26" s="146">
        <v>180.86430000000001</v>
      </c>
      <c r="AO26" s="147">
        <f t="shared" si="62"/>
        <v>0.30000000000995897</v>
      </c>
      <c r="AP26" s="144">
        <f t="shared" si="63"/>
        <v>-1.5999999999962711</v>
      </c>
      <c r="AQ26" s="136">
        <v>180.86490000000001</v>
      </c>
      <c r="AR26" s="140">
        <f t="shared" si="64"/>
        <v>0.59999999999149622</v>
      </c>
      <c r="AS26" s="140">
        <f t="shared" si="65"/>
        <v>-1.0000000000047748</v>
      </c>
      <c r="AT26" s="137">
        <v>180.86539999999999</v>
      </c>
      <c r="AU26" s="140">
        <f t="shared" si="66"/>
        <v>0.49999999998817657</v>
      </c>
      <c r="AV26" s="140">
        <f t="shared" si="67"/>
        <v>-0.50000000001659828</v>
      </c>
      <c r="AW26" s="136">
        <v>180.86519999999999</v>
      </c>
      <c r="AX26" s="140">
        <f t="shared" si="68"/>
        <v>-0.20000000000663931</v>
      </c>
      <c r="AY26" s="140">
        <f t="shared" si="69"/>
        <v>-0.70000000002323759</v>
      </c>
      <c r="AZ26" s="136">
        <v>180.86510000000001</v>
      </c>
      <c r="BA26" s="140">
        <f t="shared" ref="BA26:BA36" si="90">(AZ26-AW26)*1000</f>
        <v>-9.9999999974897946E-2</v>
      </c>
      <c r="BB26" s="140">
        <f t="shared" ref="BB26:BB36" si="91">AY26+BA26</f>
        <v>-0.79999999999813554</v>
      </c>
      <c r="BC26" s="136">
        <v>180.86490000000001</v>
      </c>
      <c r="BD26" s="140">
        <f t="shared" si="72"/>
        <v>-0.20000000000663931</v>
      </c>
      <c r="BE26" s="140">
        <f t="shared" si="73"/>
        <v>-1.0000000000047748</v>
      </c>
      <c r="BF26" s="137">
        <v>180.8646</v>
      </c>
      <c r="BG26" s="140">
        <f t="shared" si="74"/>
        <v>-0.30000000000995897</v>
      </c>
      <c r="BH26" s="140">
        <f t="shared" si="75"/>
        <v>-1.3000000000147338</v>
      </c>
      <c r="BI26" s="137">
        <v>180.8648</v>
      </c>
      <c r="BJ26" s="140">
        <f t="shared" ref="BJ26:BJ36" si="92">(BI26-BF26)*1000</f>
        <v>0.20000000000663931</v>
      </c>
      <c r="BK26" s="140">
        <f t="shared" ref="BK26:BK36" si="93">BH26+BJ26</f>
        <v>-1.1000000000080945</v>
      </c>
      <c r="BL26" s="137">
        <v>180.8646</v>
      </c>
      <c r="BM26" s="140">
        <f t="shared" si="78"/>
        <v>-0.20000000000663931</v>
      </c>
      <c r="BN26" s="140">
        <f t="shared" si="79"/>
        <v>-1.3000000000147338</v>
      </c>
      <c r="BO26" s="137">
        <v>180.86419999999998</v>
      </c>
      <c r="BP26" s="140">
        <f t="shared" si="80"/>
        <v>-0.40000000001327862</v>
      </c>
      <c r="BQ26" s="140">
        <f t="shared" si="81"/>
        <v>-1.7000000000280124</v>
      </c>
      <c r="BR26" s="148">
        <v>180.86399999999998</v>
      </c>
      <c r="BS26" s="140">
        <f t="shared" si="82"/>
        <v>-0.20000000000663931</v>
      </c>
      <c r="BT26" s="140">
        <f t="shared" si="83"/>
        <v>-1.9000000000346517</v>
      </c>
      <c r="BU26" s="142">
        <v>180.86369999999997</v>
      </c>
      <c r="BV26" s="140">
        <f t="shared" ref="BV26:BV36" si="94">(BU26-BR26)*1000</f>
        <v>-0.30000000000995897</v>
      </c>
      <c r="BW26" s="140">
        <f t="shared" ref="BW26:BW36" si="95">BT26+BV26</f>
        <v>-2.2000000000446107</v>
      </c>
      <c r="BX26" s="142">
        <v>180.86399999999998</v>
      </c>
      <c r="BY26" s="140">
        <f t="shared" si="86"/>
        <v>0.30000000000995897</v>
      </c>
      <c r="BZ26" s="140">
        <f t="shared" si="87"/>
        <v>-1.9000000000346517</v>
      </c>
      <c r="CA26" s="143">
        <v>13</v>
      </c>
    </row>
    <row r="27" spans="1:81" ht="15.6" customHeight="1" x14ac:dyDescent="0.25">
      <c r="C27" s="136">
        <v>14</v>
      </c>
      <c r="D27" s="136">
        <v>180.9023</v>
      </c>
      <c r="E27" s="136">
        <v>0</v>
      </c>
      <c r="F27" s="138">
        <v>0</v>
      </c>
      <c r="G27" s="136">
        <v>180.90199999999999</v>
      </c>
      <c r="H27" s="136">
        <f t="shared" si="88"/>
        <v>-0.30000000000995897</v>
      </c>
      <c r="I27" s="139">
        <f t="shared" si="89"/>
        <v>-0.30000000000995897</v>
      </c>
      <c r="J27" s="136">
        <v>180.90180000000001</v>
      </c>
      <c r="K27" s="136">
        <f t="shared" si="42"/>
        <v>-0.1999999999782176</v>
      </c>
      <c r="L27" s="139">
        <f t="shared" si="43"/>
        <v>-0.49999999998817657</v>
      </c>
      <c r="M27" s="136">
        <v>180.90190000000001</v>
      </c>
      <c r="N27" s="136">
        <f t="shared" si="44"/>
        <v>0.10000000000331966</v>
      </c>
      <c r="O27" s="139">
        <f t="shared" si="45"/>
        <v>-0.39999999998485691</v>
      </c>
      <c r="P27" s="136">
        <v>180.90180000000001</v>
      </c>
      <c r="Q27" s="136">
        <f t="shared" si="46"/>
        <v>-0.10000000000331966</v>
      </c>
      <c r="R27" s="139">
        <f t="shared" si="47"/>
        <v>-0.49999999998817657</v>
      </c>
      <c r="S27" s="136">
        <v>180.90190000000001</v>
      </c>
      <c r="T27" s="136">
        <f t="shared" si="48"/>
        <v>0.10000000000331966</v>
      </c>
      <c r="U27" s="139">
        <f t="shared" si="49"/>
        <v>-0.39999999998485691</v>
      </c>
      <c r="V27" s="146">
        <v>180.9008</v>
      </c>
      <c r="W27" s="147">
        <f t="shared" si="50"/>
        <v>-1.1000000000080945</v>
      </c>
      <c r="X27" s="144">
        <f t="shared" si="51"/>
        <v>-1.4999999999929514</v>
      </c>
      <c r="Y27" s="146">
        <v>180.9006</v>
      </c>
      <c r="Z27" s="147">
        <f t="shared" si="52"/>
        <v>-0.20000000000663931</v>
      </c>
      <c r="AA27" s="144">
        <f t="shared" si="53"/>
        <v>-1.6999999999995907</v>
      </c>
      <c r="AB27" s="146">
        <v>180.90090000000001</v>
      </c>
      <c r="AC27" s="147">
        <f t="shared" si="54"/>
        <v>0.30000000000995897</v>
      </c>
      <c r="AD27" s="144">
        <f t="shared" si="55"/>
        <v>-1.3999999999896318</v>
      </c>
      <c r="AE27" s="146">
        <v>180.9007</v>
      </c>
      <c r="AF27" s="147">
        <f t="shared" si="56"/>
        <v>-0.20000000000663931</v>
      </c>
      <c r="AG27" s="144">
        <f t="shared" si="57"/>
        <v>-1.5999999999962711</v>
      </c>
      <c r="AH27" s="146">
        <v>180.90030000000002</v>
      </c>
      <c r="AI27" s="147">
        <f t="shared" si="58"/>
        <v>-0.39999999998485691</v>
      </c>
      <c r="AJ27" s="144">
        <f t="shared" si="59"/>
        <v>-1.999999999981128</v>
      </c>
      <c r="AK27" s="146">
        <v>180.89949999999999</v>
      </c>
      <c r="AL27" s="147">
        <f t="shared" si="60"/>
        <v>-0.80000000002655725</v>
      </c>
      <c r="AM27" s="144">
        <f t="shared" si="61"/>
        <v>-2.8000000000076852</v>
      </c>
      <c r="AN27" s="146">
        <v>180.90010000000001</v>
      </c>
      <c r="AO27" s="147">
        <f t="shared" si="62"/>
        <v>0.60000000001991793</v>
      </c>
      <c r="AP27" s="144">
        <f t="shared" si="63"/>
        <v>-2.1999999999877673</v>
      </c>
      <c r="AQ27" s="136">
        <v>180.9006</v>
      </c>
      <c r="AR27" s="140">
        <f t="shared" si="64"/>
        <v>0.49999999998817657</v>
      </c>
      <c r="AS27" s="140">
        <f t="shared" si="65"/>
        <v>-1.6999999999995907</v>
      </c>
      <c r="AT27" s="137">
        <v>180.90090000000001</v>
      </c>
      <c r="AU27" s="140">
        <f t="shared" si="66"/>
        <v>0.30000000000995897</v>
      </c>
      <c r="AV27" s="140">
        <f t="shared" si="67"/>
        <v>-1.3999999999896318</v>
      </c>
      <c r="AW27" s="136">
        <v>180.90120000000002</v>
      </c>
      <c r="AX27" s="140">
        <f t="shared" si="68"/>
        <v>0.30000000000995897</v>
      </c>
      <c r="AY27" s="140">
        <f t="shared" si="69"/>
        <v>-1.0999999999796728</v>
      </c>
      <c r="AZ27" s="136">
        <v>180.90129999999999</v>
      </c>
      <c r="BA27" s="140">
        <f t="shared" si="90"/>
        <v>9.9999999974897946E-2</v>
      </c>
      <c r="BB27" s="140">
        <f t="shared" si="91"/>
        <v>-1.0000000000047748</v>
      </c>
      <c r="BC27" s="136">
        <v>180.90110000000001</v>
      </c>
      <c r="BD27" s="140">
        <f t="shared" si="72"/>
        <v>-0.1999999999782176</v>
      </c>
      <c r="BE27" s="140">
        <f t="shared" si="73"/>
        <v>-1.1999999999829924</v>
      </c>
      <c r="BF27" s="137">
        <v>180.90090000000001</v>
      </c>
      <c r="BG27" s="140">
        <f t="shared" si="74"/>
        <v>-0.20000000000663931</v>
      </c>
      <c r="BH27" s="140">
        <f t="shared" si="75"/>
        <v>-1.3999999999896318</v>
      </c>
      <c r="BI27" s="137">
        <v>180.90100000000001</v>
      </c>
      <c r="BJ27" s="140">
        <f t="shared" si="92"/>
        <v>0.10000000000331966</v>
      </c>
      <c r="BK27" s="140">
        <f t="shared" si="93"/>
        <v>-1.2999999999863121</v>
      </c>
      <c r="BL27" s="137">
        <v>180.90130000000002</v>
      </c>
      <c r="BM27" s="140">
        <f t="shared" si="78"/>
        <v>0.30000000000995897</v>
      </c>
      <c r="BN27" s="140">
        <f t="shared" si="79"/>
        <v>-0.99999999997635314</v>
      </c>
      <c r="BO27" s="137">
        <v>180.90120000000002</v>
      </c>
      <c r="BP27" s="140">
        <f t="shared" si="80"/>
        <v>-0.10000000000331966</v>
      </c>
      <c r="BQ27" s="140">
        <f t="shared" si="81"/>
        <v>-1.0999999999796728</v>
      </c>
      <c r="BR27" s="148">
        <v>180.90120000000002</v>
      </c>
      <c r="BS27" s="140">
        <f t="shared" si="82"/>
        <v>0</v>
      </c>
      <c r="BT27" s="140">
        <f t="shared" si="83"/>
        <v>-1.0999999999796728</v>
      </c>
      <c r="BU27" s="142">
        <v>180.90150000000003</v>
      </c>
      <c r="BV27" s="140">
        <f t="shared" si="94"/>
        <v>0.30000000000995897</v>
      </c>
      <c r="BW27" s="140">
        <f t="shared" si="95"/>
        <v>-0.79999999996971383</v>
      </c>
      <c r="BX27" s="142">
        <v>180.9015</v>
      </c>
      <c r="BY27" s="140">
        <f t="shared" si="86"/>
        <v>-2.8421709430404007E-11</v>
      </c>
      <c r="BZ27" s="140">
        <f t="shared" si="87"/>
        <v>-0.79999999999813554</v>
      </c>
      <c r="CA27" s="150">
        <v>14</v>
      </c>
    </row>
    <row r="28" spans="1:81" ht="15.6" customHeight="1" x14ac:dyDescent="0.25">
      <c r="C28" s="136">
        <v>15</v>
      </c>
      <c r="D28" s="136">
        <v>181.54490000000001</v>
      </c>
      <c r="E28" s="136">
        <v>0</v>
      </c>
      <c r="F28" s="138">
        <v>0</v>
      </c>
      <c r="G28" s="136">
        <v>181.5444</v>
      </c>
      <c r="H28" s="136">
        <f t="shared" si="88"/>
        <v>-0.50000000001659828</v>
      </c>
      <c r="I28" s="139">
        <f t="shared" si="89"/>
        <v>-0.50000000001659828</v>
      </c>
      <c r="J28" s="136">
        <v>181.5445</v>
      </c>
      <c r="K28" s="136">
        <f t="shared" si="42"/>
        <v>0.10000000000331966</v>
      </c>
      <c r="L28" s="139">
        <f t="shared" si="43"/>
        <v>-0.40000000001327862</v>
      </c>
      <c r="M28" s="136">
        <v>181.54419999999999</v>
      </c>
      <c r="N28" s="136">
        <f t="shared" si="44"/>
        <v>-0.30000000000995897</v>
      </c>
      <c r="O28" s="139">
        <f t="shared" si="45"/>
        <v>-0.70000000002323759</v>
      </c>
      <c r="P28" s="136">
        <v>181.5445</v>
      </c>
      <c r="Q28" s="136">
        <f t="shared" si="46"/>
        <v>0.30000000000995897</v>
      </c>
      <c r="R28" s="139">
        <f t="shared" si="47"/>
        <v>-0.40000000001327862</v>
      </c>
      <c r="S28" s="136">
        <v>181.5444</v>
      </c>
      <c r="T28" s="136">
        <f t="shared" si="48"/>
        <v>-0.10000000000331966</v>
      </c>
      <c r="U28" s="139">
        <f t="shared" si="49"/>
        <v>-0.50000000001659828</v>
      </c>
      <c r="V28" s="146">
        <v>181.5419</v>
      </c>
      <c r="W28" s="147">
        <f t="shared" si="50"/>
        <v>-2.4999999999977263</v>
      </c>
      <c r="X28" s="144">
        <f t="shared" si="51"/>
        <v>-3.0000000000143245</v>
      </c>
      <c r="Y28" s="146">
        <v>181.54249999999999</v>
      </c>
      <c r="Z28" s="147">
        <f t="shared" si="52"/>
        <v>0.59999999999149622</v>
      </c>
      <c r="AA28" s="144">
        <f t="shared" si="53"/>
        <v>-2.4000000000228283</v>
      </c>
      <c r="AB28" s="146">
        <v>181.54300000000001</v>
      </c>
      <c r="AC28" s="147">
        <f t="shared" si="54"/>
        <v>0.50000000001659828</v>
      </c>
      <c r="AD28" s="144">
        <f t="shared" si="55"/>
        <v>-1.90000000000623</v>
      </c>
      <c r="AE28" s="146">
        <v>181.54320000000001</v>
      </c>
      <c r="AF28" s="147">
        <f t="shared" si="56"/>
        <v>0.20000000000663931</v>
      </c>
      <c r="AG28" s="144">
        <f t="shared" si="57"/>
        <v>-1.6999999999995907</v>
      </c>
      <c r="AH28" s="146">
        <v>181.54339999999999</v>
      </c>
      <c r="AI28" s="147">
        <f t="shared" si="58"/>
        <v>0.1999999999782176</v>
      </c>
      <c r="AJ28" s="144">
        <f t="shared" si="59"/>
        <v>-1.5000000000213731</v>
      </c>
      <c r="AK28" s="146">
        <v>181.5429</v>
      </c>
      <c r="AL28" s="147">
        <f t="shared" si="60"/>
        <v>-0.49999999998817657</v>
      </c>
      <c r="AM28" s="144">
        <f t="shared" si="61"/>
        <v>-2.0000000000095497</v>
      </c>
      <c r="AN28" s="146">
        <v>181.54170000000002</v>
      </c>
      <c r="AO28" s="147">
        <f t="shared" si="62"/>
        <v>-1.1999999999829924</v>
      </c>
      <c r="AP28" s="144">
        <f t="shared" si="63"/>
        <v>-3.1999999999925421</v>
      </c>
      <c r="AQ28" s="136">
        <v>181.5421</v>
      </c>
      <c r="AR28" s="140">
        <f t="shared" si="64"/>
        <v>0.39999999998485691</v>
      </c>
      <c r="AS28" s="140">
        <f t="shared" si="65"/>
        <v>-2.8000000000076852</v>
      </c>
      <c r="AT28" s="137">
        <v>181.54249999999999</v>
      </c>
      <c r="AU28" s="140">
        <f t="shared" si="66"/>
        <v>0.39999999998485691</v>
      </c>
      <c r="AV28" s="140">
        <f t="shared" si="67"/>
        <v>-2.4000000000228283</v>
      </c>
      <c r="AW28" s="136">
        <v>181.5428</v>
      </c>
      <c r="AX28" s="140">
        <f t="shared" si="68"/>
        <v>0.30000000000995897</v>
      </c>
      <c r="AY28" s="140">
        <f t="shared" si="69"/>
        <v>-2.1000000000128694</v>
      </c>
      <c r="AZ28" s="136">
        <v>181.54310000000001</v>
      </c>
      <c r="BA28" s="140">
        <f t="shared" si="90"/>
        <v>0.30000000000995897</v>
      </c>
      <c r="BB28" s="140">
        <f t="shared" si="91"/>
        <v>-1.8000000000029104</v>
      </c>
      <c r="BC28" s="136">
        <v>181.5427</v>
      </c>
      <c r="BD28" s="140">
        <f t="shared" si="72"/>
        <v>-0.40000000001327862</v>
      </c>
      <c r="BE28" s="140">
        <f t="shared" si="73"/>
        <v>-2.200000000016189</v>
      </c>
      <c r="BF28" s="137">
        <v>181.54300000000001</v>
      </c>
      <c r="BG28" s="140">
        <f t="shared" si="74"/>
        <v>0.30000000000995897</v>
      </c>
      <c r="BH28" s="140">
        <f t="shared" si="75"/>
        <v>-1.90000000000623</v>
      </c>
      <c r="BI28" s="137">
        <v>181.54240000000001</v>
      </c>
      <c r="BJ28" s="140">
        <f t="shared" si="92"/>
        <v>-0.59999999999149622</v>
      </c>
      <c r="BK28" s="140">
        <f t="shared" si="93"/>
        <v>-2.4999999999977263</v>
      </c>
      <c r="BL28" s="137">
        <v>181.5421</v>
      </c>
      <c r="BM28" s="140">
        <f t="shared" si="78"/>
        <v>-0.30000000000995897</v>
      </c>
      <c r="BN28" s="140">
        <f t="shared" si="79"/>
        <v>-2.8000000000076852</v>
      </c>
      <c r="BO28" s="137">
        <v>181.54169999999999</v>
      </c>
      <c r="BP28" s="140">
        <f t="shared" si="80"/>
        <v>-0.40000000001327862</v>
      </c>
      <c r="BQ28" s="140">
        <f t="shared" si="81"/>
        <v>-3.2000000000209639</v>
      </c>
      <c r="BR28" s="148">
        <v>181.54219999999998</v>
      </c>
      <c r="BS28" s="140">
        <f t="shared" si="82"/>
        <v>0.49999999998817657</v>
      </c>
      <c r="BT28" s="140">
        <f t="shared" si="83"/>
        <v>-2.7000000000327873</v>
      </c>
      <c r="BU28" s="142">
        <v>181.54179999999997</v>
      </c>
      <c r="BV28" s="140">
        <f t="shared" si="94"/>
        <v>-0.40000000001327862</v>
      </c>
      <c r="BW28" s="140">
        <f t="shared" si="95"/>
        <v>-3.1000000000460659</v>
      </c>
      <c r="BX28" s="142">
        <v>181.54150000000001</v>
      </c>
      <c r="BY28" s="140">
        <f t="shared" si="86"/>
        <v>-0.29999999995311555</v>
      </c>
      <c r="BZ28" s="149">
        <f t="shared" si="87"/>
        <v>-3.3999999999991815</v>
      </c>
      <c r="CA28" s="150">
        <v>15</v>
      </c>
      <c r="CB28" s="1">
        <v>9000</v>
      </c>
    </row>
    <row r="29" spans="1:81" ht="15.6" customHeight="1" x14ac:dyDescent="0.25">
      <c r="C29" s="136">
        <v>16</v>
      </c>
      <c r="D29" s="136">
        <v>180.9676</v>
      </c>
      <c r="E29" s="136">
        <v>0</v>
      </c>
      <c r="F29" s="138">
        <v>0</v>
      </c>
      <c r="G29" s="136">
        <v>180.96729999999999</v>
      </c>
      <c r="H29" s="136">
        <f t="shared" si="88"/>
        <v>-0.30000000000995897</v>
      </c>
      <c r="I29" s="139">
        <f t="shared" si="89"/>
        <v>-0.30000000000995897</v>
      </c>
      <c r="J29" s="136">
        <v>180.9675</v>
      </c>
      <c r="K29" s="136">
        <f t="shared" si="42"/>
        <v>0.20000000000663931</v>
      </c>
      <c r="L29" s="139">
        <f t="shared" si="43"/>
        <v>-0.10000000000331966</v>
      </c>
      <c r="M29" s="136">
        <v>180.9676</v>
      </c>
      <c r="N29" s="136">
        <f t="shared" si="44"/>
        <v>0.10000000000331966</v>
      </c>
      <c r="O29" s="139">
        <f t="shared" si="45"/>
        <v>0</v>
      </c>
      <c r="P29" s="136">
        <v>180.96799999999999</v>
      </c>
      <c r="Q29" s="136">
        <f t="shared" si="46"/>
        <v>0.39999999998485691</v>
      </c>
      <c r="R29" s="139">
        <f t="shared" si="47"/>
        <v>0.39999999998485691</v>
      </c>
      <c r="S29" s="136">
        <v>180.96770000000001</v>
      </c>
      <c r="T29" s="136">
        <f t="shared" si="48"/>
        <v>-0.29999999998153726</v>
      </c>
      <c r="U29" s="139">
        <f t="shared" si="49"/>
        <v>0.10000000000331966</v>
      </c>
      <c r="V29" s="146">
        <v>180.96430000000001</v>
      </c>
      <c r="W29" s="147">
        <f t="shared" si="50"/>
        <v>-3.3999999999991815</v>
      </c>
      <c r="X29" s="144">
        <f t="shared" si="51"/>
        <v>-3.2999999999958618</v>
      </c>
      <c r="Y29" s="146">
        <v>180.9648</v>
      </c>
      <c r="Z29" s="147">
        <f t="shared" si="52"/>
        <v>0.49999999998817657</v>
      </c>
      <c r="AA29" s="144">
        <f t="shared" si="53"/>
        <v>-2.8000000000076852</v>
      </c>
      <c r="AB29" s="146">
        <v>180.96539999999999</v>
      </c>
      <c r="AC29" s="147">
        <f t="shared" si="54"/>
        <v>0.59999999999149622</v>
      </c>
      <c r="AD29" s="144">
        <f t="shared" si="55"/>
        <v>-2.200000000016189</v>
      </c>
      <c r="AE29" s="146">
        <v>180.9657</v>
      </c>
      <c r="AF29" s="147">
        <f t="shared" si="56"/>
        <v>0.30000000000995897</v>
      </c>
      <c r="AG29" s="144">
        <f t="shared" si="57"/>
        <v>-1.90000000000623</v>
      </c>
      <c r="AH29" s="146">
        <v>180.96600000000001</v>
      </c>
      <c r="AI29" s="147">
        <f t="shared" si="58"/>
        <v>0.30000000000995897</v>
      </c>
      <c r="AJ29" s="144">
        <f t="shared" si="59"/>
        <v>-1.5999999999962711</v>
      </c>
      <c r="AK29" s="146">
        <v>180.96539999999999</v>
      </c>
      <c r="AL29" s="147">
        <f t="shared" si="60"/>
        <v>-0.60000000001991793</v>
      </c>
      <c r="AM29" s="144">
        <f t="shared" si="61"/>
        <v>-2.200000000016189</v>
      </c>
      <c r="AN29" s="146">
        <v>180.9632</v>
      </c>
      <c r="AO29" s="147">
        <f t="shared" si="62"/>
        <v>-2.1999999999877673</v>
      </c>
      <c r="AP29" s="144">
        <f t="shared" si="63"/>
        <v>-4.4000000000039563</v>
      </c>
      <c r="AQ29" s="136">
        <v>180.96379999999999</v>
      </c>
      <c r="AR29" s="140">
        <f t="shared" si="64"/>
        <v>0.59999999999149622</v>
      </c>
      <c r="AS29" s="140">
        <f t="shared" si="65"/>
        <v>-3.8000000000124601</v>
      </c>
      <c r="AT29" s="137">
        <v>180.964</v>
      </c>
      <c r="AU29" s="140">
        <f t="shared" si="66"/>
        <v>0.20000000000663931</v>
      </c>
      <c r="AV29" s="140">
        <f t="shared" si="67"/>
        <v>-3.6000000000058208</v>
      </c>
      <c r="AW29" s="136">
        <v>180.96459999999999</v>
      </c>
      <c r="AX29" s="140">
        <f t="shared" si="68"/>
        <v>0.59999999999149622</v>
      </c>
      <c r="AY29" s="140">
        <f t="shared" si="69"/>
        <v>-3.0000000000143245</v>
      </c>
      <c r="AZ29" s="137">
        <v>180.965</v>
      </c>
      <c r="BA29" s="140">
        <f t="shared" si="90"/>
        <v>0.40000000001327862</v>
      </c>
      <c r="BB29" s="140">
        <f t="shared" si="91"/>
        <v>-2.6000000000010459</v>
      </c>
      <c r="BC29" s="137">
        <v>180.96520000000001</v>
      </c>
      <c r="BD29" s="140">
        <f t="shared" si="72"/>
        <v>0.20000000000663931</v>
      </c>
      <c r="BE29" s="140">
        <f t="shared" si="73"/>
        <v>-2.3999999999944066</v>
      </c>
      <c r="BF29" s="137">
        <v>180.96530000000001</v>
      </c>
      <c r="BG29" s="140">
        <f t="shared" si="74"/>
        <v>0.10000000000331966</v>
      </c>
      <c r="BH29" s="140">
        <f t="shared" si="75"/>
        <v>-2.299999999991087</v>
      </c>
      <c r="BI29" s="137">
        <v>180.965</v>
      </c>
      <c r="BJ29" s="140">
        <f t="shared" si="92"/>
        <v>-0.30000000000995897</v>
      </c>
      <c r="BK29" s="140">
        <f t="shared" si="93"/>
        <v>-2.6000000000010459</v>
      </c>
      <c r="BL29" s="137">
        <v>180.96469999999999</v>
      </c>
      <c r="BM29" s="140">
        <f t="shared" si="78"/>
        <v>-0.30000000000995897</v>
      </c>
      <c r="BN29" s="140">
        <f t="shared" si="79"/>
        <v>-2.9000000000110049</v>
      </c>
      <c r="BO29" s="137">
        <v>180.96519999999998</v>
      </c>
      <c r="BP29" s="140">
        <f t="shared" si="80"/>
        <v>0.49999999998817657</v>
      </c>
      <c r="BQ29" s="140">
        <f t="shared" si="81"/>
        <v>-2.4000000000228283</v>
      </c>
      <c r="BR29" s="148">
        <v>180.96509999999998</v>
      </c>
      <c r="BS29" s="140">
        <f t="shared" si="82"/>
        <v>-0.10000000000331966</v>
      </c>
      <c r="BT29" s="140">
        <f t="shared" si="83"/>
        <v>-2.500000000026148</v>
      </c>
      <c r="BU29" s="142">
        <v>180.96499999999997</v>
      </c>
      <c r="BV29" s="140">
        <f t="shared" si="94"/>
        <v>-0.10000000000331966</v>
      </c>
      <c r="BW29" s="140">
        <f t="shared" si="95"/>
        <v>-2.6000000000294676</v>
      </c>
      <c r="BX29" s="142">
        <v>180.96469999999997</v>
      </c>
      <c r="BY29" s="140">
        <f t="shared" si="86"/>
        <v>-0.30000000000995897</v>
      </c>
      <c r="BZ29" s="140">
        <f t="shared" si="87"/>
        <v>-2.9000000000394266</v>
      </c>
      <c r="CA29" s="143">
        <v>16</v>
      </c>
      <c r="CB29" s="145">
        <f>(BZ27-BZ28)/CB28</f>
        <v>2.888888888890051E-4</v>
      </c>
    </row>
    <row r="30" spans="1:81" ht="15.6" customHeight="1" x14ac:dyDescent="0.25">
      <c r="C30" s="136">
        <v>17</v>
      </c>
      <c r="D30" s="136">
        <v>180.9666</v>
      </c>
      <c r="E30" s="136">
        <v>0</v>
      </c>
      <c r="F30" s="138">
        <v>0</v>
      </c>
      <c r="G30" s="136">
        <v>180.96639999999999</v>
      </c>
      <c r="H30" s="136">
        <f t="shared" si="88"/>
        <v>-0.20000000000663931</v>
      </c>
      <c r="I30" s="139">
        <f t="shared" si="89"/>
        <v>-0.20000000000663931</v>
      </c>
      <c r="J30" s="136">
        <v>180.9667</v>
      </c>
      <c r="K30" s="136">
        <f t="shared" si="42"/>
        <v>0.30000000000995897</v>
      </c>
      <c r="L30" s="139">
        <f t="shared" si="43"/>
        <v>0.10000000000331966</v>
      </c>
      <c r="M30" s="136">
        <v>180.9665</v>
      </c>
      <c r="N30" s="136">
        <f t="shared" si="44"/>
        <v>-0.20000000000663931</v>
      </c>
      <c r="O30" s="139">
        <f t="shared" si="45"/>
        <v>-0.10000000000331966</v>
      </c>
      <c r="P30" s="136">
        <v>180.9666</v>
      </c>
      <c r="Q30" s="136">
        <f t="shared" si="46"/>
        <v>0.10000000000331966</v>
      </c>
      <c r="R30" s="139">
        <f t="shared" si="47"/>
        <v>0</v>
      </c>
      <c r="S30" s="136">
        <v>180.96680000000001</v>
      </c>
      <c r="T30" s="136">
        <f t="shared" si="48"/>
        <v>0.20000000000663931</v>
      </c>
      <c r="U30" s="139">
        <f t="shared" si="49"/>
        <v>0.20000000000663931</v>
      </c>
      <c r="V30" s="146">
        <v>180.96299999999999</v>
      </c>
      <c r="W30" s="147">
        <f t="shared" si="50"/>
        <v>-3.8000000000124601</v>
      </c>
      <c r="X30" s="144">
        <f t="shared" si="51"/>
        <v>-3.6000000000058208</v>
      </c>
      <c r="Y30" s="146">
        <v>180.96360000000001</v>
      </c>
      <c r="Z30" s="147">
        <f t="shared" si="52"/>
        <v>0.60000000001991793</v>
      </c>
      <c r="AA30" s="144">
        <f t="shared" si="53"/>
        <v>-2.9999999999859028</v>
      </c>
      <c r="AB30" s="146">
        <v>180.964</v>
      </c>
      <c r="AC30" s="147">
        <f t="shared" si="54"/>
        <v>0.39999999998485691</v>
      </c>
      <c r="AD30" s="144">
        <f t="shared" si="55"/>
        <v>-2.6000000000010459</v>
      </c>
      <c r="AE30" s="146">
        <v>180.96459999999999</v>
      </c>
      <c r="AF30" s="147">
        <f t="shared" si="56"/>
        <v>0.59999999999149622</v>
      </c>
      <c r="AG30" s="144">
        <f t="shared" si="57"/>
        <v>-2.0000000000095497</v>
      </c>
      <c r="AH30" s="146">
        <v>180.96520000000001</v>
      </c>
      <c r="AI30" s="147">
        <f t="shared" si="58"/>
        <v>0.60000000001991793</v>
      </c>
      <c r="AJ30" s="144">
        <f t="shared" si="59"/>
        <v>-1.3999999999896318</v>
      </c>
      <c r="AK30" s="146">
        <v>180.96440000000001</v>
      </c>
      <c r="AL30" s="147">
        <f t="shared" si="60"/>
        <v>-0.79999999999813554</v>
      </c>
      <c r="AM30" s="144">
        <f t="shared" si="61"/>
        <v>-2.1999999999877673</v>
      </c>
      <c r="AN30" s="146">
        <v>180.96300000000002</v>
      </c>
      <c r="AO30" s="147">
        <f t="shared" si="62"/>
        <v>-1.3999999999896318</v>
      </c>
      <c r="AP30" s="144">
        <f t="shared" si="63"/>
        <v>-3.5999999999773991</v>
      </c>
      <c r="AQ30" s="136">
        <v>180.96350000000001</v>
      </c>
      <c r="AR30" s="140">
        <f t="shared" si="64"/>
        <v>0.49999999998817657</v>
      </c>
      <c r="AS30" s="140">
        <f t="shared" si="65"/>
        <v>-3.0999999999892225</v>
      </c>
      <c r="AT30" s="137">
        <v>180.964</v>
      </c>
      <c r="AU30" s="140">
        <f t="shared" si="66"/>
        <v>0.49999999998817657</v>
      </c>
      <c r="AV30" s="140">
        <f t="shared" si="67"/>
        <v>-2.6000000000010459</v>
      </c>
      <c r="AW30" s="136">
        <v>180.96379999999999</v>
      </c>
      <c r="AX30" s="140">
        <f t="shared" si="68"/>
        <v>-0.20000000000663931</v>
      </c>
      <c r="AY30" s="140">
        <f t="shared" si="69"/>
        <v>-2.8000000000076852</v>
      </c>
      <c r="AZ30" s="137">
        <v>180.964</v>
      </c>
      <c r="BA30" s="140">
        <f t="shared" si="90"/>
        <v>0.20000000000663931</v>
      </c>
      <c r="BB30" s="140">
        <f t="shared" si="91"/>
        <v>-2.6000000000010459</v>
      </c>
      <c r="BC30" s="137">
        <v>180.96369999999999</v>
      </c>
      <c r="BD30" s="140">
        <f t="shared" si="72"/>
        <v>-0.30000000000995897</v>
      </c>
      <c r="BE30" s="140">
        <f t="shared" si="73"/>
        <v>-2.9000000000110049</v>
      </c>
      <c r="BF30" s="137">
        <v>180.9639</v>
      </c>
      <c r="BG30" s="140">
        <f t="shared" si="74"/>
        <v>0.20000000000663931</v>
      </c>
      <c r="BH30" s="140">
        <f t="shared" si="75"/>
        <v>-2.7000000000043656</v>
      </c>
      <c r="BI30" s="137">
        <v>180.9633</v>
      </c>
      <c r="BJ30" s="140">
        <f t="shared" si="92"/>
        <v>-0.59999999999149622</v>
      </c>
      <c r="BK30" s="140">
        <f t="shared" si="93"/>
        <v>-3.2999999999958618</v>
      </c>
      <c r="BL30" s="137">
        <v>180.96340000000001</v>
      </c>
      <c r="BM30" s="140">
        <f t="shared" si="78"/>
        <v>0.10000000000331966</v>
      </c>
      <c r="BN30" s="140">
        <f t="shared" si="79"/>
        <v>-3.1999999999925421</v>
      </c>
      <c r="BO30" s="137">
        <v>180.96299999999999</v>
      </c>
      <c r="BP30" s="140">
        <f t="shared" si="80"/>
        <v>-0.40000000001327862</v>
      </c>
      <c r="BQ30" s="140">
        <f t="shared" si="81"/>
        <v>-3.6000000000058208</v>
      </c>
      <c r="BR30" s="148">
        <v>180.96299999999999</v>
      </c>
      <c r="BS30" s="140">
        <f t="shared" si="82"/>
        <v>0</v>
      </c>
      <c r="BT30" s="141">
        <f t="shared" si="83"/>
        <v>-3.6000000000058208</v>
      </c>
      <c r="BU30" s="142">
        <v>180.96299999999999</v>
      </c>
      <c r="BV30" s="140">
        <f t="shared" si="94"/>
        <v>0</v>
      </c>
      <c r="BW30" s="141">
        <f t="shared" si="95"/>
        <v>-3.6000000000058208</v>
      </c>
      <c r="BX30" s="142">
        <v>180.9632</v>
      </c>
      <c r="BY30" s="140">
        <f t="shared" si="86"/>
        <v>0.20000000000663931</v>
      </c>
      <c r="BZ30" s="149">
        <f t="shared" si="87"/>
        <v>-3.3999999999991815</v>
      </c>
      <c r="CA30" s="150">
        <v>17</v>
      </c>
    </row>
    <row r="31" spans="1:81" ht="15.6" customHeight="1" x14ac:dyDescent="0.25">
      <c r="C31" s="136">
        <v>18</v>
      </c>
      <c r="D31" s="136">
        <v>181.41980000000001</v>
      </c>
      <c r="E31" s="136">
        <v>0</v>
      </c>
      <c r="F31" s="138">
        <v>0</v>
      </c>
      <c r="G31" s="136">
        <v>181.4195</v>
      </c>
      <c r="H31" s="136">
        <f t="shared" si="88"/>
        <v>-0.30000000000995897</v>
      </c>
      <c r="I31" s="139">
        <f t="shared" si="89"/>
        <v>-0.30000000000995897</v>
      </c>
      <c r="J31" s="136">
        <v>181.4194</v>
      </c>
      <c r="K31" s="136">
        <f t="shared" si="42"/>
        <v>-0.10000000000331966</v>
      </c>
      <c r="L31" s="139">
        <f t="shared" si="43"/>
        <v>-0.40000000001327862</v>
      </c>
      <c r="M31" s="136">
        <v>181.41929999999999</v>
      </c>
      <c r="N31" s="136">
        <f t="shared" si="44"/>
        <v>-0.10000000000331966</v>
      </c>
      <c r="O31" s="139">
        <f t="shared" si="45"/>
        <v>-0.50000000001659828</v>
      </c>
      <c r="P31" s="136">
        <v>181.41919999999999</v>
      </c>
      <c r="Q31" s="136">
        <f t="shared" si="46"/>
        <v>-0.10000000000331966</v>
      </c>
      <c r="R31" s="139">
        <f t="shared" si="47"/>
        <v>-0.60000000001991793</v>
      </c>
      <c r="S31" s="136">
        <v>181.41929999999999</v>
      </c>
      <c r="T31" s="136">
        <f t="shared" si="48"/>
        <v>0.10000000000331966</v>
      </c>
      <c r="U31" s="139">
        <f t="shared" si="49"/>
        <v>-0.50000000001659828</v>
      </c>
      <c r="V31" s="146">
        <v>181.41490000000002</v>
      </c>
      <c r="W31" s="147">
        <f t="shared" si="50"/>
        <v>-4.3999999999755346</v>
      </c>
      <c r="X31" s="144">
        <f t="shared" si="51"/>
        <v>-4.8999999999921329</v>
      </c>
      <c r="Y31" s="146">
        <v>181.41380000000001</v>
      </c>
      <c r="Z31" s="147">
        <f t="shared" si="52"/>
        <v>-1.1000000000080945</v>
      </c>
      <c r="AA31" s="144">
        <f t="shared" si="53"/>
        <v>-6.0000000000002274</v>
      </c>
      <c r="AB31" s="146">
        <v>181.4143</v>
      </c>
      <c r="AC31" s="147">
        <f t="shared" si="54"/>
        <v>0.49999999998817657</v>
      </c>
      <c r="AD31" s="144">
        <f t="shared" si="55"/>
        <v>-5.5000000000120508</v>
      </c>
      <c r="AE31" s="146">
        <v>181.41480000000001</v>
      </c>
      <c r="AF31" s="147">
        <f t="shared" si="56"/>
        <v>0.50000000001659828</v>
      </c>
      <c r="AG31" s="144">
        <f t="shared" si="57"/>
        <v>-4.9999999999954525</v>
      </c>
      <c r="AH31" s="146">
        <v>181.4152</v>
      </c>
      <c r="AI31" s="147">
        <f t="shared" si="58"/>
        <v>0.39999999998485691</v>
      </c>
      <c r="AJ31" s="144">
        <f t="shared" si="59"/>
        <v>-4.6000000000105956</v>
      </c>
      <c r="AK31" s="146">
        <v>181.4145</v>
      </c>
      <c r="AL31" s="147">
        <f t="shared" si="60"/>
        <v>-0.69999999999481588</v>
      </c>
      <c r="AM31" s="144">
        <f t="shared" si="61"/>
        <v>-5.3000000000054115</v>
      </c>
      <c r="AN31" s="146">
        <v>181.4151</v>
      </c>
      <c r="AO31" s="147">
        <f t="shared" si="62"/>
        <v>0.59999999999149622</v>
      </c>
      <c r="AP31" s="144">
        <f t="shared" si="63"/>
        <v>-4.7000000000139153</v>
      </c>
      <c r="AQ31" s="143">
        <v>181.41550000000001</v>
      </c>
      <c r="AR31" s="140">
        <f t="shared" si="64"/>
        <v>0.40000000001327862</v>
      </c>
      <c r="AS31" s="140">
        <f t="shared" si="65"/>
        <v>-4.3000000000006366</v>
      </c>
      <c r="AT31" s="148">
        <v>181.41579999999999</v>
      </c>
      <c r="AU31" s="140">
        <f t="shared" si="66"/>
        <v>0.29999999998153726</v>
      </c>
      <c r="AV31" s="141">
        <f t="shared" si="67"/>
        <v>-4.0000000000190994</v>
      </c>
      <c r="AW31" s="136">
        <v>181.41589999999999</v>
      </c>
      <c r="AX31" s="140">
        <f t="shared" si="68"/>
        <v>0.10000000000331966</v>
      </c>
      <c r="AY31" s="141">
        <f t="shared" si="69"/>
        <v>-3.9000000000157797</v>
      </c>
      <c r="AZ31" s="136">
        <v>181.4161</v>
      </c>
      <c r="BA31" s="140">
        <f t="shared" si="90"/>
        <v>0.20000000000663931</v>
      </c>
      <c r="BB31" s="141">
        <f t="shared" si="91"/>
        <v>-3.7000000000091404</v>
      </c>
      <c r="BC31" s="136">
        <v>181.41589999999999</v>
      </c>
      <c r="BD31" s="140">
        <f t="shared" si="72"/>
        <v>-0.20000000000663931</v>
      </c>
      <c r="BE31" s="141">
        <f t="shared" si="73"/>
        <v>-3.9000000000157797</v>
      </c>
      <c r="BF31" s="137">
        <v>181.41669999999999</v>
      </c>
      <c r="BG31" s="140">
        <f t="shared" si="74"/>
        <v>0.79999999999813554</v>
      </c>
      <c r="BH31" s="140">
        <f t="shared" si="75"/>
        <v>-3.1000000000176442</v>
      </c>
      <c r="BI31" s="137">
        <v>181.417</v>
      </c>
      <c r="BJ31" s="140">
        <f t="shared" si="92"/>
        <v>0.30000000000995897</v>
      </c>
      <c r="BK31" s="140">
        <f t="shared" si="93"/>
        <v>-2.8000000000076852</v>
      </c>
      <c r="BL31" s="137">
        <v>181.41730000000001</v>
      </c>
      <c r="BM31" s="140">
        <f t="shared" si="78"/>
        <v>0.30000000000995897</v>
      </c>
      <c r="BN31" s="140">
        <f t="shared" si="79"/>
        <v>-2.4999999999977263</v>
      </c>
      <c r="BO31" s="137">
        <v>181.4171</v>
      </c>
      <c r="BP31" s="140">
        <f t="shared" si="80"/>
        <v>-0.20000000000663931</v>
      </c>
      <c r="BQ31" s="140">
        <f t="shared" si="81"/>
        <v>-2.7000000000043656</v>
      </c>
      <c r="BR31" s="148">
        <v>181.41720000000001</v>
      </c>
      <c r="BS31" s="140">
        <f t="shared" si="82"/>
        <v>0.10000000000331966</v>
      </c>
      <c r="BT31" s="140">
        <f t="shared" si="83"/>
        <v>-2.6000000000010459</v>
      </c>
      <c r="BU31" s="142">
        <v>181.4169</v>
      </c>
      <c r="BV31" s="140">
        <f t="shared" si="94"/>
        <v>-0.30000000000995897</v>
      </c>
      <c r="BW31" s="140">
        <f t="shared" si="95"/>
        <v>-2.9000000000110049</v>
      </c>
      <c r="BX31" s="142">
        <v>181.41659999999999</v>
      </c>
      <c r="BY31" s="140">
        <f t="shared" si="86"/>
        <v>-0.30000000000995897</v>
      </c>
      <c r="BZ31" s="140">
        <f t="shared" si="87"/>
        <v>-3.2000000000209639</v>
      </c>
      <c r="CA31" s="143">
        <v>18</v>
      </c>
    </row>
    <row r="32" spans="1:81" ht="15.6" customHeight="1" x14ac:dyDescent="0.25">
      <c r="C32" s="136">
        <v>19</v>
      </c>
      <c r="D32" s="136">
        <v>181.41470000000001</v>
      </c>
      <c r="E32" s="136">
        <v>0</v>
      </c>
      <c r="F32" s="138">
        <v>0</v>
      </c>
      <c r="G32" s="136">
        <v>181.41419999999999</v>
      </c>
      <c r="H32" s="136">
        <f t="shared" si="88"/>
        <v>-0.50000000001659828</v>
      </c>
      <c r="I32" s="139">
        <f t="shared" si="89"/>
        <v>-0.50000000001659828</v>
      </c>
      <c r="J32" s="136">
        <v>181.4144</v>
      </c>
      <c r="K32" s="136">
        <f t="shared" si="42"/>
        <v>0.20000000000663931</v>
      </c>
      <c r="L32" s="139">
        <f t="shared" si="43"/>
        <v>-0.30000000000995897</v>
      </c>
      <c r="M32" s="136">
        <v>181.41409999999999</v>
      </c>
      <c r="N32" s="136">
        <f t="shared" si="44"/>
        <v>-0.30000000000995897</v>
      </c>
      <c r="O32" s="139">
        <f t="shared" si="45"/>
        <v>-0.60000000001991793</v>
      </c>
      <c r="P32" s="136">
        <v>181.4143</v>
      </c>
      <c r="Q32" s="136">
        <f t="shared" si="46"/>
        <v>0.20000000000663931</v>
      </c>
      <c r="R32" s="139">
        <f t="shared" si="47"/>
        <v>-0.40000000001327862</v>
      </c>
      <c r="S32" s="136">
        <v>181.41419999999999</v>
      </c>
      <c r="T32" s="136">
        <f t="shared" si="48"/>
        <v>-0.10000000000331966</v>
      </c>
      <c r="U32" s="139">
        <f t="shared" si="49"/>
        <v>-0.50000000001659828</v>
      </c>
      <c r="V32" s="146">
        <v>181.41</v>
      </c>
      <c r="W32" s="147">
        <f t="shared" si="50"/>
        <v>-4.199999999997317</v>
      </c>
      <c r="X32" s="144">
        <f t="shared" si="51"/>
        <v>-4.7000000000139153</v>
      </c>
      <c r="Y32" s="146">
        <v>181.41050000000001</v>
      </c>
      <c r="Z32" s="147">
        <f t="shared" si="52"/>
        <v>0.50000000001659828</v>
      </c>
      <c r="AA32" s="144">
        <f t="shared" si="53"/>
        <v>-4.199999999997317</v>
      </c>
      <c r="AB32" s="146">
        <v>181.4109</v>
      </c>
      <c r="AC32" s="147">
        <f t="shared" si="54"/>
        <v>0.39999999998485691</v>
      </c>
      <c r="AD32" s="144">
        <f t="shared" si="55"/>
        <v>-3.8000000000124601</v>
      </c>
      <c r="AE32" s="146">
        <v>181.41130000000001</v>
      </c>
      <c r="AF32" s="147">
        <f t="shared" si="56"/>
        <v>0.40000000001327862</v>
      </c>
      <c r="AG32" s="144">
        <f t="shared" si="57"/>
        <v>-3.3999999999991815</v>
      </c>
      <c r="AH32" s="146">
        <v>181.41159999999999</v>
      </c>
      <c r="AI32" s="147">
        <f t="shared" si="58"/>
        <v>0.29999999998153726</v>
      </c>
      <c r="AJ32" s="144">
        <f t="shared" si="59"/>
        <v>-3.1000000000176442</v>
      </c>
      <c r="AK32" s="146">
        <v>181.41200000000001</v>
      </c>
      <c r="AL32" s="147">
        <f t="shared" si="60"/>
        <v>0.40000000001327862</v>
      </c>
      <c r="AM32" s="144">
        <f t="shared" si="61"/>
        <v>-2.7000000000043656</v>
      </c>
      <c r="AN32" s="146">
        <v>181.41249999999999</v>
      </c>
      <c r="AO32" s="147">
        <f t="shared" si="62"/>
        <v>0.49999999998817657</v>
      </c>
      <c r="AP32" s="144">
        <f t="shared" si="63"/>
        <v>-2.200000000016189</v>
      </c>
      <c r="AQ32" s="143">
        <v>181.41309999999999</v>
      </c>
      <c r="AR32" s="140">
        <f t="shared" si="64"/>
        <v>0.59999999999149622</v>
      </c>
      <c r="AS32" s="140">
        <f t="shared" si="65"/>
        <v>-1.6000000000246928</v>
      </c>
      <c r="AT32" s="148">
        <v>181.41329999999999</v>
      </c>
      <c r="AU32" s="140">
        <f t="shared" si="66"/>
        <v>0.20000000000663931</v>
      </c>
      <c r="AV32" s="140">
        <f t="shared" si="67"/>
        <v>-1.4000000000180535</v>
      </c>
      <c r="AW32" s="136">
        <v>181.41379999999998</v>
      </c>
      <c r="AX32" s="140">
        <f t="shared" si="68"/>
        <v>0.49999999998817657</v>
      </c>
      <c r="AY32" s="140">
        <f t="shared" si="69"/>
        <v>-0.9000000000298769</v>
      </c>
      <c r="AZ32" s="136">
        <v>181.41409999999999</v>
      </c>
      <c r="BA32" s="140">
        <f t="shared" si="90"/>
        <v>0.30000000000995897</v>
      </c>
      <c r="BB32" s="140">
        <f t="shared" si="91"/>
        <v>-0.60000000001991793</v>
      </c>
      <c r="BC32" s="136">
        <v>181.41419999999999</v>
      </c>
      <c r="BD32" s="140">
        <f t="shared" si="72"/>
        <v>0.10000000000331966</v>
      </c>
      <c r="BE32" s="140">
        <f t="shared" si="73"/>
        <v>-0.50000000001659828</v>
      </c>
      <c r="BF32" s="137">
        <v>181.41379999999998</v>
      </c>
      <c r="BG32" s="140">
        <f t="shared" si="74"/>
        <v>-0.40000000001327862</v>
      </c>
      <c r="BH32" s="140">
        <f t="shared" si="75"/>
        <v>-0.9000000000298769</v>
      </c>
      <c r="BI32" s="137">
        <v>181.41319999999999</v>
      </c>
      <c r="BJ32" s="140">
        <f t="shared" si="92"/>
        <v>-0.59999999999149622</v>
      </c>
      <c r="BK32" s="140">
        <f t="shared" si="93"/>
        <v>-1.5000000000213731</v>
      </c>
      <c r="BL32" s="137">
        <v>181.41309999999999</v>
      </c>
      <c r="BM32" s="140">
        <f t="shared" si="78"/>
        <v>-0.10000000000331966</v>
      </c>
      <c r="BN32" s="140">
        <f t="shared" si="79"/>
        <v>-1.6000000000246928</v>
      </c>
      <c r="BO32" s="137">
        <v>181.41269999999997</v>
      </c>
      <c r="BP32" s="140">
        <f t="shared" si="80"/>
        <v>-0.40000000001327862</v>
      </c>
      <c r="BQ32" s="140">
        <f t="shared" si="81"/>
        <v>-2.0000000000379714</v>
      </c>
      <c r="BR32" s="148">
        <v>181.41259999999997</v>
      </c>
      <c r="BS32" s="140">
        <f t="shared" si="82"/>
        <v>-0.10000000000331966</v>
      </c>
      <c r="BT32" s="140">
        <f t="shared" si="83"/>
        <v>-2.1000000000412911</v>
      </c>
      <c r="BU32" s="142">
        <v>181.41210000000001</v>
      </c>
      <c r="BV32" s="140">
        <f t="shared" si="94"/>
        <v>-0.49999999995975486</v>
      </c>
      <c r="BW32" s="140">
        <f t="shared" si="95"/>
        <v>-2.6000000000010459</v>
      </c>
      <c r="BX32" s="142">
        <v>181.41240000000002</v>
      </c>
      <c r="BY32" s="140">
        <f t="shared" si="86"/>
        <v>0.30000000000995897</v>
      </c>
      <c r="BZ32" s="140">
        <f t="shared" si="87"/>
        <v>-2.299999999991087</v>
      </c>
      <c r="CA32" s="143">
        <v>19</v>
      </c>
    </row>
    <row r="33" spans="1:81" ht="15.6" customHeight="1" x14ac:dyDescent="0.25">
      <c r="C33" s="136">
        <v>20</v>
      </c>
      <c r="D33" s="136">
        <v>181.42180000000002</v>
      </c>
      <c r="E33" s="136">
        <v>0</v>
      </c>
      <c r="F33" s="138">
        <v>0</v>
      </c>
      <c r="G33" s="136">
        <v>181.42140000000001</v>
      </c>
      <c r="H33" s="136">
        <f t="shared" si="88"/>
        <v>-0.40000000001327862</v>
      </c>
      <c r="I33" s="139">
        <f t="shared" si="89"/>
        <v>-0.40000000001327862</v>
      </c>
      <c r="J33" s="136">
        <v>181.4213</v>
      </c>
      <c r="K33" s="136">
        <f t="shared" si="42"/>
        <v>-0.10000000000331966</v>
      </c>
      <c r="L33" s="139">
        <f t="shared" si="43"/>
        <v>-0.50000000001659828</v>
      </c>
      <c r="M33" s="136">
        <v>181.4212</v>
      </c>
      <c r="N33" s="136">
        <f t="shared" si="44"/>
        <v>-0.10000000000331966</v>
      </c>
      <c r="O33" s="139">
        <f t="shared" si="45"/>
        <v>-0.60000000001991793</v>
      </c>
      <c r="P33" s="136">
        <v>181.4213</v>
      </c>
      <c r="Q33" s="136">
        <f t="shared" si="46"/>
        <v>0.10000000000331966</v>
      </c>
      <c r="R33" s="139">
        <f t="shared" si="47"/>
        <v>-0.50000000001659828</v>
      </c>
      <c r="S33" s="136">
        <v>181.42150000000001</v>
      </c>
      <c r="T33" s="136">
        <f t="shared" si="48"/>
        <v>0.20000000000663931</v>
      </c>
      <c r="U33" s="139">
        <f t="shared" si="49"/>
        <v>-0.30000000000995897</v>
      </c>
      <c r="V33" s="146">
        <v>181.41679999999999</v>
      </c>
      <c r="W33" s="147">
        <f t="shared" si="50"/>
        <v>-4.7000000000139153</v>
      </c>
      <c r="X33" s="144">
        <f t="shared" si="51"/>
        <v>-5.0000000000238742</v>
      </c>
      <c r="Y33" s="146">
        <v>181.41720000000001</v>
      </c>
      <c r="Z33" s="147">
        <f t="shared" si="52"/>
        <v>0.40000000001327862</v>
      </c>
      <c r="AA33" s="144">
        <f t="shared" si="53"/>
        <v>-4.6000000000105956</v>
      </c>
      <c r="AB33" s="146">
        <v>181.4178</v>
      </c>
      <c r="AC33" s="147">
        <f t="shared" si="54"/>
        <v>0.59999999999149622</v>
      </c>
      <c r="AD33" s="144">
        <f t="shared" si="55"/>
        <v>-4.0000000000190994</v>
      </c>
      <c r="AE33" s="146">
        <v>181.4177</v>
      </c>
      <c r="AF33" s="147">
        <f t="shared" si="56"/>
        <v>-0.10000000000331966</v>
      </c>
      <c r="AG33" s="144">
        <f t="shared" si="57"/>
        <v>-4.100000000022419</v>
      </c>
      <c r="AH33" s="146">
        <v>181.41820000000001</v>
      </c>
      <c r="AI33" s="147">
        <f t="shared" si="58"/>
        <v>0.50000000001659828</v>
      </c>
      <c r="AJ33" s="144">
        <f t="shared" si="59"/>
        <v>-3.6000000000058208</v>
      </c>
      <c r="AK33" s="146">
        <v>181.4178</v>
      </c>
      <c r="AL33" s="147">
        <f t="shared" si="60"/>
        <v>-0.40000000001327862</v>
      </c>
      <c r="AM33" s="144">
        <f t="shared" si="61"/>
        <v>-4.0000000000190994</v>
      </c>
      <c r="AN33" s="146">
        <v>181.41820000000001</v>
      </c>
      <c r="AO33" s="147">
        <f t="shared" si="62"/>
        <v>0.40000000001327862</v>
      </c>
      <c r="AP33" s="144">
        <f t="shared" si="63"/>
        <v>-3.6000000000058208</v>
      </c>
      <c r="AQ33" s="136">
        <v>181.4186</v>
      </c>
      <c r="AR33" s="140">
        <f t="shared" si="64"/>
        <v>0.39999999998485691</v>
      </c>
      <c r="AS33" s="140">
        <f t="shared" si="65"/>
        <v>-3.2000000000209639</v>
      </c>
      <c r="AT33" s="137">
        <v>181.41900000000001</v>
      </c>
      <c r="AU33" s="140">
        <f t="shared" si="66"/>
        <v>0.40000000001327862</v>
      </c>
      <c r="AV33" s="140">
        <f t="shared" si="67"/>
        <v>-2.8000000000076852</v>
      </c>
      <c r="AW33" s="136">
        <v>181.4195</v>
      </c>
      <c r="AX33" s="140">
        <f t="shared" si="68"/>
        <v>0.49999999998817657</v>
      </c>
      <c r="AY33" s="140">
        <f t="shared" si="69"/>
        <v>-2.3000000000195087</v>
      </c>
      <c r="AZ33" s="136">
        <v>181.41990000000001</v>
      </c>
      <c r="BA33" s="140">
        <f t="shared" si="90"/>
        <v>0.40000000001327862</v>
      </c>
      <c r="BB33" s="140">
        <f t="shared" si="91"/>
        <v>-1.90000000000623</v>
      </c>
      <c r="BC33" s="136">
        <v>181.4195</v>
      </c>
      <c r="BD33" s="140">
        <f t="shared" si="72"/>
        <v>-0.40000000001327862</v>
      </c>
      <c r="BE33" s="140">
        <f t="shared" si="73"/>
        <v>-2.3000000000195087</v>
      </c>
      <c r="BF33" s="137">
        <v>181.41919999999999</v>
      </c>
      <c r="BG33" s="140">
        <f t="shared" si="74"/>
        <v>-0.30000000000995897</v>
      </c>
      <c r="BH33" s="140">
        <f t="shared" si="75"/>
        <v>-2.6000000000294676</v>
      </c>
      <c r="BI33" s="137">
        <v>181.4195</v>
      </c>
      <c r="BJ33" s="140">
        <f t="shared" si="92"/>
        <v>0.30000000000995897</v>
      </c>
      <c r="BK33" s="140">
        <f t="shared" si="93"/>
        <v>-2.3000000000195087</v>
      </c>
      <c r="BL33" s="137">
        <v>181.41980000000001</v>
      </c>
      <c r="BM33" s="140">
        <f t="shared" si="78"/>
        <v>0.30000000000995897</v>
      </c>
      <c r="BN33" s="140">
        <f t="shared" si="79"/>
        <v>-2.0000000000095497</v>
      </c>
      <c r="BO33" s="137">
        <v>181.41970000000001</v>
      </c>
      <c r="BP33" s="140">
        <f t="shared" si="80"/>
        <v>-0.10000000000331966</v>
      </c>
      <c r="BQ33" s="140">
        <f t="shared" si="81"/>
        <v>-2.1000000000128694</v>
      </c>
      <c r="BR33" s="148">
        <v>181.41970000000001</v>
      </c>
      <c r="BS33" s="140">
        <f t="shared" si="82"/>
        <v>0</v>
      </c>
      <c r="BT33" s="140">
        <f t="shared" si="83"/>
        <v>-2.1000000000128694</v>
      </c>
      <c r="BU33" s="142">
        <v>181.41990000000001</v>
      </c>
      <c r="BV33" s="140">
        <f t="shared" si="94"/>
        <v>0.20000000000663931</v>
      </c>
      <c r="BW33" s="140">
        <f t="shared" si="95"/>
        <v>-1.90000000000623</v>
      </c>
      <c r="BX33" s="142">
        <v>181.42020000000002</v>
      </c>
      <c r="BY33" s="140">
        <f t="shared" si="86"/>
        <v>0.30000000000995897</v>
      </c>
      <c r="BZ33" s="140">
        <f t="shared" si="87"/>
        <v>-1.5999999999962711</v>
      </c>
      <c r="CA33" s="143">
        <v>20</v>
      </c>
    </row>
    <row r="34" spans="1:81" ht="15.6" customHeight="1" x14ac:dyDescent="0.25">
      <c r="C34" s="136">
        <v>21</v>
      </c>
      <c r="D34" s="136">
        <v>181.10850000000002</v>
      </c>
      <c r="E34" s="136">
        <v>0</v>
      </c>
      <c r="F34" s="138">
        <v>0</v>
      </c>
      <c r="G34" s="136">
        <v>181.10820000000001</v>
      </c>
      <c r="H34" s="136">
        <f t="shared" si="88"/>
        <v>-0.30000000000995897</v>
      </c>
      <c r="I34" s="139">
        <f t="shared" si="89"/>
        <v>-0.30000000000995897</v>
      </c>
      <c r="J34" s="136">
        <v>181.10839999999999</v>
      </c>
      <c r="K34" s="136">
        <f t="shared" si="42"/>
        <v>0.1999999999782176</v>
      </c>
      <c r="L34" s="139">
        <f t="shared" si="43"/>
        <v>-0.10000000003174137</v>
      </c>
      <c r="M34" s="136">
        <v>181.1079</v>
      </c>
      <c r="N34" s="136">
        <f t="shared" si="44"/>
        <v>-0.49999999998817657</v>
      </c>
      <c r="O34" s="139">
        <f t="shared" si="45"/>
        <v>-0.60000000001991793</v>
      </c>
      <c r="P34" s="136">
        <v>181.10820000000001</v>
      </c>
      <c r="Q34" s="136">
        <f t="shared" si="46"/>
        <v>0.30000000000995897</v>
      </c>
      <c r="R34" s="139">
        <f t="shared" si="47"/>
        <v>-0.30000000000995897</v>
      </c>
      <c r="S34" s="136">
        <v>181.10830000000001</v>
      </c>
      <c r="T34" s="136">
        <f t="shared" si="48"/>
        <v>0.10000000000331966</v>
      </c>
      <c r="U34" s="139">
        <f t="shared" si="49"/>
        <v>-0.20000000000663931</v>
      </c>
      <c r="V34" s="146">
        <v>181.1035</v>
      </c>
      <c r="W34" s="147">
        <f t="shared" si="50"/>
        <v>-4.8000000000172349</v>
      </c>
      <c r="X34" s="144">
        <f t="shared" si="51"/>
        <v>-5.0000000000238742</v>
      </c>
      <c r="Y34" s="146">
        <v>181.10409999999999</v>
      </c>
      <c r="Z34" s="147">
        <f t="shared" si="52"/>
        <v>0.59999999999149622</v>
      </c>
      <c r="AA34" s="144">
        <f t="shared" si="53"/>
        <v>-4.400000000032378</v>
      </c>
      <c r="AB34" s="146">
        <v>181.1046</v>
      </c>
      <c r="AC34" s="147">
        <f t="shared" si="54"/>
        <v>0.50000000001659828</v>
      </c>
      <c r="AD34" s="144">
        <f t="shared" si="55"/>
        <v>-3.9000000000157797</v>
      </c>
      <c r="AE34" s="146">
        <v>181.10489999999999</v>
      </c>
      <c r="AF34" s="147">
        <f t="shared" si="56"/>
        <v>0.29999999998153726</v>
      </c>
      <c r="AG34" s="144">
        <f t="shared" si="57"/>
        <v>-3.6000000000342425</v>
      </c>
      <c r="AH34" s="146">
        <v>181.1053</v>
      </c>
      <c r="AI34" s="147">
        <f t="shared" si="58"/>
        <v>0.40000000001327862</v>
      </c>
      <c r="AJ34" s="144">
        <f t="shared" si="59"/>
        <v>-3.2000000000209639</v>
      </c>
      <c r="AK34" s="146">
        <v>181.10499999999999</v>
      </c>
      <c r="AL34" s="147">
        <f t="shared" si="60"/>
        <v>-0.30000000000995897</v>
      </c>
      <c r="AM34" s="144">
        <f t="shared" si="61"/>
        <v>-3.5000000000309228</v>
      </c>
      <c r="AN34" s="146">
        <v>181.1052</v>
      </c>
      <c r="AO34" s="147">
        <f t="shared" si="62"/>
        <v>0.20000000000663931</v>
      </c>
      <c r="AP34" s="144">
        <f t="shared" si="63"/>
        <v>-3.3000000000242835</v>
      </c>
      <c r="AQ34" s="136">
        <v>181.10570000000001</v>
      </c>
      <c r="AR34" s="140">
        <f t="shared" si="64"/>
        <v>0.50000000001659828</v>
      </c>
      <c r="AS34" s="140">
        <f t="shared" si="65"/>
        <v>-2.8000000000076852</v>
      </c>
      <c r="AT34" s="137">
        <v>181.10599999999999</v>
      </c>
      <c r="AU34" s="140">
        <f t="shared" si="66"/>
        <v>0.29999999998153726</v>
      </c>
      <c r="AV34" s="140">
        <f t="shared" si="67"/>
        <v>-2.500000000026148</v>
      </c>
      <c r="AW34" s="136">
        <v>181.1061</v>
      </c>
      <c r="AX34" s="140">
        <f t="shared" si="68"/>
        <v>0.10000000000331966</v>
      </c>
      <c r="AY34" s="140">
        <f t="shared" si="69"/>
        <v>-2.4000000000228283</v>
      </c>
      <c r="AZ34" s="136">
        <v>181.1063</v>
      </c>
      <c r="BA34" s="140">
        <f t="shared" si="90"/>
        <v>0.20000000000663931</v>
      </c>
      <c r="BB34" s="140">
        <f t="shared" si="91"/>
        <v>-2.200000000016189</v>
      </c>
      <c r="BC34" s="136">
        <v>181.10650000000001</v>
      </c>
      <c r="BD34" s="140">
        <f t="shared" si="72"/>
        <v>0.20000000000663931</v>
      </c>
      <c r="BE34" s="140">
        <f t="shared" si="73"/>
        <v>-2.0000000000095497</v>
      </c>
      <c r="BF34" s="137">
        <v>181.1063</v>
      </c>
      <c r="BG34" s="140">
        <f t="shared" si="74"/>
        <v>-0.20000000000663931</v>
      </c>
      <c r="BH34" s="140">
        <f t="shared" si="75"/>
        <v>-2.200000000016189</v>
      </c>
      <c r="BI34" s="137">
        <v>181.10589999999999</v>
      </c>
      <c r="BJ34" s="140">
        <f t="shared" si="92"/>
        <v>-0.40000000001327862</v>
      </c>
      <c r="BK34" s="140">
        <f t="shared" si="93"/>
        <v>-2.6000000000294676</v>
      </c>
      <c r="BL34" s="137">
        <v>181.10569999999998</v>
      </c>
      <c r="BM34" s="140">
        <f t="shared" si="78"/>
        <v>-0.20000000000663931</v>
      </c>
      <c r="BN34" s="140">
        <f t="shared" si="79"/>
        <v>-2.8000000000361069</v>
      </c>
      <c r="BO34" s="137">
        <v>181.10549999999998</v>
      </c>
      <c r="BP34" s="140">
        <f t="shared" si="80"/>
        <v>-0.20000000000663931</v>
      </c>
      <c r="BQ34" s="140">
        <f t="shared" si="81"/>
        <v>-3.0000000000427463</v>
      </c>
      <c r="BR34" s="148">
        <v>181.10579999999999</v>
      </c>
      <c r="BS34" s="140">
        <f t="shared" si="82"/>
        <v>0.30000000000995897</v>
      </c>
      <c r="BT34" s="140">
        <f t="shared" si="83"/>
        <v>-2.7000000000327873</v>
      </c>
      <c r="BU34" s="142">
        <v>181.10539999999997</v>
      </c>
      <c r="BV34" s="140">
        <f t="shared" si="94"/>
        <v>-0.40000000001327862</v>
      </c>
      <c r="BW34" s="140">
        <f t="shared" si="95"/>
        <v>-3.1000000000460659</v>
      </c>
      <c r="BX34" s="142">
        <v>181.10509999999996</v>
      </c>
      <c r="BY34" s="140">
        <f t="shared" si="86"/>
        <v>-0.30000000000995897</v>
      </c>
      <c r="BZ34" s="149">
        <f t="shared" si="87"/>
        <v>-3.4000000000560249</v>
      </c>
      <c r="CA34" s="150">
        <v>21</v>
      </c>
    </row>
    <row r="35" spans="1:81" ht="15.6" customHeight="1" x14ac:dyDescent="0.25">
      <c r="C35" s="136">
        <v>22</v>
      </c>
      <c r="D35" s="136">
        <v>180.71450000000002</v>
      </c>
      <c r="E35" s="136">
        <v>0</v>
      </c>
      <c r="F35" s="138">
        <v>0</v>
      </c>
      <c r="G35" s="136">
        <v>180.71440000000001</v>
      </c>
      <c r="H35" s="136">
        <f t="shared" si="88"/>
        <v>-0.10000000000331966</v>
      </c>
      <c r="I35" s="139">
        <f t="shared" si="89"/>
        <v>-0.10000000000331966</v>
      </c>
      <c r="J35" s="136">
        <v>180.71449999999999</v>
      </c>
      <c r="K35" s="136">
        <f t="shared" si="42"/>
        <v>9.9999999974897946E-2</v>
      </c>
      <c r="L35" s="139">
        <f t="shared" si="43"/>
        <v>-2.8421709430404007E-11</v>
      </c>
      <c r="M35" s="136">
        <v>180.71440000000001</v>
      </c>
      <c r="N35" s="136">
        <f t="shared" si="44"/>
        <v>-9.9999999974897946E-2</v>
      </c>
      <c r="O35" s="139">
        <f t="shared" si="45"/>
        <v>-0.10000000000331966</v>
      </c>
      <c r="P35" s="136">
        <v>180.71449999999999</v>
      </c>
      <c r="Q35" s="136">
        <f t="shared" si="46"/>
        <v>9.9999999974897946E-2</v>
      </c>
      <c r="R35" s="139">
        <f t="shared" si="47"/>
        <v>-2.8421709430404007E-11</v>
      </c>
      <c r="S35" s="136">
        <v>180.71440000000001</v>
      </c>
      <c r="T35" s="136">
        <f t="shared" si="48"/>
        <v>-9.9999999974897946E-2</v>
      </c>
      <c r="U35" s="139">
        <f t="shared" si="49"/>
        <v>-0.10000000000331966</v>
      </c>
      <c r="V35" s="146">
        <v>180.70850000000002</v>
      </c>
      <c r="W35" s="147">
        <f t="shared" si="50"/>
        <v>-5.8999999999969077</v>
      </c>
      <c r="X35" s="144">
        <f t="shared" si="51"/>
        <v>-6.0000000000002274</v>
      </c>
      <c r="Y35" s="146">
        <v>180.709</v>
      </c>
      <c r="Z35" s="147">
        <f t="shared" si="52"/>
        <v>0.49999999998817657</v>
      </c>
      <c r="AA35" s="144">
        <f t="shared" si="53"/>
        <v>-5.5000000000120508</v>
      </c>
      <c r="AB35" s="146">
        <v>180.70939999999999</v>
      </c>
      <c r="AC35" s="147">
        <f t="shared" si="54"/>
        <v>0.39999999998485691</v>
      </c>
      <c r="AD35" s="144">
        <f t="shared" si="55"/>
        <v>-5.1000000000271939</v>
      </c>
      <c r="AE35" s="146">
        <v>180.70959999999999</v>
      </c>
      <c r="AF35" s="147">
        <f t="shared" si="56"/>
        <v>0.20000000000663931</v>
      </c>
      <c r="AG35" s="144">
        <f t="shared" si="57"/>
        <v>-4.9000000000205546</v>
      </c>
      <c r="AH35" s="146">
        <v>180.7099</v>
      </c>
      <c r="AI35" s="147">
        <f t="shared" si="58"/>
        <v>0.30000000000995897</v>
      </c>
      <c r="AJ35" s="144">
        <f t="shared" si="59"/>
        <v>-4.6000000000105956</v>
      </c>
      <c r="AK35" s="146">
        <v>180.7097</v>
      </c>
      <c r="AL35" s="147">
        <f t="shared" si="60"/>
        <v>-0.20000000000663931</v>
      </c>
      <c r="AM35" s="144">
        <f t="shared" si="61"/>
        <v>-4.8000000000172349</v>
      </c>
      <c r="AN35" s="146">
        <v>180.71</v>
      </c>
      <c r="AO35" s="147">
        <f t="shared" si="62"/>
        <v>0.30000000000995897</v>
      </c>
      <c r="AP35" s="144">
        <f t="shared" si="63"/>
        <v>-4.500000000007276</v>
      </c>
      <c r="AQ35" s="136">
        <v>180.71029999999999</v>
      </c>
      <c r="AR35" s="140">
        <f t="shared" si="64"/>
        <v>0.29999999998153726</v>
      </c>
      <c r="AS35" s="140">
        <f t="shared" si="65"/>
        <v>-4.2000000000257387</v>
      </c>
      <c r="AT35" s="137">
        <v>180.7105</v>
      </c>
      <c r="AU35" s="140">
        <f t="shared" si="66"/>
        <v>0.20000000000663931</v>
      </c>
      <c r="AV35" s="141">
        <f t="shared" si="67"/>
        <v>-4.0000000000190994</v>
      </c>
      <c r="AW35" s="136">
        <v>180.71080000000001</v>
      </c>
      <c r="AX35" s="140">
        <f t="shared" si="68"/>
        <v>0.30000000000995897</v>
      </c>
      <c r="AY35" s="140">
        <f t="shared" si="69"/>
        <v>-3.7000000000091404</v>
      </c>
      <c r="AZ35" s="136">
        <v>180.71129999999999</v>
      </c>
      <c r="BA35" s="140">
        <f t="shared" si="90"/>
        <v>0.49999999998817657</v>
      </c>
      <c r="BB35" s="140">
        <f t="shared" si="91"/>
        <v>-3.2000000000209639</v>
      </c>
      <c r="BC35" s="136">
        <v>180.7116</v>
      </c>
      <c r="BD35" s="140">
        <f t="shared" si="72"/>
        <v>0.30000000000995897</v>
      </c>
      <c r="BE35" s="140">
        <f t="shared" si="73"/>
        <v>-2.9000000000110049</v>
      </c>
      <c r="BF35" s="137">
        <v>180.71109999999999</v>
      </c>
      <c r="BG35" s="140">
        <f t="shared" si="74"/>
        <v>-0.50000000001659828</v>
      </c>
      <c r="BH35" s="151">
        <f t="shared" si="75"/>
        <v>-3.4000000000276032</v>
      </c>
      <c r="BI35" s="152">
        <v>180.71079999999998</v>
      </c>
      <c r="BJ35" s="153">
        <f t="shared" si="92"/>
        <v>-0.30000000000995897</v>
      </c>
      <c r="BK35" s="151">
        <f t="shared" si="93"/>
        <v>-3.7000000000375621</v>
      </c>
      <c r="BL35" s="152">
        <v>180.71019999999999</v>
      </c>
      <c r="BM35" s="153">
        <f t="shared" si="78"/>
        <v>-0.59999999999149622</v>
      </c>
      <c r="BN35" s="141">
        <f t="shared" si="79"/>
        <v>-4.3000000000290584</v>
      </c>
      <c r="BO35" s="152">
        <v>180.7105</v>
      </c>
      <c r="BP35" s="153">
        <f t="shared" si="80"/>
        <v>0.30000000000995897</v>
      </c>
      <c r="BQ35" s="141">
        <f t="shared" si="81"/>
        <v>-4.0000000000190994</v>
      </c>
      <c r="BR35" s="148">
        <v>180.71099999999998</v>
      </c>
      <c r="BS35" s="140">
        <f t="shared" si="82"/>
        <v>0.49999999998817657</v>
      </c>
      <c r="BT35" s="140">
        <f t="shared" si="83"/>
        <v>-3.5000000000309228</v>
      </c>
      <c r="BU35" s="142">
        <v>180.71119999999999</v>
      </c>
      <c r="BV35" s="140">
        <f t="shared" si="94"/>
        <v>0.20000000000663931</v>
      </c>
      <c r="BW35" s="140">
        <f t="shared" si="95"/>
        <v>-3.3000000000242835</v>
      </c>
      <c r="BX35" s="142">
        <v>180.7114</v>
      </c>
      <c r="BY35" s="140">
        <f t="shared" si="86"/>
        <v>0.20000000000663931</v>
      </c>
      <c r="BZ35" s="140">
        <f t="shared" si="87"/>
        <v>-3.1000000000176442</v>
      </c>
      <c r="CA35" s="143">
        <v>22</v>
      </c>
    </row>
    <row r="36" spans="1:81" ht="15.6" customHeight="1" x14ac:dyDescent="0.25">
      <c r="C36" s="136">
        <v>23</v>
      </c>
      <c r="D36" s="136">
        <v>180.65180000000001</v>
      </c>
      <c r="E36" s="136">
        <v>0</v>
      </c>
      <c r="F36" s="138">
        <v>0</v>
      </c>
      <c r="G36" s="136">
        <v>180.6515</v>
      </c>
      <c r="H36" s="136">
        <f t="shared" si="88"/>
        <v>-0.30000000000995897</v>
      </c>
      <c r="I36" s="139">
        <f t="shared" si="89"/>
        <v>-0.30000000000995897</v>
      </c>
      <c r="J36" s="136">
        <v>180.65170000000001</v>
      </c>
      <c r="K36" s="136">
        <f t="shared" si="42"/>
        <v>0.20000000000663931</v>
      </c>
      <c r="L36" s="139">
        <f t="shared" si="43"/>
        <v>-0.10000000000331966</v>
      </c>
      <c r="M36" s="136">
        <v>180.6515</v>
      </c>
      <c r="N36" s="136">
        <f t="shared" si="44"/>
        <v>-0.20000000000663931</v>
      </c>
      <c r="O36" s="139">
        <f t="shared" si="45"/>
        <v>-0.30000000000995897</v>
      </c>
      <c r="P36" s="136">
        <v>180.65170000000001</v>
      </c>
      <c r="Q36" s="136">
        <f t="shared" si="46"/>
        <v>0.20000000000663931</v>
      </c>
      <c r="R36" s="139">
        <f t="shared" si="47"/>
        <v>-0.10000000000331966</v>
      </c>
      <c r="S36" s="136">
        <v>180.65190000000001</v>
      </c>
      <c r="T36" s="136">
        <f t="shared" si="48"/>
        <v>0.20000000000663931</v>
      </c>
      <c r="U36" s="139">
        <f t="shared" si="49"/>
        <v>0.10000000000331966</v>
      </c>
      <c r="V36" s="146">
        <v>180.64699999999999</v>
      </c>
      <c r="W36" s="147">
        <f t="shared" si="50"/>
        <v>-4.9000000000205546</v>
      </c>
      <c r="X36" s="144">
        <f t="shared" si="51"/>
        <v>-4.8000000000172349</v>
      </c>
      <c r="Y36" s="146">
        <v>180.64760000000001</v>
      </c>
      <c r="Z36" s="147">
        <f t="shared" si="52"/>
        <v>0.60000000001991793</v>
      </c>
      <c r="AA36" s="144">
        <f t="shared" si="53"/>
        <v>-4.199999999997317</v>
      </c>
      <c r="AB36" s="146">
        <v>180.6482</v>
      </c>
      <c r="AC36" s="147">
        <f t="shared" si="54"/>
        <v>0.59999999999149622</v>
      </c>
      <c r="AD36" s="144">
        <f t="shared" si="55"/>
        <v>-3.6000000000058208</v>
      </c>
      <c r="AE36" s="146">
        <v>180.64850000000001</v>
      </c>
      <c r="AF36" s="147">
        <f t="shared" si="56"/>
        <v>0.30000000000995897</v>
      </c>
      <c r="AG36" s="144">
        <f t="shared" si="57"/>
        <v>-3.2999999999958618</v>
      </c>
      <c r="AH36" s="146">
        <v>180.64869999999999</v>
      </c>
      <c r="AI36" s="147">
        <f t="shared" si="58"/>
        <v>0.1999999999782176</v>
      </c>
      <c r="AJ36" s="144">
        <f t="shared" si="59"/>
        <v>-3.1000000000176442</v>
      </c>
      <c r="AK36" s="146">
        <v>180.64859999999999</v>
      </c>
      <c r="AL36" s="147">
        <f t="shared" si="60"/>
        <v>-0.10000000000331966</v>
      </c>
      <c r="AM36" s="144">
        <f t="shared" si="61"/>
        <v>-3.2000000000209639</v>
      </c>
      <c r="AN36" s="146">
        <v>180.64869999999999</v>
      </c>
      <c r="AO36" s="147">
        <f t="shared" si="62"/>
        <v>0.10000000000331966</v>
      </c>
      <c r="AP36" s="144">
        <f t="shared" si="63"/>
        <v>-3.1000000000176442</v>
      </c>
      <c r="AQ36" s="136">
        <v>180.64930000000001</v>
      </c>
      <c r="AR36" s="140">
        <f t="shared" si="64"/>
        <v>0.60000000001991793</v>
      </c>
      <c r="AS36" s="140">
        <f t="shared" si="65"/>
        <v>-2.4999999999977263</v>
      </c>
      <c r="AT36" s="137">
        <v>180.6498</v>
      </c>
      <c r="AU36" s="140">
        <f t="shared" si="66"/>
        <v>0.49999999998817657</v>
      </c>
      <c r="AV36" s="140">
        <f t="shared" si="67"/>
        <v>-2.0000000000095497</v>
      </c>
      <c r="AW36" s="136">
        <v>180.65020000000001</v>
      </c>
      <c r="AX36" s="140">
        <f t="shared" si="68"/>
        <v>0.40000000001327862</v>
      </c>
      <c r="AY36" s="140">
        <f t="shared" si="69"/>
        <v>-1.5999999999962711</v>
      </c>
      <c r="AZ36" s="136">
        <v>180.65049999999999</v>
      </c>
      <c r="BA36" s="140">
        <f t="shared" si="90"/>
        <v>0.29999999998153726</v>
      </c>
      <c r="BB36" s="140">
        <f t="shared" si="91"/>
        <v>-1.3000000000147338</v>
      </c>
      <c r="BC36" s="136">
        <v>180.65019999999998</v>
      </c>
      <c r="BD36" s="140">
        <f t="shared" si="72"/>
        <v>-0.30000000000995897</v>
      </c>
      <c r="BE36" s="140">
        <f t="shared" si="73"/>
        <v>-1.6000000000246928</v>
      </c>
      <c r="BF36" s="137">
        <v>180.6506</v>
      </c>
      <c r="BG36" s="140">
        <f t="shared" si="74"/>
        <v>0.40000000001327862</v>
      </c>
      <c r="BH36" s="153">
        <f t="shared" si="75"/>
        <v>-1.2000000000114142</v>
      </c>
      <c r="BI36" s="152">
        <v>180.6506</v>
      </c>
      <c r="BJ36" s="153">
        <f t="shared" si="92"/>
        <v>0</v>
      </c>
      <c r="BK36" s="153">
        <f t="shared" si="93"/>
        <v>-1.2000000000114142</v>
      </c>
      <c r="BL36" s="152">
        <v>180.65010000000001</v>
      </c>
      <c r="BM36" s="153">
        <f t="shared" si="78"/>
        <v>-0.49999999998817657</v>
      </c>
      <c r="BN36" s="140">
        <f t="shared" si="79"/>
        <v>-1.6999999999995907</v>
      </c>
      <c r="BO36" s="152">
        <v>180.65020000000001</v>
      </c>
      <c r="BP36" s="153">
        <f t="shared" si="80"/>
        <v>0.10000000000331966</v>
      </c>
      <c r="BQ36" s="140">
        <f t="shared" si="81"/>
        <v>-1.5999999999962711</v>
      </c>
      <c r="BR36" s="148">
        <v>180.65030000000002</v>
      </c>
      <c r="BS36" s="140">
        <f t="shared" si="82"/>
        <v>0.10000000000331966</v>
      </c>
      <c r="BT36" s="140">
        <f t="shared" si="83"/>
        <v>-1.4999999999929514</v>
      </c>
      <c r="BU36" s="142">
        <v>180.65030000000002</v>
      </c>
      <c r="BV36" s="140">
        <f t="shared" si="94"/>
        <v>0</v>
      </c>
      <c r="BW36" s="140">
        <f t="shared" si="95"/>
        <v>-1.4999999999929514</v>
      </c>
      <c r="BX36" s="142">
        <v>180.6507</v>
      </c>
      <c r="BY36" s="140">
        <f t="shared" si="86"/>
        <v>0.39999999998485691</v>
      </c>
      <c r="BZ36" s="140">
        <f t="shared" si="87"/>
        <v>-1.1000000000080945</v>
      </c>
      <c r="CA36" s="143">
        <v>23</v>
      </c>
    </row>
    <row r="37" spans="1:81" ht="15.6" customHeight="1" x14ac:dyDescent="0.25"/>
    <row r="38" spans="1:81" ht="15.6" customHeight="1" x14ac:dyDescent="0.25"/>
    <row r="39" spans="1:81" x14ac:dyDescent="0.25"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42"/>
      <c r="AU39" s="3"/>
      <c r="AV39" s="3"/>
      <c r="AW39" s="42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42"/>
      <c r="BJ39" s="3"/>
      <c r="BK39" s="3"/>
      <c r="BL39" s="42"/>
      <c r="BM39" s="3"/>
      <c r="BN39" s="3"/>
      <c r="BO39" s="42"/>
      <c r="BP39" s="3"/>
      <c r="BQ39" s="3"/>
      <c r="BR39" s="42"/>
      <c r="BS39" s="3"/>
      <c r="BT39" s="3"/>
      <c r="BU39" s="42"/>
      <c r="BV39" s="3"/>
      <c r="BW39" s="3"/>
      <c r="BX39" s="42"/>
      <c r="BY39" s="3"/>
      <c r="BZ39" s="3"/>
      <c r="CA39" s="4" t="s">
        <v>75</v>
      </c>
    </row>
    <row r="40" spans="1:81" x14ac:dyDescent="0.25">
      <c r="A40" s="134"/>
      <c r="B40" s="134"/>
      <c r="C40" s="177" t="s">
        <v>62</v>
      </c>
      <c r="D40" s="177"/>
      <c r="E40" s="177"/>
      <c r="F40" s="177"/>
      <c r="G40" s="177"/>
      <c r="H40" s="177"/>
      <c r="I40" s="177"/>
      <c r="J40" s="177"/>
      <c r="K40" s="177"/>
      <c r="L40" s="177"/>
      <c r="M40" s="177"/>
      <c r="N40" s="177"/>
      <c r="O40" s="177"/>
      <c r="P40" s="177"/>
      <c r="Q40" s="177"/>
      <c r="R40" s="177"/>
      <c r="S40" s="177"/>
      <c r="T40" s="177"/>
      <c r="U40" s="177"/>
      <c r="V40" s="177"/>
      <c r="W40" s="177"/>
      <c r="X40" s="177"/>
      <c r="Y40" s="177"/>
      <c r="Z40" s="177"/>
      <c r="AA40" s="177"/>
      <c r="AB40" s="177"/>
      <c r="AC40" s="177"/>
      <c r="AD40" s="177"/>
      <c r="AE40" s="177"/>
      <c r="AF40" s="177"/>
      <c r="AG40" s="177"/>
      <c r="AH40" s="177"/>
      <c r="AI40" s="177"/>
      <c r="AJ40" s="177"/>
      <c r="AK40" s="177"/>
      <c r="AL40" s="177"/>
      <c r="AM40" s="177"/>
      <c r="AN40" s="177"/>
      <c r="AO40" s="177"/>
      <c r="AP40" s="177"/>
      <c r="AQ40" s="177"/>
      <c r="AR40" s="177"/>
      <c r="AS40" s="177"/>
      <c r="AT40" s="177"/>
      <c r="AU40" s="177"/>
      <c r="AV40" s="177"/>
      <c r="AW40" s="177"/>
      <c r="AX40" s="177"/>
      <c r="AY40" s="177"/>
      <c r="AZ40" s="177"/>
      <c r="BA40" s="177"/>
      <c r="BB40" s="177"/>
      <c r="BC40" s="177"/>
      <c r="BD40" s="177"/>
      <c r="BE40" s="177"/>
      <c r="BF40" s="177"/>
      <c r="BG40" s="177"/>
      <c r="BH40" s="177"/>
      <c r="BI40" s="177"/>
      <c r="BJ40" s="177"/>
      <c r="BK40" s="177"/>
      <c r="BL40" s="177"/>
      <c r="BM40" s="177"/>
      <c r="BN40" s="177"/>
      <c r="BO40" s="177"/>
      <c r="BP40" s="177"/>
      <c r="BQ40" s="177"/>
      <c r="BR40" s="177"/>
      <c r="BS40" s="177"/>
      <c r="BT40" s="177"/>
      <c r="BU40" s="177"/>
      <c r="BV40" s="177"/>
      <c r="BW40" s="177"/>
      <c r="BX40" s="177"/>
      <c r="BY40" s="177"/>
      <c r="BZ40" s="177"/>
      <c r="CA40" s="177"/>
      <c r="CB40" s="134"/>
      <c r="CC40" s="134"/>
    </row>
    <row r="41" spans="1:81" ht="15.75" customHeight="1" x14ac:dyDescent="0.25">
      <c r="A41" s="134"/>
      <c r="B41" s="134"/>
      <c r="C41" s="177" t="s">
        <v>65</v>
      </c>
      <c r="D41" s="177"/>
      <c r="E41" s="177"/>
      <c r="F41" s="177"/>
      <c r="G41" s="177"/>
      <c r="H41" s="177"/>
      <c r="I41" s="177"/>
      <c r="J41" s="177"/>
      <c r="K41" s="177"/>
      <c r="L41" s="177"/>
      <c r="M41" s="177"/>
      <c r="N41" s="177"/>
      <c r="O41" s="177"/>
      <c r="P41" s="177"/>
      <c r="Q41" s="177"/>
      <c r="R41" s="177"/>
      <c r="S41" s="177"/>
      <c r="T41" s="177"/>
      <c r="U41" s="177"/>
      <c r="V41" s="177"/>
      <c r="W41" s="177"/>
      <c r="X41" s="177"/>
      <c r="Y41" s="177"/>
      <c r="Z41" s="177"/>
      <c r="AA41" s="177"/>
      <c r="AB41" s="177"/>
      <c r="AC41" s="177"/>
      <c r="AD41" s="177"/>
      <c r="AE41" s="177"/>
      <c r="AF41" s="177"/>
      <c r="AG41" s="177"/>
      <c r="AH41" s="177"/>
      <c r="AI41" s="177"/>
      <c r="AJ41" s="177"/>
      <c r="AK41" s="177"/>
      <c r="AL41" s="177"/>
      <c r="AM41" s="177"/>
      <c r="AN41" s="177"/>
      <c r="AO41" s="177"/>
      <c r="AP41" s="177"/>
      <c r="AQ41" s="177"/>
      <c r="AR41" s="177"/>
      <c r="AS41" s="177"/>
      <c r="AT41" s="177"/>
      <c r="AU41" s="177"/>
      <c r="AV41" s="177"/>
      <c r="AW41" s="177"/>
      <c r="AX41" s="177"/>
      <c r="AY41" s="177"/>
      <c r="AZ41" s="177"/>
      <c r="BA41" s="177"/>
      <c r="BB41" s="177"/>
      <c r="BC41" s="177"/>
      <c r="BD41" s="177"/>
      <c r="BE41" s="177"/>
      <c r="BF41" s="177"/>
      <c r="BG41" s="177"/>
      <c r="BH41" s="177"/>
      <c r="BI41" s="177"/>
      <c r="BJ41" s="177"/>
      <c r="BK41" s="177"/>
      <c r="BL41" s="177"/>
      <c r="BM41" s="177"/>
      <c r="BN41" s="177"/>
      <c r="BO41" s="177"/>
      <c r="BP41" s="177"/>
      <c r="BQ41" s="177"/>
      <c r="BR41" s="177"/>
      <c r="BS41" s="177"/>
      <c r="BT41" s="177"/>
      <c r="BU41" s="177"/>
      <c r="BV41" s="177"/>
      <c r="BW41" s="177"/>
      <c r="BX41" s="177"/>
      <c r="BY41" s="177"/>
      <c r="BZ41" s="177"/>
      <c r="CA41" s="177"/>
      <c r="CB41" s="134"/>
      <c r="CC41" s="134"/>
    </row>
    <row r="42" spans="1:81" ht="29.25" customHeight="1" x14ac:dyDescent="0.25">
      <c r="C42" s="178" t="s">
        <v>1</v>
      </c>
      <c r="D42" s="174" t="s">
        <v>185</v>
      </c>
      <c r="E42" s="175"/>
      <c r="F42" s="176"/>
      <c r="G42" s="174" t="s">
        <v>186</v>
      </c>
      <c r="H42" s="175"/>
      <c r="I42" s="176"/>
      <c r="J42" s="174" t="s">
        <v>187</v>
      </c>
      <c r="K42" s="175"/>
      <c r="L42" s="176"/>
      <c r="M42" s="174" t="s">
        <v>188</v>
      </c>
      <c r="N42" s="175"/>
      <c r="O42" s="176"/>
      <c r="P42" s="174" t="s">
        <v>189</v>
      </c>
      <c r="Q42" s="175"/>
      <c r="R42" s="176"/>
      <c r="S42" s="174" t="s">
        <v>190</v>
      </c>
      <c r="T42" s="175"/>
      <c r="U42" s="176"/>
      <c r="V42" s="174" t="s">
        <v>191</v>
      </c>
      <c r="W42" s="175"/>
      <c r="X42" s="176"/>
      <c r="Y42" s="174" t="s">
        <v>192</v>
      </c>
      <c r="Z42" s="175"/>
      <c r="AA42" s="176"/>
      <c r="AB42" s="174" t="s">
        <v>193</v>
      </c>
      <c r="AC42" s="175"/>
      <c r="AD42" s="176"/>
      <c r="AE42" s="174" t="s">
        <v>194</v>
      </c>
      <c r="AF42" s="175"/>
      <c r="AG42" s="176"/>
      <c r="AH42" s="174" t="s">
        <v>195</v>
      </c>
      <c r="AI42" s="175"/>
      <c r="AJ42" s="176"/>
      <c r="AK42" s="174" t="s">
        <v>196</v>
      </c>
      <c r="AL42" s="175"/>
      <c r="AM42" s="176"/>
      <c r="AN42" s="174" t="s">
        <v>197</v>
      </c>
      <c r="AO42" s="175"/>
      <c r="AP42" s="176"/>
      <c r="AQ42" s="174" t="s">
        <v>198</v>
      </c>
      <c r="AR42" s="175"/>
      <c r="AS42" s="176"/>
      <c r="AT42" s="174" t="s">
        <v>199</v>
      </c>
      <c r="AU42" s="175"/>
      <c r="AV42" s="176"/>
      <c r="AW42" s="174" t="s">
        <v>200</v>
      </c>
      <c r="AX42" s="175"/>
      <c r="AY42" s="176"/>
      <c r="AZ42" s="174" t="s">
        <v>201</v>
      </c>
      <c r="BA42" s="175"/>
      <c r="BB42" s="176"/>
      <c r="BC42" s="174" t="s">
        <v>202</v>
      </c>
      <c r="BD42" s="175"/>
      <c r="BE42" s="176"/>
      <c r="BF42" s="171" t="s">
        <v>203</v>
      </c>
      <c r="BG42" s="172"/>
      <c r="BH42" s="173"/>
      <c r="BI42" s="171" t="s">
        <v>204</v>
      </c>
      <c r="BJ42" s="172"/>
      <c r="BK42" s="173"/>
      <c r="BL42" s="171" t="s">
        <v>205</v>
      </c>
      <c r="BM42" s="172"/>
      <c r="BN42" s="173"/>
      <c r="BO42" s="171" t="s">
        <v>206</v>
      </c>
      <c r="BP42" s="172"/>
      <c r="BQ42" s="173"/>
      <c r="BR42" s="167" t="s">
        <v>207</v>
      </c>
      <c r="BS42" s="168"/>
      <c r="BT42" s="169"/>
      <c r="BU42" s="167" t="s">
        <v>208</v>
      </c>
      <c r="BV42" s="168"/>
      <c r="BW42" s="169"/>
      <c r="BX42" s="167" t="s">
        <v>214</v>
      </c>
      <c r="BY42" s="168"/>
      <c r="BZ42" s="169"/>
      <c r="CA42" s="178" t="s">
        <v>1</v>
      </c>
      <c r="CB42" s="9"/>
    </row>
    <row r="43" spans="1:81" ht="45.75" customHeight="1" x14ac:dyDescent="0.25">
      <c r="C43" s="179"/>
      <c r="D43" s="130" t="s">
        <v>2</v>
      </c>
      <c r="E43" s="130" t="s">
        <v>3</v>
      </c>
      <c r="F43" s="135" t="s">
        <v>4</v>
      </c>
      <c r="G43" s="130" t="s">
        <v>2</v>
      </c>
      <c r="H43" s="130" t="s">
        <v>3</v>
      </c>
      <c r="I43" s="135" t="s">
        <v>4</v>
      </c>
      <c r="J43" s="130" t="s">
        <v>2</v>
      </c>
      <c r="K43" s="130" t="s">
        <v>3</v>
      </c>
      <c r="L43" s="135" t="s">
        <v>4</v>
      </c>
      <c r="M43" s="130" t="s">
        <v>2</v>
      </c>
      <c r="N43" s="130" t="s">
        <v>3</v>
      </c>
      <c r="O43" s="135" t="s">
        <v>4</v>
      </c>
      <c r="P43" s="130" t="s">
        <v>2</v>
      </c>
      <c r="Q43" s="130" t="s">
        <v>3</v>
      </c>
      <c r="R43" s="135" t="s">
        <v>4</v>
      </c>
      <c r="S43" s="130" t="s">
        <v>2</v>
      </c>
      <c r="T43" s="130" t="s">
        <v>3</v>
      </c>
      <c r="U43" s="135" t="s">
        <v>4</v>
      </c>
      <c r="V43" s="130" t="s">
        <v>2</v>
      </c>
      <c r="W43" s="130" t="s">
        <v>3</v>
      </c>
      <c r="X43" s="135" t="s">
        <v>4</v>
      </c>
      <c r="Y43" s="130" t="s">
        <v>2</v>
      </c>
      <c r="Z43" s="130" t="s">
        <v>3</v>
      </c>
      <c r="AA43" s="135" t="s">
        <v>4</v>
      </c>
      <c r="AB43" s="130" t="s">
        <v>2</v>
      </c>
      <c r="AC43" s="130" t="s">
        <v>3</v>
      </c>
      <c r="AD43" s="135" t="s">
        <v>4</v>
      </c>
      <c r="AE43" s="130" t="s">
        <v>2</v>
      </c>
      <c r="AF43" s="130" t="s">
        <v>3</v>
      </c>
      <c r="AG43" s="135" t="s">
        <v>4</v>
      </c>
      <c r="AH43" s="130" t="s">
        <v>2</v>
      </c>
      <c r="AI43" s="130" t="s">
        <v>3</v>
      </c>
      <c r="AJ43" s="135" t="s">
        <v>4</v>
      </c>
      <c r="AK43" s="130" t="s">
        <v>2</v>
      </c>
      <c r="AL43" s="130" t="s">
        <v>3</v>
      </c>
      <c r="AM43" s="135" t="s">
        <v>4</v>
      </c>
      <c r="AN43" s="130" t="s">
        <v>2</v>
      </c>
      <c r="AO43" s="130" t="s">
        <v>3</v>
      </c>
      <c r="AP43" s="135" t="s">
        <v>4</v>
      </c>
      <c r="AQ43" s="130" t="s">
        <v>2</v>
      </c>
      <c r="AR43" s="130" t="s">
        <v>3</v>
      </c>
      <c r="AS43" s="135" t="s">
        <v>4</v>
      </c>
      <c r="AT43" s="130" t="s">
        <v>2</v>
      </c>
      <c r="AU43" s="130" t="s">
        <v>3</v>
      </c>
      <c r="AV43" s="135" t="s">
        <v>4</v>
      </c>
      <c r="AW43" s="130" t="s">
        <v>2</v>
      </c>
      <c r="AX43" s="130" t="s">
        <v>3</v>
      </c>
      <c r="AY43" s="135" t="s">
        <v>4</v>
      </c>
      <c r="AZ43" s="130" t="s">
        <v>2</v>
      </c>
      <c r="BA43" s="130" t="s">
        <v>3</v>
      </c>
      <c r="BB43" s="135" t="s">
        <v>4</v>
      </c>
      <c r="BC43" s="130" t="s">
        <v>2</v>
      </c>
      <c r="BD43" s="130" t="s">
        <v>3</v>
      </c>
      <c r="BE43" s="135" t="s">
        <v>4</v>
      </c>
      <c r="BF43" s="130" t="s">
        <v>2</v>
      </c>
      <c r="BG43" s="130" t="s">
        <v>3</v>
      </c>
      <c r="BH43" s="135" t="s">
        <v>4</v>
      </c>
      <c r="BI43" s="130" t="s">
        <v>2</v>
      </c>
      <c r="BJ43" s="130" t="s">
        <v>3</v>
      </c>
      <c r="BK43" s="135" t="s">
        <v>4</v>
      </c>
      <c r="BL43" s="130" t="s">
        <v>2</v>
      </c>
      <c r="BM43" s="130" t="s">
        <v>3</v>
      </c>
      <c r="BN43" s="135" t="s">
        <v>4</v>
      </c>
      <c r="BO43" s="130" t="s">
        <v>2</v>
      </c>
      <c r="BP43" s="130" t="s">
        <v>3</v>
      </c>
      <c r="BQ43" s="135" t="s">
        <v>4</v>
      </c>
      <c r="BR43" s="130" t="s">
        <v>2</v>
      </c>
      <c r="BS43" s="130" t="s">
        <v>3</v>
      </c>
      <c r="BT43" s="135" t="s">
        <v>4</v>
      </c>
      <c r="BU43" s="130" t="s">
        <v>2</v>
      </c>
      <c r="BV43" s="130" t="s">
        <v>3</v>
      </c>
      <c r="BW43" s="135" t="s">
        <v>4</v>
      </c>
      <c r="BX43" s="130" t="s">
        <v>2</v>
      </c>
      <c r="BY43" s="130" t="s">
        <v>3</v>
      </c>
      <c r="BZ43" s="135" t="s">
        <v>4</v>
      </c>
      <c r="CA43" s="179"/>
      <c r="CB43" s="9" t="s">
        <v>72</v>
      </c>
    </row>
    <row r="44" spans="1:81" ht="15.6" customHeight="1" x14ac:dyDescent="0.25">
      <c r="C44" s="136">
        <v>24</v>
      </c>
      <c r="D44" s="137">
        <v>185.1147</v>
      </c>
      <c r="E44" s="136">
        <v>0</v>
      </c>
      <c r="F44" s="138">
        <v>0</v>
      </c>
      <c r="G44" s="137">
        <v>185.11449999999999</v>
      </c>
      <c r="H44" s="136">
        <f>(G44-D44)*1000</f>
        <v>-0.20000000000663931</v>
      </c>
      <c r="I44" s="139">
        <f>F44+H44</f>
        <v>-0.20000000000663931</v>
      </c>
      <c r="J44" s="137">
        <v>185.11439999999999</v>
      </c>
      <c r="K44" s="136">
        <f t="shared" ref="K44:K51" si="96">(J44-G44)*1000</f>
        <v>-0.10000000000331966</v>
      </c>
      <c r="L44" s="139">
        <f t="shared" ref="L44:L51" si="97">I44+K44</f>
        <v>-0.30000000000995897</v>
      </c>
      <c r="M44" s="137">
        <v>185.11449999999999</v>
      </c>
      <c r="N44" s="136">
        <f t="shared" ref="N44:N51" si="98">(M44-J44)*1000</f>
        <v>0.10000000000331966</v>
      </c>
      <c r="O44" s="139">
        <f t="shared" ref="O44:O51" si="99">L44+N44</f>
        <v>-0.20000000000663931</v>
      </c>
      <c r="P44" s="137">
        <v>185.1146</v>
      </c>
      <c r="Q44" s="136">
        <f t="shared" ref="Q44:Q51" si="100">(P44-M44)*1000</f>
        <v>0.10000000000331966</v>
      </c>
      <c r="R44" s="139">
        <f t="shared" ref="R44:R51" si="101">O44+Q44</f>
        <v>-0.10000000000331966</v>
      </c>
      <c r="S44" s="137">
        <v>185.1148</v>
      </c>
      <c r="T44" s="136">
        <f t="shared" ref="T44:T51" si="102">(S44-P44)*1000</f>
        <v>0.20000000000663931</v>
      </c>
      <c r="U44" s="139">
        <f t="shared" ref="U44:U51" si="103">R44+T44</f>
        <v>0.10000000000331966</v>
      </c>
      <c r="V44" s="137">
        <v>185.11449999999999</v>
      </c>
      <c r="W44" s="136">
        <f t="shared" ref="W44:W51" si="104">(V44-S44)*1000</f>
        <v>-0.30000000000995897</v>
      </c>
      <c r="X44" s="139">
        <f t="shared" ref="X44:X51" si="105">U44+W44</f>
        <v>-0.20000000000663931</v>
      </c>
      <c r="Y44" s="137">
        <v>185.11500000000001</v>
      </c>
      <c r="Z44" s="136">
        <f t="shared" ref="Z44:Z51" si="106">(Y44-V44)*1000</f>
        <v>0.50000000001659828</v>
      </c>
      <c r="AA44" s="139">
        <f t="shared" ref="AA44:AA51" si="107">X44+Z44</f>
        <v>0.30000000000995897</v>
      </c>
      <c r="AB44" s="137">
        <v>185.1148</v>
      </c>
      <c r="AC44" s="136">
        <f t="shared" ref="AC44:AC51" si="108">(AB44-Y44)*1000</f>
        <v>-0.20000000000663931</v>
      </c>
      <c r="AD44" s="139">
        <f t="shared" ref="AD44:AD51" si="109">AA44+AC44</f>
        <v>0.10000000000331966</v>
      </c>
      <c r="AE44" s="137">
        <v>185.11500000000001</v>
      </c>
      <c r="AF44" s="136">
        <f t="shared" ref="AF44:AF51" si="110">(AE44-AB44)*1000</f>
        <v>0.20000000000663931</v>
      </c>
      <c r="AG44" s="139">
        <f t="shared" ref="AG44:AG51" si="111">AD44+AF44</f>
        <v>0.30000000000995897</v>
      </c>
      <c r="AH44" s="137">
        <v>185.1146</v>
      </c>
      <c r="AI44" s="136">
        <f t="shared" ref="AI44:AI45" si="112">(AH44-AE44)*1000</f>
        <v>-0.40000000001327862</v>
      </c>
      <c r="AJ44" s="139">
        <f t="shared" ref="AJ44:AJ45" si="113">AG44+AI44</f>
        <v>-0.10000000000331966</v>
      </c>
      <c r="AK44" s="137">
        <v>185.113</v>
      </c>
      <c r="AL44" s="136">
        <f t="shared" ref="AL44:AL51" si="114">(AK44-AH44)*1000</f>
        <v>-1.5999999999962711</v>
      </c>
      <c r="AM44" s="139">
        <f t="shared" ref="AM44:AM51" si="115">AJ44+AL44</f>
        <v>-1.6999999999995907</v>
      </c>
      <c r="AN44" s="137">
        <v>185.11359999999999</v>
      </c>
      <c r="AO44" s="136">
        <f t="shared" ref="AO44:AO51" si="116">(AN44-AK44)*1000</f>
        <v>0.59999999999149622</v>
      </c>
      <c r="AP44" s="139">
        <f t="shared" ref="AP44:AP51" si="117">AM44+AO44</f>
        <v>-1.1000000000080945</v>
      </c>
      <c r="AQ44" s="137">
        <v>185.114</v>
      </c>
      <c r="AR44" s="140">
        <f t="shared" ref="AR44:AR51" si="118">(AQ44-AN44)*1000</f>
        <v>0.40000000001327862</v>
      </c>
      <c r="AS44" s="140">
        <f t="shared" ref="AS44:AS51" si="119">AP44+AR44</f>
        <v>-0.69999999999481588</v>
      </c>
      <c r="AT44" s="137">
        <v>185.11410000000001</v>
      </c>
      <c r="AU44" s="140">
        <f t="shared" ref="AU44:AU51" si="120">(AT44-AQ44)*1000</f>
        <v>0.10000000000331966</v>
      </c>
      <c r="AV44" s="140">
        <f t="shared" ref="AV44:AV51" si="121">AS44+AU44</f>
        <v>-0.59999999999149622</v>
      </c>
      <c r="AW44" s="137">
        <v>185.11450000000002</v>
      </c>
      <c r="AX44" s="140">
        <f t="shared" ref="AX44:AX51" si="122">(AW44-AT44)*1000</f>
        <v>0.40000000001327862</v>
      </c>
      <c r="AY44" s="140">
        <f t="shared" ref="AY44:AY51" si="123">AV44+AX44</f>
        <v>-0.1999999999782176</v>
      </c>
      <c r="AZ44" s="137">
        <v>185.1147</v>
      </c>
      <c r="BA44" s="140">
        <f t="shared" ref="BA44" si="124">(AZ44-AW44)*1000</f>
        <v>0.1999999999782176</v>
      </c>
      <c r="BB44" s="140">
        <f t="shared" ref="BB44" si="125">AY44+BA44</f>
        <v>0</v>
      </c>
      <c r="BC44" s="137">
        <v>185.1148</v>
      </c>
      <c r="BD44" s="140">
        <f t="shared" ref="BD44:BD51" si="126">(BC44-AZ44)*1000</f>
        <v>0.10000000000331966</v>
      </c>
      <c r="BE44" s="140">
        <f t="shared" ref="BE44:BE51" si="127">BB44+BD44</f>
        <v>0.10000000000331966</v>
      </c>
      <c r="BF44" s="137">
        <v>185.11439999999999</v>
      </c>
      <c r="BG44" s="140">
        <f t="shared" ref="BG44:BG51" si="128">(BF44-BC44)*1000</f>
        <v>-0.40000000001327862</v>
      </c>
      <c r="BH44" s="140">
        <f t="shared" ref="BH44:BH51" si="129">BE44+BG44</f>
        <v>-0.30000000000995897</v>
      </c>
      <c r="BI44" s="137">
        <v>185.11449999999999</v>
      </c>
      <c r="BJ44" s="140">
        <f t="shared" ref="BJ44" si="130">(BI44-BF44)*1000</f>
        <v>0.10000000000331966</v>
      </c>
      <c r="BK44" s="140">
        <f t="shared" ref="BK44" si="131">BH44+BJ44</f>
        <v>-0.20000000000663931</v>
      </c>
      <c r="BL44" s="137">
        <v>185.11439999999999</v>
      </c>
      <c r="BM44" s="140">
        <f t="shared" ref="BM44:BM51" si="132">(BL44-BI44)*1000</f>
        <v>-0.10000000000331966</v>
      </c>
      <c r="BN44" s="140">
        <f t="shared" ref="BN44:BN51" si="133">BK44+BM44</f>
        <v>-0.30000000000995897</v>
      </c>
      <c r="BO44" s="137">
        <v>185.1147</v>
      </c>
      <c r="BP44" s="140">
        <f t="shared" ref="BP44:BP51" si="134">(BO44-BL44)*1000</f>
        <v>0.30000000000995897</v>
      </c>
      <c r="BQ44" s="140">
        <f t="shared" ref="BQ44:BQ51" si="135">BN44+BP44</f>
        <v>0</v>
      </c>
      <c r="BR44" s="148">
        <v>185.11490000000001</v>
      </c>
      <c r="BS44" s="140">
        <f t="shared" ref="BS44:BS51" si="136">(BR44-BO44)*1000</f>
        <v>0.20000000000663931</v>
      </c>
      <c r="BT44" s="140">
        <f t="shared" ref="BT44:BT51" si="137">BQ44+BS44</f>
        <v>0.20000000000663931</v>
      </c>
      <c r="BU44" s="142">
        <v>185.11520000000002</v>
      </c>
      <c r="BV44" s="140">
        <f t="shared" ref="BV44" si="138">(BU44-BR44)*1000</f>
        <v>0.30000000000995897</v>
      </c>
      <c r="BW44" s="140">
        <f t="shared" ref="BW44" si="139">BT44+BV44</f>
        <v>0.50000000001659828</v>
      </c>
      <c r="BX44" s="142">
        <v>185.11500000000001</v>
      </c>
      <c r="BY44" s="140">
        <f t="shared" ref="BY44:BY51" si="140">(BX44-BU44)*1000</f>
        <v>-0.20000000000663931</v>
      </c>
      <c r="BZ44" s="140">
        <f t="shared" ref="BZ44:BZ51" si="141">BW44+BY44</f>
        <v>0.30000000000995897</v>
      </c>
      <c r="CA44" s="143">
        <v>24</v>
      </c>
    </row>
    <row r="45" spans="1:81" ht="15.6" customHeight="1" x14ac:dyDescent="0.25">
      <c r="C45" s="136">
        <v>25</v>
      </c>
      <c r="D45" s="137">
        <v>185.108</v>
      </c>
      <c r="E45" s="136">
        <v>0</v>
      </c>
      <c r="F45" s="138">
        <v>0</v>
      </c>
      <c r="G45" s="137">
        <v>185.10810000000001</v>
      </c>
      <c r="H45" s="136">
        <f t="shared" ref="H45:H51" si="142">(G45-D45)*1000</f>
        <v>0.10000000000331966</v>
      </c>
      <c r="I45" s="139">
        <f t="shared" ref="I45:I51" si="143">F45+H45</f>
        <v>0.10000000000331966</v>
      </c>
      <c r="J45" s="137">
        <v>185.10830000000001</v>
      </c>
      <c r="K45" s="136">
        <f t="shared" si="96"/>
        <v>0.20000000000663931</v>
      </c>
      <c r="L45" s="139">
        <f t="shared" si="97"/>
        <v>0.30000000000995897</v>
      </c>
      <c r="M45" s="137">
        <v>185.10849999999999</v>
      </c>
      <c r="N45" s="136">
        <f t="shared" si="98"/>
        <v>0.1999999999782176</v>
      </c>
      <c r="O45" s="139">
        <f t="shared" si="99"/>
        <v>0.49999999998817657</v>
      </c>
      <c r="P45" s="137">
        <v>185.10839999999999</v>
      </c>
      <c r="Q45" s="136">
        <f t="shared" si="100"/>
        <v>-0.10000000000331966</v>
      </c>
      <c r="R45" s="139">
        <f t="shared" si="101"/>
        <v>0.39999999998485691</v>
      </c>
      <c r="S45" s="137">
        <v>185.10830000000001</v>
      </c>
      <c r="T45" s="136">
        <f t="shared" si="102"/>
        <v>-9.9999999974897946E-2</v>
      </c>
      <c r="U45" s="139">
        <f t="shared" si="103"/>
        <v>0.30000000000995897</v>
      </c>
      <c r="V45" s="137">
        <v>185.10810000000001</v>
      </c>
      <c r="W45" s="136">
        <f t="shared" si="104"/>
        <v>-0.20000000000663931</v>
      </c>
      <c r="X45" s="139">
        <f t="shared" si="105"/>
        <v>0.10000000000331966</v>
      </c>
      <c r="Y45" s="137">
        <v>185.1078</v>
      </c>
      <c r="Z45" s="136">
        <f t="shared" si="106"/>
        <v>-0.30000000000995897</v>
      </c>
      <c r="AA45" s="139">
        <f t="shared" si="107"/>
        <v>-0.20000000000663931</v>
      </c>
      <c r="AB45" s="137">
        <v>185.10749999999999</v>
      </c>
      <c r="AC45" s="136">
        <f t="shared" si="108"/>
        <v>-0.30000000000995897</v>
      </c>
      <c r="AD45" s="139">
        <f t="shared" si="109"/>
        <v>-0.50000000001659828</v>
      </c>
      <c r="AE45" s="137">
        <v>185.1079</v>
      </c>
      <c r="AF45" s="136">
        <f t="shared" si="110"/>
        <v>0.40000000001327862</v>
      </c>
      <c r="AG45" s="139">
        <f t="shared" si="111"/>
        <v>-0.10000000000331966</v>
      </c>
      <c r="AH45" s="137">
        <v>185.10740000000001</v>
      </c>
      <c r="AI45" s="136">
        <f t="shared" si="112"/>
        <v>-0.49999999998817657</v>
      </c>
      <c r="AJ45" s="139">
        <f t="shared" si="113"/>
        <v>-0.59999999999149622</v>
      </c>
      <c r="AK45" s="137">
        <v>185.10589999999999</v>
      </c>
      <c r="AL45" s="136">
        <f t="shared" si="114"/>
        <v>-1.5000000000213731</v>
      </c>
      <c r="AM45" s="139">
        <f t="shared" si="115"/>
        <v>-2.1000000000128694</v>
      </c>
      <c r="AN45" s="137">
        <v>185.1063</v>
      </c>
      <c r="AO45" s="136">
        <f t="shared" si="116"/>
        <v>0.40000000001327862</v>
      </c>
      <c r="AP45" s="139">
        <f t="shared" si="117"/>
        <v>-1.6999999999995907</v>
      </c>
      <c r="AQ45" s="137">
        <v>185.10679999999999</v>
      </c>
      <c r="AR45" s="140">
        <f t="shared" si="118"/>
        <v>0.49999999998817657</v>
      </c>
      <c r="AS45" s="140">
        <f t="shared" si="119"/>
        <v>-1.2000000000114142</v>
      </c>
      <c r="AT45" s="137">
        <v>185.107</v>
      </c>
      <c r="AU45" s="140">
        <f t="shared" si="120"/>
        <v>0.20000000000663931</v>
      </c>
      <c r="AV45" s="140">
        <f t="shared" si="121"/>
        <v>-1.0000000000047748</v>
      </c>
      <c r="AW45" s="136">
        <v>185.10730000000001</v>
      </c>
      <c r="AX45" s="140">
        <f t="shared" si="122"/>
        <v>0.30000000000995897</v>
      </c>
      <c r="AY45" s="140">
        <f t="shared" si="123"/>
        <v>-0.69999999999481588</v>
      </c>
      <c r="AZ45" s="136">
        <v>185.10740000000001</v>
      </c>
      <c r="BA45" s="140">
        <f t="shared" ref="BA45:BA51" si="144">(AZ45-AW45)*1000</f>
        <v>0.10000000000331966</v>
      </c>
      <c r="BB45" s="140">
        <f t="shared" ref="BB45:BB51" si="145">AY45+BA45</f>
        <v>-0.59999999999149622</v>
      </c>
      <c r="BC45" s="136">
        <v>185.10760000000002</v>
      </c>
      <c r="BD45" s="140">
        <f t="shared" si="126"/>
        <v>0.20000000000663931</v>
      </c>
      <c r="BE45" s="140">
        <f t="shared" si="127"/>
        <v>-0.39999999998485691</v>
      </c>
      <c r="BF45" s="137">
        <v>185.10740000000001</v>
      </c>
      <c r="BG45" s="140">
        <f t="shared" si="128"/>
        <v>-0.20000000000663931</v>
      </c>
      <c r="BH45" s="140">
        <f t="shared" si="129"/>
        <v>-0.59999999999149622</v>
      </c>
      <c r="BI45" s="137">
        <v>185.10680000000002</v>
      </c>
      <c r="BJ45" s="140">
        <f t="shared" ref="BJ45:BJ51" si="146">(BI45-BF45)*1000</f>
        <v>-0.59999999999149622</v>
      </c>
      <c r="BK45" s="140">
        <f t="shared" ref="BK45:BK51" si="147">BH45+BJ45</f>
        <v>-1.1999999999829924</v>
      </c>
      <c r="BL45" s="137">
        <v>185.10630000000003</v>
      </c>
      <c r="BM45" s="140">
        <f t="shared" si="132"/>
        <v>-0.49999999998817657</v>
      </c>
      <c r="BN45" s="140">
        <f t="shared" si="133"/>
        <v>-1.699999999971169</v>
      </c>
      <c r="BO45" s="137">
        <v>185.10680000000002</v>
      </c>
      <c r="BP45" s="140">
        <f t="shared" si="134"/>
        <v>0.49999999998817657</v>
      </c>
      <c r="BQ45" s="140">
        <f t="shared" si="135"/>
        <v>-1.1999999999829924</v>
      </c>
      <c r="BR45" s="148">
        <v>185.10660000000001</v>
      </c>
      <c r="BS45" s="140">
        <f t="shared" si="136"/>
        <v>-0.20000000000663931</v>
      </c>
      <c r="BT45" s="140">
        <f t="shared" si="137"/>
        <v>-1.3999999999896318</v>
      </c>
      <c r="BU45" s="142">
        <v>185.1062</v>
      </c>
      <c r="BV45" s="140">
        <f t="shared" ref="BV45:BV51" si="148">(BU45-BR45)*1000</f>
        <v>-0.40000000001327862</v>
      </c>
      <c r="BW45" s="140">
        <f t="shared" ref="BW45:BW51" si="149">BT45+BV45</f>
        <v>-1.8000000000029104</v>
      </c>
      <c r="BX45" s="142">
        <v>185.10640000000001</v>
      </c>
      <c r="BY45" s="140">
        <f t="shared" si="140"/>
        <v>0.20000000000663931</v>
      </c>
      <c r="BZ45" s="140">
        <f t="shared" si="141"/>
        <v>-1.5999999999962711</v>
      </c>
      <c r="CA45" s="143">
        <v>25</v>
      </c>
    </row>
    <row r="46" spans="1:81" x14ac:dyDescent="0.25">
      <c r="C46" s="136">
        <v>26</v>
      </c>
      <c r="D46" s="137">
        <v>185.11490000000001</v>
      </c>
      <c r="E46" s="136">
        <v>0</v>
      </c>
      <c r="F46" s="138">
        <v>0</v>
      </c>
      <c r="G46" s="137">
        <v>185.1148</v>
      </c>
      <c r="H46" s="136">
        <f t="shared" si="142"/>
        <v>-0.10000000000331966</v>
      </c>
      <c r="I46" s="139">
        <f t="shared" si="143"/>
        <v>-0.10000000000331966</v>
      </c>
      <c r="J46" s="137">
        <v>185.1147</v>
      </c>
      <c r="K46" s="136">
        <f t="shared" si="96"/>
        <v>-0.10000000000331966</v>
      </c>
      <c r="L46" s="139">
        <f t="shared" si="97"/>
        <v>-0.20000000000663931</v>
      </c>
      <c r="M46" s="137">
        <v>185.1148</v>
      </c>
      <c r="N46" s="136">
        <f t="shared" si="98"/>
        <v>0.10000000000331966</v>
      </c>
      <c r="O46" s="139">
        <f t="shared" si="99"/>
        <v>-0.10000000000331966</v>
      </c>
      <c r="P46" s="137">
        <v>185.11500000000001</v>
      </c>
      <c r="Q46" s="136">
        <f t="shared" si="100"/>
        <v>0.20000000000663931</v>
      </c>
      <c r="R46" s="139">
        <f t="shared" si="101"/>
        <v>0.10000000000331966</v>
      </c>
      <c r="S46" s="137">
        <v>185.11510000000001</v>
      </c>
      <c r="T46" s="136">
        <f t="shared" si="102"/>
        <v>0.10000000000331966</v>
      </c>
      <c r="U46" s="139">
        <f t="shared" si="103"/>
        <v>0.20000000000663931</v>
      </c>
      <c r="V46" s="137">
        <v>185.11500000000001</v>
      </c>
      <c r="W46" s="136">
        <f t="shared" si="104"/>
        <v>-0.10000000000331966</v>
      </c>
      <c r="X46" s="139">
        <f t="shared" si="105"/>
        <v>0.10000000000331966</v>
      </c>
      <c r="Y46" s="137">
        <v>185.11510000000001</v>
      </c>
      <c r="Z46" s="136">
        <f t="shared" si="106"/>
        <v>0.10000000000331966</v>
      </c>
      <c r="AA46" s="139">
        <f t="shared" si="107"/>
        <v>0.20000000000663931</v>
      </c>
      <c r="AB46" s="137">
        <v>185.11490000000001</v>
      </c>
      <c r="AC46" s="136">
        <f t="shared" si="108"/>
        <v>-0.20000000000663931</v>
      </c>
      <c r="AD46" s="139">
        <f t="shared" si="109"/>
        <v>0</v>
      </c>
      <c r="AE46" s="137">
        <v>185.05930000000001</v>
      </c>
      <c r="AF46" s="136" t="s">
        <v>136</v>
      </c>
      <c r="AG46" s="139">
        <f>AD46</f>
        <v>0</v>
      </c>
      <c r="AH46" s="137">
        <v>185.05850000000001</v>
      </c>
      <c r="AI46" s="136">
        <f t="shared" ref="AI46" si="150">(AH46-AE46)*1000</f>
        <v>-0.79999999999813554</v>
      </c>
      <c r="AJ46" s="139">
        <f t="shared" ref="AJ46" si="151">AG46+AI46</f>
        <v>-0.79999999999813554</v>
      </c>
      <c r="AK46" s="137">
        <v>185.05680000000001</v>
      </c>
      <c r="AL46" s="136">
        <f t="shared" si="114"/>
        <v>-1.6999999999995907</v>
      </c>
      <c r="AM46" s="139">
        <f t="shared" si="115"/>
        <v>-2.4999999999977263</v>
      </c>
      <c r="AN46" s="137">
        <v>185.0573</v>
      </c>
      <c r="AO46" s="136">
        <f t="shared" si="116"/>
        <v>0.49999999998817657</v>
      </c>
      <c r="AP46" s="139">
        <f t="shared" si="117"/>
        <v>-2.0000000000095497</v>
      </c>
      <c r="AQ46" s="137">
        <v>185.05789999999999</v>
      </c>
      <c r="AR46" s="140">
        <f t="shared" si="118"/>
        <v>0.59999999999149622</v>
      </c>
      <c r="AS46" s="140">
        <f t="shared" si="119"/>
        <v>-1.4000000000180535</v>
      </c>
      <c r="AT46" s="137">
        <v>185.05789999999999</v>
      </c>
      <c r="AU46" s="140">
        <f t="shared" si="120"/>
        <v>0</v>
      </c>
      <c r="AV46" s="140">
        <f t="shared" si="121"/>
        <v>-1.4000000000180535</v>
      </c>
      <c r="AW46" s="136">
        <v>185.0583</v>
      </c>
      <c r="AX46" s="140">
        <f t="shared" si="122"/>
        <v>0.40000000001327862</v>
      </c>
      <c r="AY46" s="140">
        <f t="shared" si="123"/>
        <v>-1.0000000000047748</v>
      </c>
      <c r="AZ46" s="136">
        <v>185.05850000000001</v>
      </c>
      <c r="BA46" s="140">
        <f t="shared" si="144"/>
        <v>0.20000000000663931</v>
      </c>
      <c r="BB46" s="140">
        <f t="shared" si="145"/>
        <v>-0.79999999999813554</v>
      </c>
      <c r="BC46" s="136">
        <v>185.0583</v>
      </c>
      <c r="BD46" s="140">
        <f t="shared" si="126"/>
        <v>-0.20000000000663931</v>
      </c>
      <c r="BE46" s="140">
        <f t="shared" si="127"/>
        <v>-1.0000000000047748</v>
      </c>
      <c r="BF46" s="137">
        <v>185.05799999999999</v>
      </c>
      <c r="BG46" s="140">
        <f t="shared" si="128"/>
        <v>-0.30000000000995897</v>
      </c>
      <c r="BH46" s="140">
        <f t="shared" si="129"/>
        <v>-1.3000000000147338</v>
      </c>
      <c r="BI46" s="137">
        <v>185.05849999999998</v>
      </c>
      <c r="BJ46" s="140">
        <f t="shared" si="146"/>
        <v>0.49999999998817657</v>
      </c>
      <c r="BK46" s="140">
        <f t="shared" si="147"/>
        <v>-0.80000000002655725</v>
      </c>
      <c r="BL46" s="137">
        <v>185.05909999999997</v>
      </c>
      <c r="BM46" s="140">
        <f t="shared" si="132"/>
        <v>0.59999999999149622</v>
      </c>
      <c r="BN46" s="140">
        <f t="shared" si="133"/>
        <v>-0.20000000003506102</v>
      </c>
      <c r="BO46" s="137">
        <v>185.05869999999996</v>
      </c>
      <c r="BP46" s="140">
        <f t="shared" si="134"/>
        <v>-0.40000000001327862</v>
      </c>
      <c r="BQ46" s="140">
        <f t="shared" si="135"/>
        <v>-0.60000000004833964</v>
      </c>
      <c r="BR46" s="148">
        <v>185.05869999999996</v>
      </c>
      <c r="BS46" s="140">
        <f t="shared" si="136"/>
        <v>0</v>
      </c>
      <c r="BT46" s="140">
        <f t="shared" si="137"/>
        <v>-0.60000000004833964</v>
      </c>
      <c r="BU46" s="142">
        <v>185.05899999999997</v>
      </c>
      <c r="BV46" s="140">
        <f t="shared" si="148"/>
        <v>0.30000000000995897</v>
      </c>
      <c r="BW46" s="140">
        <f t="shared" si="149"/>
        <v>-0.30000000003838068</v>
      </c>
      <c r="BX46" s="142">
        <v>185.05889999999997</v>
      </c>
      <c r="BY46" s="140">
        <f t="shared" si="140"/>
        <v>-0.10000000000331966</v>
      </c>
      <c r="BZ46" s="140">
        <f t="shared" si="141"/>
        <v>-0.40000000004170033</v>
      </c>
      <c r="CA46" s="143">
        <v>26</v>
      </c>
      <c r="CB46" s="1">
        <v>7000</v>
      </c>
    </row>
    <row r="47" spans="1:81" ht="15.6" customHeight="1" x14ac:dyDescent="0.25">
      <c r="C47" s="136">
        <v>27</v>
      </c>
      <c r="D47" s="137">
        <v>184.74190000000002</v>
      </c>
      <c r="E47" s="136">
        <v>0</v>
      </c>
      <c r="F47" s="138">
        <v>0</v>
      </c>
      <c r="G47" s="137">
        <v>184.74210000000002</v>
      </c>
      <c r="H47" s="136">
        <f t="shared" si="142"/>
        <v>0.20000000000663931</v>
      </c>
      <c r="I47" s="139">
        <f t="shared" si="143"/>
        <v>0.20000000000663931</v>
      </c>
      <c r="J47" s="137">
        <v>184.74180000000001</v>
      </c>
      <c r="K47" s="136">
        <f t="shared" si="96"/>
        <v>-0.30000000000995897</v>
      </c>
      <c r="L47" s="139">
        <f t="shared" si="97"/>
        <v>-0.10000000000331966</v>
      </c>
      <c r="M47" s="137">
        <v>184.74199999999999</v>
      </c>
      <c r="N47" s="136">
        <f t="shared" si="98"/>
        <v>0.1999999999782176</v>
      </c>
      <c r="O47" s="139">
        <f t="shared" si="99"/>
        <v>9.9999999974897946E-2</v>
      </c>
      <c r="P47" s="137">
        <v>184.74199999999999</v>
      </c>
      <c r="Q47" s="138">
        <f t="shared" si="100"/>
        <v>0</v>
      </c>
      <c r="R47" s="139">
        <f t="shared" si="101"/>
        <v>9.9999999974897946E-2</v>
      </c>
      <c r="S47" s="137">
        <v>184.74170000000001</v>
      </c>
      <c r="T47" s="138">
        <f t="shared" si="102"/>
        <v>-0.29999999998153726</v>
      </c>
      <c r="U47" s="139">
        <f t="shared" si="103"/>
        <v>-0.20000000000663931</v>
      </c>
      <c r="V47" s="137">
        <v>184.74190000000002</v>
      </c>
      <c r="W47" s="138">
        <f t="shared" si="104"/>
        <v>0.20000000000663931</v>
      </c>
      <c r="X47" s="139">
        <f t="shared" si="105"/>
        <v>0</v>
      </c>
      <c r="Y47" s="137">
        <v>184.7423</v>
      </c>
      <c r="Z47" s="138">
        <f t="shared" si="106"/>
        <v>0.39999999998485691</v>
      </c>
      <c r="AA47" s="139">
        <f t="shared" si="107"/>
        <v>0.39999999998485691</v>
      </c>
      <c r="AB47" s="137">
        <v>184.7422</v>
      </c>
      <c r="AC47" s="138">
        <f t="shared" si="108"/>
        <v>-0.10000000000331966</v>
      </c>
      <c r="AD47" s="139">
        <f t="shared" si="109"/>
        <v>0.29999999998153726</v>
      </c>
      <c r="AE47" s="137">
        <v>184.74270000000001</v>
      </c>
      <c r="AF47" s="138">
        <f t="shared" si="110"/>
        <v>0.50000000001659828</v>
      </c>
      <c r="AG47" s="139">
        <f t="shared" si="111"/>
        <v>0.79999999999813554</v>
      </c>
      <c r="AH47" s="137">
        <v>184.7396</v>
      </c>
      <c r="AI47" s="138">
        <f t="shared" ref="AI47:AI51" si="152">(AH47-AE47)*1000</f>
        <v>-3.1000000000176442</v>
      </c>
      <c r="AJ47" s="139">
        <f t="shared" ref="AJ47:AJ51" si="153">AG47+AI47</f>
        <v>-2.3000000000195087</v>
      </c>
      <c r="AK47" s="137">
        <v>184.7372</v>
      </c>
      <c r="AL47" s="138">
        <f t="shared" si="114"/>
        <v>-2.3999999999944066</v>
      </c>
      <c r="AM47" s="139">
        <f t="shared" si="115"/>
        <v>-4.7000000000139153</v>
      </c>
      <c r="AN47" s="137">
        <v>184.7379</v>
      </c>
      <c r="AO47" s="138">
        <f t="shared" si="116"/>
        <v>0.69999999999481588</v>
      </c>
      <c r="AP47" s="139">
        <f t="shared" si="117"/>
        <v>-4.0000000000190994</v>
      </c>
      <c r="AQ47" s="148">
        <v>184.73830000000001</v>
      </c>
      <c r="AR47" s="140">
        <f t="shared" si="118"/>
        <v>0.40000000001327862</v>
      </c>
      <c r="AS47" s="140">
        <f t="shared" si="119"/>
        <v>-3.6000000000058208</v>
      </c>
      <c r="AT47" s="148">
        <v>184.73840000000001</v>
      </c>
      <c r="AU47" s="140">
        <f t="shared" si="120"/>
        <v>0.10000000000331966</v>
      </c>
      <c r="AV47" s="141">
        <f t="shared" si="121"/>
        <v>-3.5000000000025011</v>
      </c>
      <c r="AW47" s="136">
        <v>184.73870000000002</v>
      </c>
      <c r="AX47" s="140">
        <f t="shared" si="122"/>
        <v>0.30000000000995897</v>
      </c>
      <c r="AY47" s="140">
        <f t="shared" si="123"/>
        <v>-3.1999999999925421</v>
      </c>
      <c r="AZ47" s="136">
        <v>184.7389</v>
      </c>
      <c r="BA47" s="140">
        <f t="shared" si="144"/>
        <v>0.1999999999782176</v>
      </c>
      <c r="BB47" s="140">
        <f t="shared" si="145"/>
        <v>-3.0000000000143245</v>
      </c>
      <c r="BC47" s="137">
        <v>184.739</v>
      </c>
      <c r="BD47" s="140">
        <f t="shared" si="126"/>
        <v>0.10000000000331966</v>
      </c>
      <c r="BE47" s="140">
        <f t="shared" si="127"/>
        <v>-2.9000000000110049</v>
      </c>
      <c r="BF47" s="137">
        <v>184.7388</v>
      </c>
      <c r="BG47" s="140">
        <f t="shared" si="128"/>
        <v>-0.20000000000663931</v>
      </c>
      <c r="BH47" s="140">
        <f t="shared" si="129"/>
        <v>-3.1000000000176442</v>
      </c>
      <c r="BI47" s="137">
        <v>184.73929999999999</v>
      </c>
      <c r="BJ47" s="140">
        <f t="shared" si="146"/>
        <v>0.49999999998817657</v>
      </c>
      <c r="BK47" s="140">
        <f t="shared" si="147"/>
        <v>-2.6000000000294676</v>
      </c>
      <c r="BL47" s="137">
        <v>184.73909999999998</v>
      </c>
      <c r="BM47" s="140">
        <f t="shared" si="132"/>
        <v>-0.20000000000663931</v>
      </c>
      <c r="BN47" s="140">
        <f t="shared" si="133"/>
        <v>-2.8000000000361069</v>
      </c>
      <c r="BO47" s="137">
        <v>184.73849999999999</v>
      </c>
      <c r="BP47" s="140">
        <f t="shared" si="134"/>
        <v>-0.59999999999149622</v>
      </c>
      <c r="BQ47" s="140">
        <f t="shared" si="135"/>
        <v>-3.4000000000276032</v>
      </c>
      <c r="BR47" s="148">
        <v>184.73869999999999</v>
      </c>
      <c r="BS47" s="140">
        <f t="shared" si="136"/>
        <v>0.20000000000663931</v>
      </c>
      <c r="BT47" s="140">
        <f t="shared" si="137"/>
        <v>-3.2000000000209639</v>
      </c>
      <c r="BU47" s="142">
        <v>184.73859999999999</v>
      </c>
      <c r="BV47" s="140">
        <f t="shared" si="148"/>
        <v>-0.10000000000331966</v>
      </c>
      <c r="BW47" s="140">
        <f t="shared" si="149"/>
        <v>-3.3000000000242835</v>
      </c>
      <c r="BX47" s="142">
        <v>184.73849999999999</v>
      </c>
      <c r="BY47" s="140">
        <f t="shared" si="140"/>
        <v>-0.10000000000331966</v>
      </c>
      <c r="BZ47" s="140">
        <f t="shared" si="141"/>
        <v>-3.4000000000276032</v>
      </c>
      <c r="CA47" s="143">
        <v>27</v>
      </c>
      <c r="CB47" s="145">
        <f>(BZ50-BZ51)/CB46</f>
        <v>-2.0000000000257906E-4</v>
      </c>
    </row>
    <row r="48" spans="1:81" ht="15.6" customHeight="1" x14ac:dyDescent="0.25">
      <c r="C48" s="136">
        <v>28</v>
      </c>
      <c r="D48" s="137">
        <v>184.74020000000002</v>
      </c>
      <c r="E48" s="136">
        <v>0</v>
      </c>
      <c r="F48" s="138">
        <v>0</v>
      </c>
      <c r="G48" s="137">
        <v>184.73950000000002</v>
      </c>
      <c r="H48" s="136">
        <f t="shared" si="142"/>
        <v>-0.69999999999481588</v>
      </c>
      <c r="I48" s="139">
        <f t="shared" si="143"/>
        <v>-0.69999999999481588</v>
      </c>
      <c r="J48" s="137">
        <v>184.7398</v>
      </c>
      <c r="K48" s="136">
        <f t="shared" si="96"/>
        <v>0.29999999998153726</v>
      </c>
      <c r="L48" s="139">
        <f t="shared" si="97"/>
        <v>-0.40000000001327862</v>
      </c>
      <c r="M48" s="137">
        <v>184.7397</v>
      </c>
      <c r="N48" s="136">
        <f t="shared" si="98"/>
        <v>-0.10000000000331966</v>
      </c>
      <c r="O48" s="139">
        <f t="shared" si="99"/>
        <v>-0.50000000001659828</v>
      </c>
      <c r="P48" s="137">
        <v>184.74</v>
      </c>
      <c r="Q48" s="136">
        <f t="shared" si="100"/>
        <v>0.30000000000995897</v>
      </c>
      <c r="R48" s="139">
        <f t="shared" si="101"/>
        <v>-0.20000000000663931</v>
      </c>
      <c r="S48" s="137">
        <v>184.74010000000001</v>
      </c>
      <c r="T48" s="136">
        <f t="shared" si="102"/>
        <v>0.10000000000331966</v>
      </c>
      <c r="U48" s="139">
        <f t="shared" si="103"/>
        <v>-0.10000000000331966</v>
      </c>
      <c r="V48" s="137">
        <v>184.73990000000001</v>
      </c>
      <c r="W48" s="136">
        <f t="shared" si="104"/>
        <v>-0.20000000000663931</v>
      </c>
      <c r="X48" s="139">
        <f t="shared" si="105"/>
        <v>-0.30000000000995897</v>
      </c>
      <c r="Y48" s="137">
        <v>184.74039999999999</v>
      </c>
      <c r="Z48" s="136">
        <f t="shared" si="106"/>
        <v>0.49999999998817657</v>
      </c>
      <c r="AA48" s="139">
        <f t="shared" si="107"/>
        <v>0.1999999999782176</v>
      </c>
      <c r="AB48" s="137">
        <v>184.74010000000001</v>
      </c>
      <c r="AC48" s="136">
        <f t="shared" si="108"/>
        <v>-0.29999999998153726</v>
      </c>
      <c r="AD48" s="139">
        <f t="shared" si="109"/>
        <v>-0.10000000000331966</v>
      </c>
      <c r="AE48" s="137">
        <v>184.73990000000001</v>
      </c>
      <c r="AF48" s="136">
        <f t="shared" si="110"/>
        <v>-0.20000000000663931</v>
      </c>
      <c r="AG48" s="139">
        <f t="shared" si="111"/>
        <v>-0.30000000000995897</v>
      </c>
      <c r="AH48" s="137">
        <v>184.7381</v>
      </c>
      <c r="AI48" s="136">
        <f t="shared" si="152"/>
        <v>-1.8000000000029104</v>
      </c>
      <c r="AJ48" s="139">
        <f t="shared" si="153"/>
        <v>-2.1000000000128694</v>
      </c>
      <c r="AK48" s="137">
        <v>184.73580000000001</v>
      </c>
      <c r="AL48" s="136">
        <f t="shared" si="114"/>
        <v>-2.299999999991087</v>
      </c>
      <c r="AM48" s="139">
        <f t="shared" si="115"/>
        <v>-4.4000000000039563</v>
      </c>
      <c r="AN48" s="137">
        <v>184.7362</v>
      </c>
      <c r="AO48" s="136">
        <f t="shared" si="116"/>
        <v>0.39999999998485691</v>
      </c>
      <c r="AP48" s="139">
        <f t="shared" si="117"/>
        <v>-4.0000000000190994</v>
      </c>
      <c r="AQ48" s="148">
        <v>184.73679999999999</v>
      </c>
      <c r="AR48" s="140">
        <f t="shared" si="118"/>
        <v>0.59999999999149622</v>
      </c>
      <c r="AS48" s="140">
        <f t="shared" si="119"/>
        <v>-3.4000000000276032</v>
      </c>
      <c r="AT48" s="148">
        <v>184.73670000000001</v>
      </c>
      <c r="AU48" s="140">
        <f t="shared" si="120"/>
        <v>-9.9999999974897946E-2</v>
      </c>
      <c r="AV48" s="141">
        <f t="shared" si="121"/>
        <v>-3.5000000000025011</v>
      </c>
      <c r="AW48" s="136">
        <v>184.73710000000003</v>
      </c>
      <c r="AX48" s="140">
        <f t="shared" si="122"/>
        <v>0.40000000001327862</v>
      </c>
      <c r="AY48" s="140">
        <f t="shared" si="123"/>
        <v>-3.0999999999892225</v>
      </c>
      <c r="AZ48" s="136">
        <v>184.73760000000001</v>
      </c>
      <c r="BA48" s="140">
        <f t="shared" si="144"/>
        <v>0.49999999998817657</v>
      </c>
      <c r="BB48" s="140">
        <f t="shared" si="145"/>
        <v>-2.6000000000010459</v>
      </c>
      <c r="BC48" s="137">
        <v>184.73750000000001</v>
      </c>
      <c r="BD48" s="140">
        <f t="shared" si="126"/>
        <v>-0.10000000000331966</v>
      </c>
      <c r="BE48" s="140">
        <f t="shared" si="127"/>
        <v>-2.7000000000043656</v>
      </c>
      <c r="BF48" s="137">
        <v>184.73740000000001</v>
      </c>
      <c r="BG48" s="140">
        <f t="shared" si="128"/>
        <v>-0.10000000000331966</v>
      </c>
      <c r="BH48" s="140">
        <f t="shared" si="129"/>
        <v>-2.8000000000076852</v>
      </c>
      <c r="BI48" s="137">
        <v>184.7372</v>
      </c>
      <c r="BJ48" s="140">
        <f t="shared" si="146"/>
        <v>-0.20000000000663931</v>
      </c>
      <c r="BK48" s="140">
        <f t="shared" si="147"/>
        <v>-3.0000000000143245</v>
      </c>
      <c r="BL48" s="137">
        <v>184.73650000000001</v>
      </c>
      <c r="BM48" s="140">
        <f t="shared" si="132"/>
        <v>-0.69999999999481588</v>
      </c>
      <c r="BN48" s="140">
        <f t="shared" si="133"/>
        <v>-3.7000000000091404</v>
      </c>
      <c r="BO48" s="137">
        <v>184.73670000000001</v>
      </c>
      <c r="BP48" s="140">
        <f t="shared" si="134"/>
        <v>0.20000000000663931</v>
      </c>
      <c r="BQ48" s="140">
        <f t="shared" si="135"/>
        <v>-3.5000000000025011</v>
      </c>
      <c r="BR48" s="148">
        <v>184.73700000000002</v>
      </c>
      <c r="BS48" s="140">
        <f t="shared" si="136"/>
        <v>0.30000000000995897</v>
      </c>
      <c r="BT48" s="140">
        <f t="shared" si="137"/>
        <v>-3.1999999999925421</v>
      </c>
      <c r="BU48" s="142">
        <v>184.73710000000003</v>
      </c>
      <c r="BV48" s="140">
        <f t="shared" si="148"/>
        <v>0.10000000000331966</v>
      </c>
      <c r="BW48" s="140">
        <f t="shared" si="149"/>
        <v>-3.0999999999892225</v>
      </c>
      <c r="BX48" s="142">
        <v>184.73680000000002</v>
      </c>
      <c r="BY48" s="140">
        <f t="shared" si="140"/>
        <v>-0.30000000000995897</v>
      </c>
      <c r="BZ48" s="140">
        <f t="shared" si="141"/>
        <v>-3.3999999999991815</v>
      </c>
      <c r="CA48" s="143">
        <v>28</v>
      </c>
    </row>
    <row r="49" spans="1:81" ht="15.6" customHeight="1" x14ac:dyDescent="0.25">
      <c r="C49" s="136">
        <v>29</v>
      </c>
      <c r="D49" s="137">
        <v>184.74</v>
      </c>
      <c r="E49" s="136">
        <v>0</v>
      </c>
      <c r="F49" s="138">
        <v>0</v>
      </c>
      <c r="G49" s="137">
        <v>184.74019999999999</v>
      </c>
      <c r="H49" s="136">
        <f t="shared" si="142"/>
        <v>0.1999999999782176</v>
      </c>
      <c r="I49" s="139">
        <f t="shared" si="143"/>
        <v>0.1999999999782176</v>
      </c>
      <c r="J49" s="137">
        <v>184.74010000000001</v>
      </c>
      <c r="K49" s="136">
        <f t="shared" si="96"/>
        <v>-9.9999999974897946E-2</v>
      </c>
      <c r="L49" s="139">
        <f t="shared" si="97"/>
        <v>0.10000000000331966</v>
      </c>
      <c r="M49" s="137">
        <v>184.74019999999999</v>
      </c>
      <c r="N49" s="136">
        <f t="shared" si="98"/>
        <v>9.9999999974897946E-2</v>
      </c>
      <c r="O49" s="139">
        <f t="shared" si="99"/>
        <v>0.1999999999782176</v>
      </c>
      <c r="P49" s="137">
        <v>184.74039999999999</v>
      </c>
      <c r="Q49" s="136">
        <f t="shared" si="100"/>
        <v>0.20000000000663931</v>
      </c>
      <c r="R49" s="139">
        <f t="shared" si="101"/>
        <v>0.39999999998485691</v>
      </c>
      <c r="S49" s="137">
        <v>184.74019999999999</v>
      </c>
      <c r="T49" s="136">
        <f t="shared" si="102"/>
        <v>-0.20000000000663931</v>
      </c>
      <c r="U49" s="139">
        <f t="shared" si="103"/>
        <v>0.1999999999782176</v>
      </c>
      <c r="V49" s="137">
        <v>184.73910000000001</v>
      </c>
      <c r="W49" s="136">
        <f t="shared" si="104"/>
        <v>-1.0999999999796728</v>
      </c>
      <c r="X49" s="139">
        <f t="shared" si="105"/>
        <v>-0.90000000000145519</v>
      </c>
      <c r="Y49" s="137">
        <v>184.7397</v>
      </c>
      <c r="Z49" s="136">
        <f t="shared" si="106"/>
        <v>0.59999999999149622</v>
      </c>
      <c r="AA49" s="139">
        <f t="shared" si="107"/>
        <v>-0.30000000000995897</v>
      </c>
      <c r="AB49" s="137">
        <v>184.73929999999999</v>
      </c>
      <c r="AC49" s="136">
        <f t="shared" si="108"/>
        <v>-0.40000000001327862</v>
      </c>
      <c r="AD49" s="139">
        <f t="shared" si="109"/>
        <v>-0.70000000002323759</v>
      </c>
      <c r="AE49" s="137">
        <v>184.73990000000001</v>
      </c>
      <c r="AF49" s="136">
        <f t="shared" si="110"/>
        <v>0.60000000001991793</v>
      </c>
      <c r="AG49" s="139">
        <f t="shared" si="111"/>
        <v>-0.10000000000331966</v>
      </c>
      <c r="AH49" s="137">
        <v>184.73910000000001</v>
      </c>
      <c r="AI49" s="136">
        <f t="shared" si="152"/>
        <v>-0.79999999999813554</v>
      </c>
      <c r="AJ49" s="139">
        <f t="shared" si="153"/>
        <v>-0.90000000000145519</v>
      </c>
      <c r="AK49" s="137">
        <v>184.73679999999999</v>
      </c>
      <c r="AL49" s="136">
        <f t="shared" si="114"/>
        <v>-2.3000000000195087</v>
      </c>
      <c r="AM49" s="139">
        <f t="shared" si="115"/>
        <v>-3.2000000000209639</v>
      </c>
      <c r="AN49" s="137">
        <v>184.7373</v>
      </c>
      <c r="AO49" s="136">
        <f t="shared" si="116"/>
        <v>0.50000000001659828</v>
      </c>
      <c r="AP49" s="139">
        <f t="shared" si="117"/>
        <v>-2.7000000000043656</v>
      </c>
      <c r="AQ49" s="137">
        <v>184.73779999999999</v>
      </c>
      <c r="AR49" s="140">
        <f t="shared" si="118"/>
        <v>0.49999999998817657</v>
      </c>
      <c r="AS49" s="140">
        <f t="shared" si="119"/>
        <v>-2.200000000016189</v>
      </c>
      <c r="AT49" s="137">
        <v>184.73759999999999</v>
      </c>
      <c r="AU49" s="140">
        <f t="shared" si="120"/>
        <v>-0.20000000000663931</v>
      </c>
      <c r="AV49" s="140">
        <f t="shared" si="121"/>
        <v>-2.4000000000228283</v>
      </c>
      <c r="AW49" s="136">
        <v>184.73740000000001</v>
      </c>
      <c r="AX49" s="140">
        <f t="shared" si="122"/>
        <v>-0.1999999999782176</v>
      </c>
      <c r="AY49" s="140">
        <f t="shared" si="123"/>
        <v>-2.6000000000010459</v>
      </c>
      <c r="AZ49" s="136">
        <v>184.7372</v>
      </c>
      <c r="BA49" s="140">
        <f t="shared" si="144"/>
        <v>-0.20000000000663931</v>
      </c>
      <c r="BB49" s="140">
        <f t="shared" si="145"/>
        <v>-2.8000000000076852</v>
      </c>
      <c r="BC49" s="137">
        <v>184.73699999999999</v>
      </c>
      <c r="BD49" s="140">
        <f t="shared" si="126"/>
        <v>-0.20000000000663931</v>
      </c>
      <c r="BE49" s="140">
        <f t="shared" si="127"/>
        <v>-3.0000000000143245</v>
      </c>
      <c r="BF49" s="137">
        <v>184.73659999999998</v>
      </c>
      <c r="BG49" s="140">
        <f t="shared" si="128"/>
        <v>-0.40000000001327862</v>
      </c>
      <c r="BH49" s="140">
        <f t="shared" si="129"/>
        <v>-3.4000000000276032</v>
      </c>
      <c r="BI49" s="148">
        <v>184.73599999999999</v>
      </c>
      <c r="BJ49" s="140">
        <f t="shared" si="146"/>
        <v>-0.59999999999149622</v>
      </c>
      <c r="BK49" s="141">
        <f t="shared" si="147"/>
        <v>-4.0000000000190994</v>
      </c>
      <c r="BL49" s="148">
        <v>184.7364</v>
      </c>
      <c r="BM49" s="140">
        <f t="shared" si="132"/>
        <v>0.40000000001327862</v>
      </c>
      <c r="BN49" s="140">
        <f t="shared" si="133"/>
        <v>-3.6000000000058208</v>
      </c>
      <c r="BO49" s="148">
        <v>184.73590000000002</v>
      </c>
      <c r="BP49" s="140">
        <f t="shared" si="134"/>
        <v>-0.49999999998817657</v>
      </c>
      <c r="BQ49" s="141">
        <f t="shared" si="135"/>
        <v>-4.0999999999939973</v>
      </c>
      <c r="BR49" s="148">
        <v>184.7364</v>
      </c>
      <c r="BS49" s="140">
        <f t="shared" si="136"/>
        <v>0.49999999998817657</v>
      </c>
      <c r="BT49" s="140">
        <f t="shared" si="137"/>
        <v>-3.6000000000058208</v>
      </c>
      <c r="BU49" s="142">
        <v>184.73660000000001</v>
      </c>
      <c r="BV49" s="140">
        <f t="shared" si="148"/>
        <v>0.20000000000663931</v>
      </c>
      <c r="BW49" s="140">
        <f t="shared" si="149"/>
        <v>-3.3999999999991815</v>
      </c>
      <c r="BX49" s="142">
        <v>184.73690000000002</v>
      </c>
      <c r="BY49" s="140">
        <f t="shared" si="140"/>
        <v>0.30000000000995897</v>
      </c>
      <c r="BZ49" s="140">
        <f t="shared" si="141"/>
        <v>-3.0999999999892225</v>
      </c>
      <c r="CA49" s="143">
        <v>29</v>
      </c>
    </row>
    <row r="50" spans="1:81" ht="15.6" customHeight="1" x14ac:dyDescent="0.25">
      <c r="C50" s="136">
        <v>30</v>
      </c>
      <c r="D50" s="137">
        <v>185.05880000000002</v>
      </c>
      <c r="E50" s="136">
        <v>0</v>
      </c>
      <c r="F50" s="138">
        <v>0</v>
      </c>
      <c r="G50" s="137">
        <v>185.05799999999999</v>
      </c>
      <c r="H50" s="136">
        <f t="shared" si="142"/>
        <v>-0.80000000002655725</v>
      </c>
      <c r="I50" s="139">
        <f t="shared" si="143"/>
        <v>-0.80000000002655725</v>
      </c>
      <c r="J50" s="137">
        <v>185.0582</v>
      </c>
      <c r="K50" s="136">
        <f t="shared" si="96"/>
        <v>0.20000000000663931</v>
      </c>
      <c r="L50" s="139">
        <f t="shared" si="97"/>
        <v>-0.60000000001991793</v>
      </c>
      <c r="M50" s="137">
        <v>185.05850000000001</v>
      </c>
      <c r="N50" s="136">
        <f t="shared" si="98"/>
        <v>0.30000000000995897</v>
      </c>
      <c r="O50" s="139">
        <f t="shared" si="99"/>
        <v>-0.30000000000995897</v>
      </c>
      <c r="P50" s="137">
        <v>185.05869999999999</v>
      </c>
      <c r="Q50" s="136">
        <f t="shared" si="100"/>
        <v>0.1999999999782176</v>
      </c>
      <c r="R50" s="139">
        <f t="shared" si="101"/>
        <v>-0.10000000003174137</v>
      </c>
      <c r="S50" s="137">
        <v>185.05879999999999</v>
      </c>
      <c r="T50" s="136">
        <f t="shared" si="102"/>
        <v>0.10000000000331966</v>
      </c>
      <c r="U50" s="139">
        <f t="shared" si="103"/>
        <v>-2.8421709430404007E-11</v>
      </c>
      <c r="V50" s="137">
        <v>185.0574</v>
      </c>
      <c r="W50" s="136">
        <f t="shared" si="104"/>
        <v>-1.3999999999896318</v>
      </c>
      <c r="X50" s="139">
        <f t="shared" si="105"/>
        <v>-1.4000000000180535</v>
      </c>
      <c r="Y50" s="137">
        <v>185.05779999999999</v>
      </c>
      <c r="Z50" s="136">
        <f t="shared" si="106"/>
        <v>0.39999999998485691</v>
      </c>
      <c r="AA50" s="139">
        <f t="shared" si="107"/>
        <v>-1.0000000000331966</v>
      </c>
      <c r="AB50" s="137">
        <v>185.0573</v>
      </c>
      <c r="AC50" s="136">
        <f t="shared" si="108"/>
        <v>-0.49999999998817657</v>
      </c>
      <c r="AD50" s="139">
        <f t="shared" si="109"/>
        <v>-1.5000000000213731</v>
      </c>
      <c r="AE50" s="137">
        <v>185.0575</v>
      </c>
      <c r="AF50" s="136">
        <f t="shared" si="110"/>
        <v>0.20000000000663931</v>
      </c>
      <c r="AG50" s="139">
        <f t="shared" si="111"/>
        <v>-1.3000000000147338</v>
      </c>
      <c r="AH50" s="137">
        <v>185.05710000000002</v>
      </c>
      <c r="AI50" s="136">
        <f t="shared" si="152"/>
        <v>-0.39999999998485691</v>
      </c>
      <c r="AJ50" s="139">
        <f t="shared" si="153"/>
        <v>-1.6999999999995907</v>
      </c>
      <c r="AK50" s="137">
        <v>185.0547</v>
      </c>
      <c r="AL50" s="136">
        <f t="shared" si="114"/>
        <v>-2.4000000000228283</v>
      </c>
      <c r="AM50" s="139">
        <f t="shared" si="115"/>
        <v>-4.100000000022419</v>
      </c>
      <c r="AN50" s="137">
        <v>185.05529999999999</v>
      </c>
      <c r="AO50" s="136">
        <f t="shared" si="116"/>
        <v>0.59999999999149622</v>
      </c>
      <c r="AP50" s="139">
        <f t="shared" si="117"/>
        <v>-3.5000000000309228</v>
      </c>
      <c r="AQ50" s="137">
        <v>185.0557</v>
      </c>
      <c r="AR50" s="140">
        <f t="shared" si="118"/>
        <v>0.40000000001327862</v>
      </c>
      <c r="AS50" s="140">
        <f t="shared" si="119"/>
        <v>-3.1000000000176442</v>
      </c>
      <c r="AT50" s="137">
        <v>185.0556</v>
      </c>
      <c r="AU50" s="140">
        <f t="shared" si="120"/>
        <v>-0.10000000000331966</v>
      </c>
      <c r="AV50" s="140">
        <f t="shared" si="121"/>
        <v>-3.2000000000209639</v>
      </c>
      <c r="AW50" s="136">
        <v>185.05529999999999</v>
      </c>
      <c r="AX50" s="140">
        <f t="shared" si="122"/>
        <v>-0.30000000000995897</v>
      </c>
      <c r="AY50" s="141">
        <f t="shared" si="123"/>
        <v>-3.5000000000309228</v>
      </c>
      <c r="AZ50" s="136">
        <v>185.05520000000001</v>
      </c>
      <c r="BA50" s="140">
        <f t="shared" si="144"/>
        <v>-9.9999999974897946E-2</v>
      </c>
      <c r="BB50" s="141">
        <f t="shared" si="145"/>
        <v>-3.6000000000058208</v>
      </c>
      <c r="BC50" s="137">
        <v>185.05500000000001</v>
      </c>
      <c r="BD50" s="140">
        <f t="shared" si="126"/>
        <v>-0.20000000000663931</v>
      </c>
      <c r="BE50" s="141">
        <f t="shared" si="127"/>
        <v>-3.8000000000124601</v>
      </c>
      <c r="BF50" s="137">
        <v>185.0547</v>
      </c>
      <c r="BG50" s="140">
        <f t="shared" si="128"/>
        <v>-0.30000000000995897</v>
      </c>
      <c r="BH50" s="141">
        <f t="shared" si="129"/>
        <v>-4.100000000022419</v>
      </c>
      <c r="BI50" s="148">
        <v>185.0549</v>
      </c>
      <c r="BJ50" s="140">
        <f t="shared" si="146"/>
        <v>0.20000000000663931</v>
      </c>
      <c r="BK50" s="140">
        <f t="shared" si="147"/>
        <v>-3.9000000000157797</v>
      </c>
      <c r="BL50" s="148">
        <v>185.0547</v>
      </c>
      <c r="BM50" s="140">
        <f t="shared" si="132"/>
        <v>-0.20000000000663931</v>
      </c>
      <c r="BN50" s="141">
        <f t="shared" si="133"/>
        <v>-4.100000000022419</v>
      </c>
      <c r="BO50" s="148">
        <v>185.05500000000001</v>
      </c>
      <c r="BP50" s="140">
        <f t="shared" si="134"/>
        <v>0.30000000000995897</v>
      </c>
      <c r="BQ50" s="140">
        <f t="shared" si="135"/>
        <v>-3.8000000000124601</v>
      </c>
      <c r="BR50" s="148">
        <v>185.05510000000001</v>
      </c>
      <c r="BS50" s="140">
        <f t="shared" si="136"/>
        <v>0.10000000000331966</v>
      </c>
      <c r="BT50" s="141">
        <f t="shared" si="137"/>
        <v>-3.7000000000091404</v>
      </c>
      <c r="BU50" s="142">
        <v>185.0549</v>
      </c>
      <c r="BV50" s="140">
        <f t="shared" si="148"/>
        <v>-0.20000000000663931</v>
      </c>
      <c r="BW50" s="141">
        <f t="shared" si="149"/>
        <v>-3.9000000000157797</v>
      </c>
      <c r="BX50" s="142">
        <v>185.05510000000001</v>
      </c>
      <c r="BY50" s="140">
        <f t="shared" si="140"/>
        <v>0.20000000000663931</v>
      </c>
      <c r="BZ50" s="149">
        <f t="shared" si="141"/>
        <v>-3.7000000000091404</v>
      </c>
      <c r="CA50" s="150">
        <v>30</v>
      </c>
    </row>
    <row r="51" spans="1:81" ht="15.6" customHeight="1" x14ac:dyDescent="0.25">
      <c r="C51" s="136">
        <v>31</v>
      </c>
      <c r="D51" s="137">
        <v>185.05850000000001</v>
      </c>
      <c r="E51" s="136">
        <v>0</v>
      </c>
      <c r="F51" s="138">
        <v>0</v>
      </c>
      <c r="G51" s="137">
        <v>185.05799999999999</v>
      </c>
      <c r="H51" s="136">
        <f t="shared" si="142"/>
        <v>-0.50000000001659828</v>
      </c>
      <c r="I51" s="139">
        <f t="shared" si="143"/>
        <v>-0.50000000001659828</v>
      </c>
      <c r="J51" s="137">
        <v>185.0583</v>
      </c>
      <c r="K51" s="136">
        <f t="shared" si="96"/>
        <v>0.30000000000995897</v>
      </c>
      <c r="L51" s="139">
        <f t="shared" si="97"/>
        <v>-0.20000000000663931</v>
      </c>
      <c r="M51" s="137">
        <v>185.0582</v>
      </c>
      <c r="N51" s="136">
        <f t="shared" si="98"/>
        <v>-0.10000000000331966</v>
      </c>
      <c r="O51" s="139">
        <f t="shared" si="99"/>
        <v>-0.30000000000995897</v>
      </c>
      <c r="P51" s="137">
        <v>185.05860000000001</v>
      </c>
      <c r="Q51" s="136">
        <f t="shared" si="100"/>
        <v>0.40000000001327862</v>
      </c>
      <c r="R51" s="139">
        <f t="shared" si="101"/>
        <v>0.10000000000331966</v>
      </c>
      <c r="S51" s="137">
        <v>185.05840000000001</v>
      </c>
      <c r="T51" s="136">
        <f t="shared" si="102"/>
        <v>-0.20000000000663931</v>
      </c>
      <c r="U51" s="139">
        <f t="shared" si="103"/>
        <v>-0.10000000000331966</v>
      </c>
      <c r="V51" s="137">
        <v>185.0575</v>
      </c>
      <c r="W51" s="136">
        <f t="shared" si="104"/>
        <v>-0.90000000000145519</v>
      </c>
      <c r="X51" s="139">
        <f t="shared" si="105"/>
        <v>-1.0000000000047748</v>
      </c>
      <c r="Y51" s="137">
        <v>185.05799999999999</v>
      </c>
      <c r="Z51" s="136">
        <f t="shared" si="106"/>
        <v>0.49999999998817657</v>
      </c>
      <c r="AA51" s="139">
        <f t="shared" si="107"/>
        <v>-0.50000000001659828</v>
      </c>
      <c r="AB51" s="137">
        <v>185.0575</v>
      </c>
      <c r="AC51" s="136">
        <f t="shared" si="108"/>
        <v>-0.49999999998817657</v>
      </c>
      <c r="AD51" s="139">
        <f t="shared" si="109"/>
        <v>-1.0000000000047748</v>
      </c>
      <c r="AE51" s="137">
        <v>185.0575</v>
      </c>
      <c r="AF51" s="136">
        <f t="shared" si="110"/>
        <v>0</v>
      </c>
      <c r="AG51" s="139">
        <f t="shared" si="111"/>
        <v>-1.0000000000047748</v>
      </c>
      <c r="AH51" s="137">
        <v>185.05690000000001</v>
      </c>
      <c r="AI51" s="136">
        <f t="shared" si="152"/>
        <v>-0.59999999999149622</v>
      </c>
      <c r="AJ51" s="139">
        <f t="shared" si="153"/>
        <v>-1.5999999999962711</v>
      </c>
      <c r="AK51" s="137">
        <v>185.05459999999999</v>
      </c>
      <c r="AL51" s="136">
        <f t="shared" si="114"/>
        <v>-2.3000000000195087</v>
      </c>
      <c r="AM51" s="139">
        <f t="shared" si="115"/>
        <v>-3.9000000000157797</v>
      </c>
      <c r="AN51" s="137">
        <v>185.05529999999999</v>
      </c>
      <c r="AO51" s="136">
        <f t="shared" si="116"/>
        <v>0.69999999999481588</v>
      </c>
      <c r="AP51" s="139">
        <f t="shared" si="117"/>
        <v>-3.2000000000209639</v>
      </c>
      <c r="AQ51" s="137">
        <v>185.05590000000001</v>
      </c>
      <c r="AR51" s="140">
        <f t="shared" si="118"/>
        <v>0.60000000001991793</v>
      </c>
      <c r="AS51" s="140">
        <f t="shared" si="119"/>
        <v>-2.6000000000010459</v>
      </c>
      <c r="AT51" s="137">
        <v>185.0558</v>
      </c>
      <c r="AU51" s="140">
        <f t="shared" si="120"/>
        <v>-0.10000000000331966</v>
      </c>
      <c r="AV51" s="140">
        <f t="shared" si="121"/>
        <v>-2.7000000000043656</v>
      </c>
      <c r="AW51" s="136">
        <v>185.0557</v>
      </c>
      <c r="AX51" s="140">
        <f t="shared" si="122"/>
        <v>-0.10000000000331966</v>
      </c>
      <c r="AY51" s="140">
        <f t="shared" si="123"/>
        <v>-2.8000000000076852</v>
      </c>
      <c r="AZ51" s="136">
        <v>185.05549999999999</v>
      </c>
      <c r="BA51" s="140">
        <f t="shared" si="144"/>
        <v>-0.20000000000663931</v>
      </c>
      <c r="BB51" s="140">
        <f t="shared" si="145"/>
        <v>-3.0000000000143245</v>
      </c>
      <c r="BC51" s="136">
        <v>185.05519999999999</v>
      </c>
      <c r="BD51" s="140">
        <f t="shared" si="126"/>
        <v>-0.30000000000995897</v>
      </c>
      <c r="BE51" s="140">
        <f t="shared" si="127"/>
        <v>-3.3000000000242835</v>
      </c>
      <c r="BF51" s="137">
        <v>185.0547</v>
      </c>
      <c r="BG51" s="140">
        <f t="shared" si="128"/>
        <v>-0.49999999998817657</v>
      </c>
      <c r="BH51" s="140">
        <f t="shared" si="129"/>
        <v>-3.8000000000124601</v>
      </c>
      <c r="BI51" s="137">
        <v>185.05510000000001</v>
      </c>
      <c r="BJ51" s="140">
        <f t="shared" si="146"/>
        <v>0.40000000001327862</v>
      </c>
      <c r="BK51" s="140">
        <f t="shared" si="147"/>
        <v>-3.3999999999991815</v>
      </c>
      <c r="BL51" s="137">
        <v>185.05550000000002</v>
      </c>
      <c r="BM51" s="140">
        <f t="shared" si="132"/>
        <v>0.40000000001327862</v>
      </c>
      <c r="BN51" s="140">
        <f t="shared" si="133"/>
        <v>-2.9999999999859028</v>
      </c>
      <c r="BO51" s="137">
        <v>185.05600000000001</v>
      </c>
      <c r="BP51" s="140">
        <f t="shared" si="134"/>
        <v>0.49999999998817657</v>
      </c>
      <c r="BQ51" s="140">
        <f t="shared" si="135"/>
        <v>-2.4999999999977263</v>
      </c>
      <c r="BR51" s="148">
        <v>185.05590000000001</v>
      </c>
      <c r="BS51" s="140">
        <f t="shared" si="136"/>
        <v>-0.10000000000331966</v>
      </c>
      <c r="BT51" s="140">
        <f t="shared" si="137"/>
        <v>-2.6000000000010459</v>
      </c>
      <c r="BU51" s="142">
        <v>185.05590000000001</v>
      </c>
      <c r="BV51" s="140">
        <f t="shared" si="148"/>
        <v>0</v>
      </c>
      <c r="BW51" s="140">
        <f t="shared" si="149"/>
        <v>-2.6000000000010459</v>
      </c>
      <c r="BX51" s="142">
        <v>185.05620000000002</v>
      </c>
      <c r="BY51" s="140">
        <f t="shared" si="140"/>
        <v>0.30000000000995897</v>
      </c>
      <c r="BZ51" s="140">
        <f t="shared" si="141"/>
        <v>-2.299999999991087</v>
      </c>
      <c r="CA51" s="150">
        <v>31</v>
      </c>
    </row>
    <row r="52" spans="1:81" ht="15.6" customHeight="1" x14ac:dyDescent="0.25"/>
    <row r="53" spans="1:81" ht="15.6" customHeight="1" x14ac:dyDescent="0.25"/>
    <row r="54" spans="1:81" x14ac:dyDescent="0.25"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42"/>
      <c r="AU54" s="3"/>
      <c r="AV54" s="3"/>
      <c r="AW54" s="42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42"/>
      <c r="BJ54" s="3"/>
      <c r="BK54" s="3"/>
      <c r="BL54" s="42"/>
      <c r="BM54" s="3"/>
      <c r="BN54" s="3"/>
      <c r="BO54" s="42"/>
      <c r="BP54" s="3"/>
      <c r="BQ54" s="3"/>
      <c r="BR54" s="42"/>
      <c r="BS54" s="3"/>
      <c r="BT54" s="3"/>
      <c r="BU54" s="42"/>
      <c r="BV54" s="3"/>
      <c r="BW54" s="3"/>
      <c r="BX54" s="42"/>
      <c r="BY54" s="3"/>
      <c r="BZ54" s="3"/>
      <c r="CA54" s="4" t="s">
        <v>76</v>
      </c>
    </row>
    <row r="55" spans="1:81" x14ac:dyDescent="0.25">
      <c r="A55" s="134"/>
      <c r="B55" s="134"/>
      <c r="C55" s="177" t="s">
        <v>62</v>
      </c>
      <c r="D55" s="177"/>
      <c r="E55" s="177"/>
      <c r="F55" s="177"/>
      <c r="G55" s="177"/>
      <c r="H55" s="177"/>
      <c r="I55" s="177"/>
      <c r="J55" s="177"/>
      <c r="K55" s="177"/>
      <c r="L55" s="177"/>
      <c r="M55" s="177"/>
      <c r="N55" s="177"/>
      <c r="O55" s="177"/>
      <c r="P55" s="177"/>
      <c r="Q55" s="177"/>
      <c r="R55" s="177"/>
      <c r="S55" s="177"/>
      <c r="T55" s="177"/>
      <c r="U55" s="177"/>
      <c r="V55" s="177"/>
      <c r="W55" s="177"/>
      <c r="X55" s="177"/>
      <c r="Y55" s="177"/>
      <c r="Z55" s="177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  <c r="AK55" s="177"/>
      <c r="AL55" s="177"/>
      <c r="AM55" s="177"/>
      <c r="AN55" s="177"/>
      <c r="AO55" s="177"/>
      <c r="AP55" s="177"/>
      <c r="AQ55" s="177"/>
      <c r="AR55" s="177"/>
      <c r="AS55" s="177"/>
      <c r="AT55" s="177"/>
      <c r="AU55" s="177"/>
      <c r="AV55" s="177"/>
      <c r="AW55" s="177"/>
      <c r="AX55" s="177"/>
      <c r="AY55" s="177"/>
      <c r="AZ55" s="177"/>
      <c r="BA55" s="177"/>
      <c r="BB55" s="177"/>
      <c r="BC55" s="177"/>
      <c r="BD55" s="177"/>
      <c r="BE55" s="177"/>
      <c r="BF55" s="177"/>
      <c r="BG55" s="177"/>
      <c r="BH55" s="177"/>
      <c r="BI55" s="177"/>
      <c r="BJ55" s="177"/>
      <c r="BK55" s="177"/>
      <c r="BL55" s="177"/>
      <c r="BM55" s="177"/>
      <c r="BN55" s="177"/>
      <c r="BO55" s="177"/>
      <c r="BP55" s="177"/>
      <c r="BQ55" s="177"/>
      <c r="BR55" s="177"/>
      <c r="BS55" s="177"/>
      <c r="BT55" s="177"/>
      <c r="BU55" s="177"/>
      <c r="BV55" s="177"/>
      <c r="BW55" s="177"/>
      <c r="BX55" s="177"/>
      <c r="BY55" s="177"/>
      <c r="BZ55" s="177"/>
      <c r="CA55" s="177"/>
      <c r="CB55" s="134"/>
      <c r="CC55" s="134"/>
    </row>
    <row r="56" spans="1:81" ht="15" customHeight="1" x14ac:dyDescent="0.25">
      <c r="A56" s="134"/>
      <c r="B56" s="134"/>
      <c r="C56" s="177" t="s">
        <v>66</v>
      </c>
      <c r="D56" s="177"/>
      <c r="E56" s="177"/>
      <c r="F56" s="177"/>
      <c r="G56" s="177"/>
      <c r="H56" s="177"/>
      <c r="I56" s="177"/>
      <c r="J56" s="177"/>
      <c r="K56" s="177"/>
      <c r="L56" s="177"/>
      <c r="M56" s="177"/>
      <c r="N56" s="177"/>
      <c r="O56" s="177"/>
      <c r="P56" s="177"/>
      <c r="Q56" s="177"/>
      <c r="R56" s="177"/>
      <c r="S56" s="177"/>
      <c r="T56" s="177"/>
      <c r="U56" s="177"/>
      <c r="V56" s="177"/>
      <c r="W56" s="177"/>
      <c r="X56" s="177"/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  <c r="AK56" s="177"/>
      <c r="AL56" s="177"/>
      <c r="AM56" s="177"/>
      <c r="AN56" s="177"/>
      <c r="AO56" s="177"/>
      <c r="AP56" s="177"/>
      <c r="AQ56" s="177"/>
      <c r="AR56" s="177"/>
      <c r="AS56" s="177"/>
      <c r="AT56" s="177"/>
      <c r="AU56" s="177"/>
      <c r="AV56" s="177"/>
      <c r="AW56" s="177"/>
      <c r="AX56" s="177"/>
      <c r="AY56" s="177"/>
      <c r="AZ56" s="177"/>
      <c r="BA56" s="177"/>
      <c r="BB56" s="177"/>
      <c r="BC56" s="177"/>
      <c r="BD56" s="177"/>
      <c r="BE56" s="177"/>
      <c r="BF56" s="177"/>
      <c r="BG56" s="177"/>
      <c r="BH56" s="177"/>
      <c r="BI56" s="177"/>
      <c r="BJ56" s="177"/>
      <c r="BK56" s="177"/>
      <c r="BL56" s="177"/>
      <c r="BM56" s="177"/>
      <c r="BN56" s="177"/>
      <c r="BO56" s="177"/>
      <c r="BP56" s="177"/>
      <c r="BQ56" s="177"/>
      <c r="BR56" s="177"/>
      <c r="BS56" s="177"/>
      <c r="BT56" s="177"/>
      <c r="BU56" s="177"/>
      <c r="BV56" s="177"/>
      <c r="BW56" s="177"/>
      <c r="BX56" s="177"/>
      <c r="BY56" s="177"/>
      <c r="BZ56" s="177"/>
      <c r="CA56" s="177"/>
      <c r="CB56" s="134"/>
      <c r="CC56" s="134"/>
    </row>
    <row r="57" spans="1:81" ht="29.25" customHeight="1" x14ac:dyDescent="0.25">
      <c r="C57" s="178" t="s">
        <v>1</v>
      </c>
      <c r="D57" s="174" t="s">
        <v>185</v>
      </c>
      <c r="E57" s="175"/>
      <c r="F57" s="176"/>
      <c r="G57" s="174" t="s">
        <v>186</v>
      </c>
      <c r="H57" s="175"/>
      <c r="I57" s="176"/>
      <c r="J57" s="174" t="s">
        <v>187</v>
      </c>
      <c r="K57" s="175"/>
      <c r="L57" s="176"/>
      <c r="M57" s="174" t="s">
        <v>188</v>
      </c>
      <c r="N57" s="175"/>
      <c r="O57" s="176"/>
      <c r="P57" s="174" t="s">
        <v>189</v>
      </c>
      <c r="Q57" s="175"/>
      <c r="R57" s="176"/>
      <c r="S57" s="174" t="s">
        <v>190</v>
      </c>
      <c r="T57" s="175"/>
      <c r="U57" s="176"/>
      <c r="V57" s="174" t="s">
        <v>191</v>
      </c>
      <c r="W57" s="175"/>
      <c r="X57" s="176"/>
      <c r="Y57" s="174" t="s">
        <v>192</v>
      </c>
      <c r="Z57" s="175"/>
      <c r="AA57" s="176"/>
      <c r="AB57" s="174" t="s">
        <v>193</v>
      </c>
      <c r="AC57" s="175"/>
      <c r="AD57" s="176"/>
      <c r="AE57" s="174" t="s">
        <v>194</v>
      </c>
      <c r="AF57" s="175"/>
      <c r="AG57" s="176"/>
      <c r="AH57" s="174" t="s">
        <v>195</v>
      </c>
      <c r="AI57" s="175"/>
      <c r="AJ57" s="176"/>
      <c r="AK57" s="174" t="s">
        <v>196</v>
      </c>
      <c r="AL57" s="175"/>
      <c r="AM57" s="176"/>
      <c r="AN57" s="174" t="s">
        <v>197</v>
      </c>
      <c r="AO57" s="175"/>
      <c r="AP57" s="176"/>
      <c r="AQ57" s="174" t="s">
        <v>198</v>
      </c>
      <c r="AR57" s="175"/>
      <c r="AS57" s="176"/>
      <c r="AT57" s="174" t="s">
        <v>199</v>
      </c>
      <c r="AU57" s="175"/>
      <c r="AV57" s="176"/>
      <c r="AW57" s="174" t="s">
        <v>200</v>
      </c>
      <c r="AX57" s="175"/>
      <c r="AY57" s="176"/>
      <c r="AZ57" s="174" t="s">
        <v>201</v>
      </c>
      <c r="BA57" s="175"/>
      <c r="BB57" s="176"/>
      <c r="BC57" s="174" t="s">
        <v>202</v>
      </c>
      <c r="BD57" s="175"/>
      <c r="BE57" s="176"/>
      <c r="BF57" s="171" t="s">
        <v>203</v>
      </c>
      <c r="BG57" s="172"/>
      <c r="BH57" s="173"/>
      <c r="BI57" s="171" t="s">
        <v>204</v>
      </c>
      <c r="BJ57" s="172"/>
      <c r="BK57" s="173"/>
      <c r="BL57" s="171" t="s">
        <v>205</v>
      </c>
      <c r="BM57" s="172"/>
      <c r="BN57" s="173"/>
      <c r="BO57" s="171" t="s">
        <v>206</v>
      </c>
      <c r="BP57" s="172"/>
      <c r="BQ57" s="173"/>
      <c r="BR57" s="167" t="s">
        <v>207</v>
      </c>
      <c r="BS57" s="168"/>
      <c r="BT57" s="169"/>
      <c r="BU57" s="167" t="s">
        <v>208</v>
      </c>
      <c r="BV57" s="168"/>
      <c r="BW57" s="169"/>
      <c r="BX57" s="167" t="s">
        <v>214</v>
      </c>
      <c r="BY57" s="168"/>
      <c r="BZ57" s="169"/>
      <c r="CA57" s="178" t="s">
        <v>1</v>
      </c>
      <c r="CB57" s="9"/>
    </row>
    <row r="58" spans="1:81" ht="45.75" customHeight="1" x14ac:dyDescent="0.25">
      <c r="C58" s="179"/>
      <c r="D58" s="130" t="s">
        <v>2</v>
      </c>
      <c r="E58" s="130" t="s">
        <v>3</v>
      </c>
      <c r="F58" s="135" t="s">
        <v>4</v>
      </c>
      <c r="G58" s="130" t="s">
        <v>2</v>
      </c>
      <c r="H58" s="130" t="s">
        <v>3</v>
      </c>
      <c r="I58" s="135" t="s">
        <v>4</v>
      </c>
      <c r="J58" s="130" t="s">
        <v>2</v>
      </c>
      <c r="K58" s="130" t="s">
        <v>3</v>
      </c>
      <c r="L58" s="135" t="s">
        <v>4</v>
      </c>
      <c r="M58" s="130" t="s">
        <v>2</v>
      </c>
      <c r="N58" s="130" t="s">
        <v>3</v>
      </c>
      <c r="O58" s="135" t="s">
        <v>4</v>
      </c>
      <c r="P58" s="130" t="s">
        <v>2</v>
      </c>
      <c r="Q58" s="130" t="s">
        <v>3</v>
      </c>
      <c r="R58" s="135" t="s">
        <v>4</v>
      </c>
      <c r="S58" s="130" t="s">
        <v>2</v>
      </c>
      <c r="T58" s="130" t="s">
        <v>3</v>
      </c>
      <c r="U58" s="135" t="s">
        <v>4</v>
      </c>
      <c r="V58" s="130" t="s">
        <v>2</v>
      </c>
      <c r="W58" s="130" t="s">
        <v>3</v>
      </c>
      <c r="X58" s="135" t="s">
        <v>4</v>
      </c>
      <c r="Y58" s="130" t="s">
        <v>2</v>
      </c>
      <c r="Z58" s="130" t="s">
        <v>3</v>
      </c>
      <c r="AA58" s="135" t="s">
        <v>4</v>
      </c>
      <c r="AB58" s="130" t="s">
        <v>2</v>
      </c>
      <c r="AC58" s="130" t="s">
        <v>3</v>
      </c>
      <c r="AD58" s="135" t="s">
        <v>4</v>
      </c>
      <c r="AE58" s="130" t="s">
        <v>2</v>
      </c>
      <c r="AF58" s="130" t="s">
        <v>3</v>
      </c>
      <c r="AG58" s="135" t="s">
        <v>4</v>
      </c>
      <c r="AH58" s="130" t="s">
        <v>2</v>
      </c>
      <c r="AI58" s="130" t="s">
        <v>3</v>
      </c>
      <c r="AJ58" s="135" t="s">
        <v>4</v>
      </c>
      <c r="AK58" s="130" t="s">
        <v>2</v>
      </c>
      <c r="AL58" s="130" t="s">
        <v>3</v>
      </c>
      <c r="AM58" s="135" t="s">
        <v>4</v>
      </c>
      <c r="AN58" s="130" t="s">
        <v>2</v>
      </c>
      <c r="AO58" s="130" t="s">
        <v>3</v>
      </c>
      <c r="AP58" s="135" t="s">
        <v>4</v>
      </c>
      <c r="AQ58" s="130" t="s">
        <v>2</v>
      </c>
      <c r="AR58" s="130" t="s">
        <v>3</v>
      </c>
      <c r="AS58" s="135" t="s">
        <v>4</v>
      </c>
      <c r="AT58" s="130" t="s">
        <v>2</v>
      </c>
      <c r="AU58" s="130" t="s">
        <v>3</v>
      </c>
      <c r="AV58" s="135" t="s">
        <v>4</v>
      </c>
      <c r="AW58" s="130" t="s">
        <v>2</v>
      </c>
      <c r="AX58" s="130" t="s">
        <v>3</v>
      </c>
      <c r="AY58" s="135" t="s">
        <v>4</v>
      </c>
      <c r="AZ58" s="130" t="s">
        <v>2</v>
      </c>
      <c r="BA58" s="130" t="s">
        <v>3</v>
      </c>
      <c r="BB58" s="135" t="s">
        <v>4</v>
      </c>
      <c r="BC58" s="130" t="s">
        <v>2</v>
      </c>
      <c r="BD58" s="130" t="s">
        <v>3</v>
      </c>
      <c r="BE58" s="135" t="s">
        <v>4</v>
      </c>
      <c r="BF58" s="130" t="s">
        <v>2</v>
      </c>
      <c r="BG58" s="130" t="s">
        <v>3</v>
      </c>
      <c r="BH58" s="135" t="s">
        <v>4</v>
      </c>
      <c r="BI58" s="130" t="s">
        <v>2</v>
      </c>
      <c r="BJ58" s="130" t="s">
        <v>3</v>
      </c>
      <c r="BK58" s="135" t="s">
        <v>4</v>
      </c>
      <c r="BL58" s="130" t="s">
        <v>2</v>
      </c>
      <c r="BM58" s="130" t="s">
        <v>3</v>
      </c>
      <c r="BN58" s="135" t="s">
        <v>4</v>
      </c>
      <c r="BO58" s="130" t="s">
        <v>2</v>
      </c>
      <c r="BP58" s="130" t="s">
        <v>3</v>
      </c>
      <c r="BQ58" s="135" t="s">
        <v>4</v>
      </c>
      <c r="BR58" s="130" t="s">
        <v>2</v>
      </c>
      <c r="BS58" s="130" t="s">
        <v>3</v>
      </c>
      <c r="BT58" s="135" t="s">
        <v>4</v>
      </c>
      <c r="BU58" s="130" t="s">
        <v>2</v>
      </c>
      <c r="BV58" s="130" t="s">
        <v>3</v>
      </c>
      <c r="BW58" s="135" t="s">
        <v>4</v>
      </c>
      <c r="BX58" s="130" t="s">
        <v>2</v>
      </c>
      <c r="BY58" s="130" t="s">
        <v>3</v>
      </c>
      <c r="BZ58" s="135" t="s">
        <v>4</v>
      </c>
      <c r="CA58" s="179"/>
      <c r="CB58" s="9"/>
    </row>
    <row r="59" spans="1:81" x14ac:dyDescent="0.25">
      <c r="C59" s="136" t="s">
        <v>22</v>
      </c>
      <c r="D59" s="136">
        <v>182.7988</v>
      </c>
      <c r="E59" s="136">
        <v>0</v>
      </c>
      <c r="F59" s="138">
        <v>0</v>
      </c>
      <c r="G59" s="136">
        <v>182.79830000000001</v>
      </c>
      <c r="H59" s="136">
        <f>(G59-D59)*1000</f>
        <v>-0.49999999998817657</v>
      </c>
      <c r="I59" s="139">
        <f>F59+H59</f>
        <v>-0.49999999998817657</v>
      </c>
      <c r="J59" s="136">
        <v>182.79820000000001</v>
      </c>
      <c r="K59" s="136">
        <f t="shared" ref="K59:K66" si="154">(J59-G59)*1000</f>
        <v>-0.10000000000331966</v>
      </c>
      <c r="L59" s="139">
        <f t="shared" ref="L59:L66" si="155">I59+K59</f>
        <v>-0.59999999999149622</v>
      </c>
      <c r="M59" s="136" t="s">
        <v>69</v>
      </c>
      <c r="N59" s="136" t="s">
        <v>40</v>
      </c>
      <c r="O59" s="139">
        <f>L59</f>
        <v>-0.59999999999149622</v>
      </c>
      <c r="P59" s="136" t="s">
        <v>69</v>
      </c>
      <c r="Q59" s="136" t="s">
        <v>40</v>
      </c>
      <c r="R59" s="139">
        <f>O59</f>
        <v>-0.59999999999149622</v>
      </c>
      <c r="S59" s="136" t="s">
        <v>69</v>
      </c>
      <c r="T59" s="136" t="s">
        <v>40</v>
      </c>
      <c r="U59" s="139">
        <f>R59</f>
        <v>-0.59999999999149622</v>
      </c>
      <c r="V59" s="136" t="s">
        <v>69</v>
      </c>
      <c r="W59" s="136" t="s">
        <v>40</v>
      </c>
      <c r="X59" s="139">
        <f>U59</f>
        <v>-0.59999999999149622</v>
      </c>
      <c r="Y59" s="136" t="s">
        <v>69</v>
      </c>
      <c r="Z59" s="136" t="s">
        <v>40</v>
      </c>
      <c r="AA59" s="139">
        <f>X59</f>
        <v>-0.59999999999149622</v>
      </c>
      <c r="AB59" s="136" t="s">
        <v>69</v>
      </c>
      <c r="AC59" s="136" t="s">
        <v>40</v>
      </c>
      <c r="AD59" s="139">
        <f>AA59</f>
        <v>-0.59999999999149622</v>
      </c>
      <c r="AE59" s="136" t="s">
        <v>69</v>
      </c>
      <c r="AF59" s="136" t="s">
        <v>40</v>
      </c>
      <c r="AG59" s="139">
        <f>AD59</f>
        <v>-0.59999999999149622</v>
      </c>
      <c r="AH59" s="136" t="s">
        <v>69</v>
      </c>
      <c r="AI59" s="136" t="s">
        <v>40</v>
      </c>
      <c r="AJ59" s="139">
        <f>AG59</f>
        <v>-0.59999999999149622</v>
      </c>
      <c r="AK59" s="136" t="s">
        <v>69</v>
      </c>
      <c r="AL59" s="136" t="s">
        <v>40</v>
      </c>
      <c r="AM59" s="139">
        <f>AJ59</f>
        <v>-0.59999999999149622</v>
      </c>
      <c r="AN59" s="136" t="s">
        <v>69</v>
      </c>
      <c r="AO59" s="136" t="s">
        <v>40</v>
      </c>
      <c r="AP59" s="139">
        <f>AM59</f>
        <v>-0.59999999999149622</v>
      </c>
      <c r="AQ59" s="136" t="s">
        <v>69</v>
      </c>
      <c r="AR59" s="140" t="s">
        <v>80</v>
      </c>
      <c r="AS59" s="140">
        <f>AP59</f>
        <v>-0.59999999999149622</v>
      </c>
      <c r="AT59" s="137" t="s">
        <v>69</v>
      </c>
      <c r="AU59" s="140" t="s">
        <v>80</v>
      </c>
      <c r="AV59" s="140">
        <f>AS59</f>
        <v>-0.59999999999149622</v>
      </c>
      <c r="AW59" s="136" t="s">
        <v>69</v>
      </c>
      <c r="AX59" s="140" t="s">
        <v>80</v>
      </c>
      <c r="AY59" s="140">
        <f>AV59</f>
        <v>-0.59999999999149622</v>
      </c>
      <c r="AZ59" s="136" t="s">
        <v>69</v>
      </c>
      <c r="BA59" s="140" t="s">
        <v>80</v>
      </c>
      <c r="BB59" s="140">
        <f>AY59</f>
        <v>-0.59999999999149622</v>
      </c>
      <c r="BC59" s="136" t="s">
        <v>69</v>
      </c>
      <c r="BD59" s="140" t="s">
        <v>80</v>
      </c>
      <c r="BE59" s="140">
        <f>BB59</f>
        <v>-0.59999999999149622</v>
      </c>
      <c r="BF59" s="136" t="s">
        <v>69</v>
      </c>
      <c r="BG59" s="140" t="s">
        <v>80</v>
      </c>
      <c r="BH59" s="140">
        <f>BE59</f>
        <v>-0.59999999999149622</v>
      </c>
      <c r="BI59" s="137" t="s">
        <v>69</v>
      </c>
      <c r="BJ59" s="140" t="s">
        <v>80</v>
      </c>
      <c r="BK59" s="140">
        <f>BH59</f>
        <v>-0.59999999999149622</v>
      </c>
      <c r="BL59" s="137" t="s">
        <v>69</v>
      </c>
      <c r="BM59" s="140" t="s">
        <v>80</v>
      </c>
      <c r="BN59" s="140">
        <f>BK59</f>
        <v>-0.59999999999149622</v>
      </c>
      <c r="BO59" s="137" t="s">
        <v>69</v>
      </c>
      <c r="BP59" s="140" t="s">
        <v>80</v>
      </c>
      <c r="BQ59" s="140">
        <f>BN59</f>
        <v>-0.59999999999149622</v>
      </c>
      <c r="BR59" s="148" t="s">
        <v>69</v>
      </c>
      <c r="BS59" s="140" t="s">
        <v>80</v>
      </c>
      <c r="BT59" s="140">
        <f>BQ59</f>
        <v>-0.59999999999149622</v>
      </c>
      <c r="BU59" s="148" t="s">
        <v>69</v>
      </c>
      <c r="BV59" s="140" t="s">
        <v>80</v>
      </c>
      <c r="BW59" s="140">
        <f t="shared" ref="BW59:BW72" si="156">BT59</f>
        <v>-0.59999999999149622</v>
      </c>
      <c r="BX59" s="148" t="s">
        <v>69</v>
      </c>
      <c r="BY59" s="140" t="s">
        <v>80</v>
      </c>
      <c r="BZ59" s="140">
        <f t="shared" ref="BZ59:BZ72" si="157">BW59</f>
        <v>-0.59999999999149622</v>
      </c>
      <c r="CA59" s="143" t="s">
        <v>22</v>
      </c>
    </row>
    <row r="60" spans="1:81" x14ac:dyDescent="0.25">
      <c r="C60" s="136" t="s">
        <v>23</v>
      </c>
      <c r="D60" s="136">
        <v>181.6671</v>
      </c>
      <c r="E60" s="136">
        <v>0</v>
      </c>
      <c r="F60" s="138">
        <v>0</v>
      </c>
      <c r="G60" s="136">
        <v>181.6669</v>
      </c>
      <c r="H60" s="136">
        <f t="shared" ref="H60:H72" si="158">(G60-D60)*1000</f>
        <v>-0.20000000000663931</v>
      </c>
      <c r="I60" s="139">
        <f t="shared" ref="I60:I72" si="159">F60+H60</f>
        <v>-0.20000000000663931</v>
      </c>
      <c r="J60" s="136">
        <v>181.667</v>
      </c>
      <c r="K60" s="136">
        <f t="shared" si="154"/>
        <v>0.10000000000331966</v>
      </c>
      <c r="L60" s="139">
        <f t="shared" si="155"/>
        <v>-0.10000000000331966</v>
      </c>
      <c r="M60" s="137">
        <v>181.66730000000001</v>
      </c>
      <c r="N60" s="136">
        <f t="shared" ref="N60:N72" si="160">(M60-J60)*1000</f>
        <v>0.30000000000995897</v>
      </c>
      <c r="O60" s="139">
        <f t="shared" ref="O60:O72" si="161">L60+N60</f>
        <v>0.20000000000663931</v>
      </c>
      <c r="P60" s="137">
        <v>181.66720000000001</v>
      </c>
      <c r="Q60" s="136">
        <f t="shared" ref="Q60:Q69" si="162">(P60-M60)*1000</f>
        <v>-0.10000000000331966</v>
      </c>
      <c r="R60" s="139">
        <f t="shared" ref="R60:R69" si="163">O60+Q60</f>
        <v>0.10000000000331966</v>
      </c>
      <c r="S60" s="137">
        <v>181.66739999999999</v>
      </c>
      <c r="T60" s="136">
        <f t="shared" ref="T60:T67" si="164">(S60-P60)*1000</f>
        <v>0.1999999999782176</v>
      </c>
      <c r="U60" s="139">
        <f t="shared" ref="U60:U69" si="165">R60+T60</f>
        <v>0.29999999998153726</v>
      </c>
      <c r="V60" s="137">
        <v>181.66730000000001</v>
      </c>
      <c r="W60" s="136">
        <f t="shared" ref="W60:W67" si="166">(V60-S60)*1000</f>
        <v>-9.9999999974897946E-2</v>
      </c>
      <c r="X60" s="139">
        <f t="shared" ref="X60:X69" si="167">U60+W60</f>
        <v>0.20000000000663931</v>
      </c>
      <c r="Y60" s="137">
        <v>181.6671</v>
      </c>
      <c r="Z60" s="136">
        <f t="shared" ref="Z60:Z62" si="168">(Y60-V60)*1000</f>
        <v>-0.20000000000663931</v>
      </c>
      <c r="AA60" s="139">
        <f t="shared" ref="AA60:AA69" si="169">X60+Z60</f>
        <v>0</v>
      </c>
      <c r="AB60" s="137">
        <v>181.66720000000001</v>
      </c>
      <c r="AC60" s="136">
        <f t="shared" ref="AC60:AC61" si="170">(AB60-Y60)*1000</f>
        <v>0.10000000000331966</v>
      </c>
      <c r="AD60" s="139">
        <f t="shared" ref="AD60:AD61" si="171">AA60+AC60</f>
        <v>0.10000000000331966</v>
      </c>
      <c r="AE60" s="136" t="s">
        <v>69</v>
      </c>
      <c r="AF60" s="136" t="s">
        <v>40</v>
      </c>
      <c r="AG60" s="139">
        <f t="shared" ref="AG60:AG61" si="172">AD60</f>
        <v>0.10000000000331966</v>
      </c>
      <c r="AH60" s="136" t="s">
        <v>69</v>
      </c>
      <c r="AI60" s="136" t="s">
        <v>40</v>
      </c>
      <c r="AJ60" s="139">
        <f t="shared" ref="AJ60:AJ67" si="173">AG60</f>
        <v>0.10000000000331966</v>
      </c>
      <c r="AK60" s="136" t="s">
        <v>69</v>
      </c>
      <c r="AL60" s="136" t="s">
        <v>40</v>
      </c>
      <c r="AM60" s="139">
        <f t="shared" ref="AM60:AM67" si="174">AJ60</f>
        <v>0.10000000000331966</v>
      </c>
      <c r="AN60" s="136" t="s">
        <v>69</v>
      </c>
      <c r="AO60" s="136" t="s">
        <v>40</v>
      </c>
      <c r="AP60" s="139">
        <f t="shared" ref="AP60:AP67" si="175">AM60</f>
        <v>0.10000000000331966</v>
      </c>
      <c r="AQ60" s="136" t="s">
        <v>69</v>
      </c>
      <c r="AR60" s="140" t="s">
        <v>80</v>
      </c>
      <c r="AS60" s="140">
        <f t="shared" ref="AS60:AS67" si="176">AP60</f>
        <v>0.10000000000331966</v>
      </c>
      <c r="AT60" s="137" t="s">
        <v>69</v>
      </c>
      <c r="AU60" s="140" t="s">
        <v>80</v>
      </c>
      <c r="AV60" s="140">
        <f t="shared" ref="AV60:AV67" si="177">AS60</f>
        <v>0.10000000000331966</v>
      </c>
      <c r="AW60" s="136" t="s">
        <v>69</v>
      </c>
      <c r="AX60" s="140" t="s">
        <v>80</v>
      </c>
      <c r="AY60" s="140">
        <f t="shared" ref="AY60:AY67" si="178">AV60</f>
        <v>0.10000000000331966</v>
      </c>
      <c r="AZ60" s="136" t="s">
        <v>69</v>
      </c>
      <c r="BA60" s="140" t="s">
        <v>80</v>
      </c>
      <c r="BB60" s="140">
        <f t="shared" ref="BB60:BB67" si="179">AY60</f>
        <v>0.10000000000331966</v>
      </c>
      <c r="BC60" s="136" t="s">
        <v>69</v>
      </c>
      <c r="BD60" s="140" t="s">
        <v>80</v>
      </c>
      <c r="BE60" s="140">
        <f t="shared" ref="BE60:BE67" si="180">BB60</f>
        <v>0.10000000000331966</v>
      </c>
      <c r="BF60" s="136" t="s">
        <v>69</v>
      </c>
      <c r="BG60" s="140" t="s">
        <v>80</v>
      </c>
      <c r="BH60" s="140">
        <f t="shared" ref="BH60:BH67" si="181">BE60</f>
        <v>0.10000000000331966</v>
      </c>
      <c r="BI60" s="137" t="s">
        <v>69</v>
      </c>
      <c r="BJ60" s="140" t="s">
        <v>80</v>
      </c>
      <c r="BK60" s="140">
        <f t="shared" ref="BK60:BK67" si="182">BH60</f>
        <v>0.10000000000331966</v>
      </c>
      <c r="BL60" s="137" t="s">
        <v>69</v>
      </c>
      <c r="BM60" s="140" t="s">
        <v>80</v>
      </c>
      <c r="BN60" s="140">
        <f t="shared" ref="BN60:BN67" si="183">BK60</f>
        <v>0.10000000000331966</v>
      </c>
      <c r="BO60" s="137" t="s">
        <v>69</v>
      </c>
      <c r="BP60" s="140" t="s">
        <v>80</v>
      </c>
      <c r="BQ60" s="140">
        <f t="shared" ref="BQ60:BQ67" si="184">BN60</f>
        <v>0.10000000000331966</v>
      </c>
      <c r="BR60" s="148" t="s">
        <v>69</v>
      </c>
      <c r="BS60" s="140" t="s">
        <v>80</v>
      </c>
      <c r="BT60" s="140">
        <f t="shared" ref="BT60:BT67" si="185">BQ60</f>
        <v>0.10000000000331966</v>
      </c>
      <c r="BU60" s="148" t="s">
        <v>69</v>
      </c>
      <c r="BV60" s="140" t="s">
        <v>80</v>
      </c>
      <c r="BW60" s="140">
        <f t="shared" si="156"/>
        <v>0.10000000000331966</v>
      </c>
      <c r="BX60" s="148" t="s">
        <v>69</v>
      </c>
      <c r="BY60" s="140" t="s">
        <v>80</v>
      </c>
      <c r="BZ60" s="140">
        <f t="shared" si="157"/>
        <v>0.10000000000331966</v>
      </c>
      <c r="CA60" s="143" t="s">
        <v>23</v>
      </c>
    </row>
    <row r="61" spans="1:81" x14ac:dyDescent="0.25">
      <c r="C61" s="136" t="s">
        <v>24</v>
      </c>
      <c r="D61" s="136">
        <v>181.39170000000001</v>
      </c>
      <c r="E61" s="136">
        <v>0</v>
      </c>
      <c r="F61" s="138">
        <v>0</v>
      </c>
      <c r="G61" s="136">
        <v>181.39099999999999</v>
      </c>
      <c r="H61" s="136">
        <f t="shared" si="158"/>
        <v>-0.70000000002323759</v>
      </c>
      <c r="I61" s="139">
        <f t="shared" si="159"/>
        <v>-0.70000000002323759</v>
      </c>
      <c r="J61" s="136">
        <v>181.39080000000001</v>
      </c>
      <c r="K61" s="136">
        <f t="shared" si="154"/>
        <v>-0.1999999999782176</v>
      </c>
      <c r="L61" s="139">
        <f t="shared" si="155"/>
        <v>-0.90000000000145519</v>
      </c>
      <c r="M61" s="137">
        <v>181.39099999999999</v>
      </c>
      <c r="N61" s="136">
        <f t="shared" si="160"/>
        <v>0.1999999999782176</v>
      </c>
      <c r="O61" s="139">
        <f t="shared" si="161"/>
        <v>-0.70000000002323759</v>
      </c>
      <c r="P61" s="137">
        <v>181.3913</v>
      </c>
      <c r="Q61" s="136">
        <f t="shared" si="162"/>
        <v>0.30000000000995897</v>
      </c>
      <c r="R61" s="139">
        <f t="shared" si="163"/>
        <v>-0.40000000001327862</v>
      </c>
      <c r="S61" s="137">
        <v>181.3914</v>
      </c>
      <c r="T61" s="136">
        <f t="shared" si="164"/>
        <v>0.10000000000331966</v>
      </c>
      <c r="U61" s="139">
        <f t="shared" si="165"/>
        <v>-0.30000000000995897</v>
      </c>
      <c r="V61" s="137">
        <v>181.39160000000001</v>
      </c>
      <c r="W61" s="136">
        <f t="shared" si="166"/>
        <v>0.20000000000663931</v>
      </c>
      <c r="X61" s="139">
        <f t="shared" si="167"/>
        <v>-0.10000000000331966</v>
      </c>
      <c r="Y61" s="137">
        <v>181.39150000000001</v>
      </c>
      <c r="Z61" s="136">
        <f t="shared" si="168"/>
        <v>-0.10000000000331966</v>
      </c>
      <c r="AA61" s="139">
        <f t="shared" si="169"/>
        <v>-0.20000000000663931</v>
      </c>
      <c r="AB61" s="137">
        <v>181.39169999999999</v>
      </c>
      <c r="AC61" s="136">
        <f t="shared" si="170"/>
        <v>0.1999999999782176</v>
      </c>
      <c r="AD61" s="139">
        <f t="shared" si="171"/>
        <v>-2.8421709430404007E-11</v>
      </c>
      <c r="AE61" s="136" t="s">
        <v>69</v>
      </c>
      <c r="AF61" s="136" t="s">
        <v>40</v>
      </c>
      <c r="AG61" s="139">
        <f t="shared" si="172"/>
        <v>-2.8421709430404007E-11</v>
      </c>
      <c r="AH61" s="136" t="s">
        <v>69</v>
      </c>
      <c r="AI61" s="136" t="s">
        <v>40</v>
      </c>
      <c r="AJ61" s="139">
        <f t="shared" si="173"/>
        <v>-2.8421709430404007E-11</v>
      </c>
      <c r="AK61" s="136" t="s">
        <v>69</v>
      </c>
      <c r="AL61" s="136" t="s">
        <v>40</v>
      </c>
      <c r="AM61" s="139">
        <f t="shared" si="174"/>
        <v>-2.8421709430404007E-11</v>
      </c>
      <c r="AN61" s="136" t="s">
        <v>69</v>
      </c>
      <c r="AO61" s="136" t="s">
        <v>40</v>
      </c>
      <c r="AP61" s="139">
        <f t="shared" si="175"/>
        <v>-2.8421709430404007E-11</v>
      </c>
      <c r="AQ61" s="136" t="s">
        <v>69</v>
      </c>
      <c r="AR61" s="140" t="s">
        <v>80</v>
      </c>
      <c r="AS61" s="140">
        <f t="shared" si="176"/>
        <v>-2.8421709430404007E-11</v>
      </c>
      <c r="AT61" s="137" t="s">
        <v>69</v>
      </c>
      <c r="AU61" s="140" t="s">
        <v>80</v>
      </c>
      <c r="AV61" s="140">
        <f t="shared" si="177"/>
        <v>-2.8421709430404007E-11</v>
      </c>
      <c r="AW61" s="136" t="s">
        <v>69</v>
      </c>
      <c r="AX61" s="140" t="s">
        <v>80</v>
      </c>
      <c r="AY61" s="140">
        <f t="shared" si="178"/>
        <v>-2.8421709430404007E-11</v>
      </c>
      <c r="AZ61" s="136" t="s">
        <v>69</v>
      </c>
      <c r="BA61" s="140" t="s">
        <v>80</v>
      </c>
      <c r="BB61" s="140">
        <f t="shared" si="179"/>
        <v>-2.8421709430404007E-11</v>
      </c>
      <c r="BC61" s="136" t="s">
        <v>69</v>
      </c>
      <c r="BD61" s="140" t="s">
        <v>80</v>
      </c>
      <c r="BE61" s="140">
        <f t="shared" si="180"/>
        <v>-2.8421709430404007E-11</v>
      </c>
      <c r="BF61" s="136" t="s">
        <v>69</v>
      </c>
      <c r="BG61" s="140" t="s">
        <v>80</v>
      </c>
      <c r="BH61" s="140">
        <f t="shared" si="181"/>
        <v>-2.8421709430404007E-11</v>
      </c>
      <c r="BI61" s="137" t="s">
        <v>69</v>
      </c>
      <c r="BJ61" s="140" t="s">
        <v>80</v>
      </c>
      <c r="BK61" s="140">
        <f t="shared" si="182"/>
        <v>-2.8421709430404007E-11</v>
      </c>
      <c r="BL61" s="137" t="s">
        <v>69</v>
      </c>
      <c r="BM61" s="140" t="s">
        <v>80</v>
      </c>
      <c r="BN61" s="140">
        <f t="shared" si="183"/>
        <v>-2.8421709430404007E-11</v>
      </c>
      <c r="BO61" s="137" t="s">
        <v>69</v>
      </c>
      <c r="BP61" s="140" t="s">
        <v>80</v>
      </c>
      <c r="BQ61" s="140">
        <f t="shared" si="184"/>
        <v>-2.8421709430404007E-11</v>
      </c>
      <c r="BR61" s="148" t="s">
        <v>69</v>
      </c>
      <c r="BS61" s="140" t="s">
        <v>80</v>
      </c>
      <c r="BT61" s="140">
        <f t="shared" si="185"/>
        <v>-2.8421709430404007E-11</v>
      </c>
      <c r="BU61" s="148" t="s">
        <v>69</v>
      </c>
      <c r="BV61" s="140" t="s">
        <v>80</v>
      </c>
      <c r="BW61" s="140">
        <f t="shared" si="156"/>
        <v>-2.8421709430404007E-11</v>
      </c>
      <c r="BX61" s="148" t="s">
        <v>69</v>
      </c>
      <c r="BY61" s="140" t="s">
        <v>80</v>
      </c>
      <c r="BZ61" s="140">
        <f t="shared" si="157"/>
        <v>-2.8421709430404007E-11</v>
      </c>
      <c r="CA61" s="143" t="s">
        <v>24</v>
      </c>
    </row>
    <row r="62" spans="1:81" x14ac:dyDescent="0.25">
      <c r="C62" s="136" t="s">
        <v>25</v>
      </c>
      <c r="D62" s="136">
        <v>181.5326</v>
      </c>
      <c r="E62" s="136">
        <v>0</v>
      </c>
      <c r="F62" s="138">
        <v>0</v>
      </c>
      <c r="G62" s="136">
        <v>181.53229999999999</v>
      </c>
      <c r="H62" s="136">
        <f t="shared" si="158"/>
        <v>-0.30000000000995897</v>
      </c>
      <c r="I62" s="139">
        <f t="shared" si="159"/>
        <v>-0.30000000000995897</v>
      </c>
      <c r="J62" s="136">
        <v>181.53219999999999</v>
      </c>
      <c r="K62" s="136">
        <f t="shared" si="154"/>
        <v>-0.10000000000331966</v>
      </c>
      <c r="L62" s="139">
        <f t="shared" si="155"/>
        <v>-0.40000000001327862</v>
      </c>
      <c r="M62" s="137">
        <v>181.53210000000001</v>
      </c>
      <c r="N62" s="136">
        <f t="shared" si="160"/>
        <v>-9.9999999974897946E-2</v>
      </c>
      <c r="O62" s="139">
        <f t="shared" si="161"/>
        <v>-0.49999999998817657</v>
      </c>
      <c r="P62" s="137">
        <v>181.53219999999999</v>
      </c>
      <c r="Q62" s="136">
        <f t="shared" si="162"/>
        <v>9.9999999974897946E-2</v>
      </c>
      <c r="R62" s="139">
        <f t="shared" si="163"/>
        <v>-0.40000000001327862</v>
      </c>
      <c r="S62" s="137">
        <v>181.53210000000001</v>
      </c>
      <c r="T62" s="136">
        <f t="shared" si="164"/>
        <v>-9.9999999974897946E-2</v>
      </c>
      <c r="U62" s="139">
        <f t="shared" si="165"/>
        <v>-0.49999999998817657</v>
      </c>
      <c r="V62" s="137">
        <v>181.53219999999999</v>
      </c>
      <c r="W62" s="136">
        <f t="shared" si="166"/>
        <v>9.9999999974897946E-2</v>
      </c>
      <c r="X62" s="139">
        <f t="shared" si="167"/>
        <v>-0.40000000001327862</v>
      </c>
      <c r="Y62" s="137">
        <v>181.53200000000001</v>
      </c>
      <c r="Z62" s="136">
        <f t="shared" si="168"/>
        <v>-0.1999999999782176</v>
      </c>
      <c r="AA62" s="139">
        <f t="shared" si="169"/>
        <v>-0.59999999999149622</v>
      </c>
      <c r="AB62" s="137" t="s">
        <v>69</v>
      </c>
      <c r="AC62" s="138" t="s">
        <v>40</v>
      </c>
      <c r="AD62" s="139">
        <f t="shared" ref="AD62" si="186">AA62</f>
        <v>-0.59999999999149622</v>
      </c>
      <c r="AE62" s="137" t="s">
        <v>69</v>
      </c>
      <c r="AF62" s="138" t="s">
        <v>40</v>
      </c>
      <c r="AG62" s="139">
        <f t="shared" ref="AG62:AG67" si="187">AD62</f>
        <v>-0.59999999999149622</v>
      </c>
      <c r="AH62" s="137" t="s">
        <v>69</v>
      </c>
      <c r="AI62" s="138" t="s">
        <v>40</v>
      </c>
      <c r="AJ62" s="139">
        <f t="shared" si="173"/>
        <v>-0.59999999999149622</v>
      </c>
      <c r="AK62" s="137" t="s">
        <v>69</v>
      </c>
      <c r="AL62" s="138" t="s">
        <v>40</v>
      </c>
      <c r="AM62" s="139">
        <f t="shared" si="174"/>
        <v>-0.59999999999149622</v>
      </c>
      <c r="AN62" s="137" t="s">
        <v>69</v>
      </c>
      <c r="AO62" s="138" t="s">
        <v>40</v>
      </c>
      <c r="AP62" s="139">
        <f t="shared" si="175"/>
        <v>-0.59999999999149622</v>
      </c>
      <c r="AQ62" s="136" t="s">
        <v>69</v>
      </c>
      <c r="AR62" s="140" t="s">
        <v>80</v>
      </c>
      <c r="AS62" s="140">
        <f t="shared" si="176"/>
        <v>-0.59999999999149622</v>
      </c>
      <c r="AT62" s="137" t="s">
        <v>69</v>
      </c>
      <c r="AU62" s="140" t="s">
        <v>80</v>
      </c>
      <c r="AV62" s="140">
        <f t="shared" si="177"/>
        <v>-0.59999999999149622</v>
      </c>
      <c r="AW62" s="136" t="s">
        <v>69</v>
      </c>
      <c r="AX62" s="140" t="s">
        <v>80</v>
      </c>
      <c r="AY62" s="140">
        <f t="shared" si="178"/>
        <v>-0.59999999999149622</v>
      </c>
      <c r="AZ62" s="136" t="s">
        <v>69</v>
      </c>
      <c r="BA62" s="140" t="s">
        <v>80</v>
      </c>
      <c r="BB62" s="140">
        <f t="shared" si="179"/>
        <v>-0.59999999999149622</v>
      </c>
      <c r="BC62" s="136" t="s">
        <v>69</v>
      </c>
      <c r="BD62" s="140" t="s">
        <v>80</v>
      </c>
      <c r="BE62" s="140">
        <f t="shared" si="180"/>
        <v>-0.59999999999149622</v>
      </c>
      <c r="BF62" s="136" t="s">
        <v>69</v>
      </c>
      <c r="BG62" s="140" t="s">
        <v>80</v>
      </c>
      <c r="BH62" s="140">
        <f t="shared" si="181"/>
        <v>-0.59999999999149622</v>
      </c>
      <c r="BI62" s="137" t="s">
        <v>69</v>
      </c>
      <c r="BJ62" s="140" t="s">
        <v>80</v>
      </c>
      <c r="BK62" s="140">
        <f t="shared" si="182"/>
        <v>-0.59999999999149622</v>
      </c>
      <c r="BL62" s="137" t="s">
        <v>69</v>
      </c>
      <c r="BM62" s="140" t="s">
        <v>80</v>
      </c>
      <c r="BN62" s="140">
        <f t="shared" si="183"/>
        <v>-0.59999999999149622</v>
      </c>
      <c r="BO62" s="137" t="s">
        <v>69</v>
      </c>
      <c r="BP62" s="140" t="s">
        <v>80</v>
      </c>
      <c r="BQ62" s="140">
        <f t="shared" si="184"/>
        <v>-0.59999999999149622</v>
      </c>
      <c r="BR62" s="148" t="s">
        <v>69</v>
      </c>
      <c r="BS62" s="140" t="s">
        <v>80</v>
      </c>
      <c r="BT62" s="140">
        <f t="shared" si="185"/>
        <v>-0.59999999999149622</v>
      </c>
      <c r="BU62" s="148" t="s">
        <v>69</v>
      </c>
      <c r="BV62" s="140" t="s">
        <v>80</v>
      </c>
      <c r="BW62" s="140">
        <f t="shared" si="156"/>
        <v>-0.59999999999149622</v>
      </c>
      <c r="BX62" s="148" t="s">
        <v>69</v>
      </c>
      <c r="BY62" s="140" t="s">
        <v>80</v>
      </c>
      <c r="BZ62" s="140">
        <f t="shared" si="157"/>
        <v>-0.59999999999149622</v>
      </c>
      <c r="CA62" s="143" t="s">
        <v>25</v>
      </c>
    </row>
    <row r="63" spans="1:81" x14ac:dyDescent="0.25">
      <c r="C63" s="136" t="s">
        <v>26</v>
      </c>
      <c r="D63" s="136">
        <v>180.69220000000001</v>
      </c>
      <c r="E63" s="136">
        <v>0</v>
      </c>
      <c r="F63" s="138">
        <v>0</v>
      </c>
      <c r="G63" s="136">
        <v>180.69149999999999</v>
      </c>
      <c r="H63" s="136">
        <f t="shared" si="158"/>
        <v>-0.70000000002323759</v>
      </c>
      <c r="I63" s="139">
        <f t="shared" si="159"/>
        <v>-0.70000000002323759</v>
      </c>
      <c r="J63" s="136">
        <v>180.69130000000001</v>
      </c>
      <c r="K63" s="136">
        <f t="shared" si="154"/>
        <v>-0.1999999999782176</v>
      </c>
      <c r="L63" s="139">
        <f t="shared" si="155"/>
        <v>-0.90000000000145519</v>
      </c>
      <c r="M63" s="137">
        <v>180.691</v>
      </c>
      <c r="N63" s="136">
        <f t="shared" si="160"/>
        <v>-0.30000000000995897</v>
      </c>
      <c r="O63" s="139">
        <f t="shared" si="161"/>
        <v>-1.2000000000114142</v>
      </c>
      <c r="P63" s="137">
        <v>180.69120000000001</v>
      </c>
      <c r="Q63" s="136">
        <f t="shared" si="162"/>
        <v>0.20000000000663931</v>
      </c>
      <c r="R63" s="139">
        <f t="shared" si="163"/>
        <v>-1.0000000000047748</v>
      </c>
      <c r="S63" s="137">
        <v>180.69139999999999</v>
      </c>
      <c r="T63" s="136">
        <f t="shared" si="164"/>
        <v>0.1999999999782176</v>
      </c>
      <c r="U63" s="139">
        <f t="shared" si="165"/>
        <v>-0.80000000002655725</v>
      </c>
      <c r="V63" s="137">
        <v>180.69139999999999</v>
      </c>
      <c r="W63" s="138">
        <f t="shared" si="166"/>
        <v>0</v>
      </c>
      <c r="X63" s="139">
        <f t="shared" si="167"/>
        <v>-0.80000000002655725</v>
      </c>
      <c r="Y63" s="137" t="s">
        <v>69</v>
      </c>
      <c r="Z63" s="138" t="s">
        <v>40</v>
      </c>
      <c r="AA63" s="139">
        <f t="shared" ref="AA63:AA67" si="188">X63</f>
        <v>-0.80000000002655725</v>
      </c>
      <c r="AB63" s="137" t="s">
        <v>69</v>
      </c>
      <c r="AC63" s="138" t="s">
        <v>40</v>
      </c>
      <c r="AD63" s="139">
        <f t="shared" ref="AD63:AD67" si="189">AA63</f>
        <v>-0.80000000002655725</v>
      </c>
      <c r="AE63" s="137" t="s">
        <v>69</v>
      </c>
      <c r="AF63" s="138" t="s">
        <v>40</v>
      </c>
      <c r="AG63" s="139">
        <f t="shared" si="187"/>
        <v>-0.80000000002655725</v>
      </c>
      <c r="AH63" s="137" t="s">
        <v>69</v>
      </c>
      <c r="AI63" s="138" t="s">
        <v>40</v>
      </c>
      <c r="AJ63" s="139">
        <f t="shared" si="173"/>
        <v>-0.80000000002655725</v>
      </c>
      <c r="AK63" s="137" t="s">
        <v>69</v>
      </c>
      <c r="AL63" s="138" t="s">
        <v>40</v>
      </c>
      <c r="AM63" s="139">
        <f t="shared" si="174"/>
        <v>-0.80000000002655725</v>
      </c>
      <c r="AN63" s="137" t="s">
        <v>69</v>
      </c>
      <c r="AO63" s="138" t="s">
        <v>40</v>
      </c>
      <c r="AP63" s="139">
        <f t="shared" si="175"/>
        <v>-0.80000000002655725</v>
      </c>
      <c r="AQ63" s="136" t="s">
        <v>69</v>
      </c>
      <c r="AR63" s="140" t="s">
        <v>80</v>
      </c>
      <c r="AS63" s="140">
        <f t="shared" si="176"/>
        <v>-0.80000000002655725</v>
      </c>
      <c r="AT63" s="137" t="s">
        <v>69</v>
      </c>
      <c r="AU63" s="140" t="s">
        <v>80</v>
      </c>
      <c r="AV63" s="140">
        <f t="shared" si="177"/>
        <v>-0.80000000002655725</v>
      </c>
      <c r="AW63" s="136" t="s">
        <v>69</v>
      </c>
      <c r="AX63" s="140" t="s">
        <v>80</v>
      </c>
      <c r="AY63" s="140">
        <f t="shared" si="178"/>
        <v>-0.80000000002655725</v>
      </c>
      <c r="AZ63" s="136" t="s">
        <v>69</v>
      </c>
      <c r="BA63" s="140" t="s">
        <v>80</v>
      </c>
      <c r="BB63" s="140">
        <f t="shared" si="179"/>
        <v>-0.80000000002655725</v>
      </c>
      <c r="BC63" s="136" t="s">
        <v>69</v>
      </c>
      <c r="BD63" s="140" t="s">
        <v>80</v>
      </c>
      <c r="BE63" s="140">
        <f t="shared" si="180"/>
        <v>-0.80000000002655725</v>
      </c>
      <c r="BF63" s="136" t="s">
        <v>69</v>
      </c>
      <c r="BG63" s="140" t="s">
        <v>80</v>
      </c>
      <c r="BH63" s="140">
        <f t="shared" si="181"/>
        <v>-0.80000000002655725</v>
      </c>
      <c r="BI63" s="137" t="s">
        <v>69</v>
      </c>
      <c r="BJ63" s="140" t="s">
        <v>80</v>
      </c>
      <c r="BK63" s="140">
        <f t="shared" si="182"/>
        <v>-0.80000000002655725</v>
      </c>
      <c r="BL63" s="137" t="s">
        <v>69</v>
      </c>
      <c r="BM63" s="140" t="s">
        <v>80</v>
      </c>
      <c r="BN63" s="140">
        <f t="shared" si="183"/>
        <v>-0.80000000002655725</v>
      </c>
      <c r="BO63" s="137" t="s">
        <v>69</v>
      </c>
      <c r="BP63" s="140" t="s">
        <v>80</v>
      </c>
      <c r="BQ63" s="140">
        <f t="shared" si="184"/>
        <v>-0.80000000002655725</v>
      </c>
      <c r="BR63" s="148" t="s">
        <v>69</v>
      </c>
      <c r="BS63" s="140" t="s">
        <v>80</v>
      </c>
      <c r="BT63" s="140">
        <f t="shared" si="185"/>
        <v>-0.80000000002655725</v>
      </c>
      <c r="BU63" s="148" t="s">
        <v>69</v>
      </c>
      <c r="BV63" s="140" t="s">
        <v>80</v>
      </c>
      <c r="BW63" s="140">
        <f t="shared" si="156"/>
        <v>-0.80000000002655725</v>
      </c>
      <c r="BX63" s="148" t="s">
        <v>69</v>
      </c>
      <c r="BY63" s="140" t="s">
        <v>80</v>
      </c>
      <c r="BZ63" s="140">
        <f t="shared" si="157"/>
        <v>-0.80000000002655725</v>
      </c>
      <c r="CA63" s="143" t="s">
        <v>26</v>
      </c>
    </row>
    <row r="64" spans="1:81" x14ac:dyDescent="0.25">
      <c r="C64" s="136" t="s">
        <v>27</v>
      </c>
      <c r="D64" s="136">
        <v>180.73820000000001</v>
      </c>
      <c r="E64" s="136">
        <v>0</v>
      </c>
      <c r="F64" s="138">
        <v>0</v>
      </c>
      <c r="G64" s="136">
        <v>180.738</v>
      </c>
      <c r="H64" s="136">
        <f t="shared" si="158"/>
        <v>-0.20000000000663931</v>
      </c>
      <c r="I64" s="139">
        <f t="shared" si="159"/>
        <v>-0.20000000000663931</v>
      </c>
      <c r="J64" s="136">
        <v>180.73769999999999</v>
      </c>
      <c r="K64" s="136">
        <f t="shared" si="154"/>
        <v>-0.30000000000995897</v>
      </c>
      <c r="L64" s="139">
        <f t="shared" si="155"/>
        <v>-0.50000000001659828</v>
      </c>
      <c r="M64" s="137">
        <v>180.7379</v>
      </c>
      <c r="N64" s="136">
        <f t="shared" si="160"/>
        <v>0.20000000000663931</v>
      </c>
      <c r="O64" s="139">
        <f t="shared" si="161"/>
        <v>-0.30000000000995897</v>
      </c>
      <c r="P64" s="137">
        <v>180.73830000000001</v>
      </c>
      <c r="Q64" s="136">
        <f t="shared" si="162"/>
        <v>0.40000000001327862</v>
      </c>
      <c r="R64" s="139">
        <f t="shared" si="163"/>
        <v>0.10000000000331966</v>
      </c>
      <c r="S64" s="137">
        <v>180.7381</v>
      </c>
      <c r="T64" s="136">
        <f t="shared" si="164"/>
        <v>-0.20000000000663931</v>
      </c>
      <c r="U64" s="139">
        <f t="shared" si="165"/>
        <v>-0.10000000000331966</v>
      </c>
      <c r="V64" s="137">
        <v>180.738</v>
      </c>
      <c r="W64" s="136">
        <f t="shared" si="166"/>
        <v>-0.10000000000331966</v>
      </c>
      <c r="X64" s="139">
        <f t="shared" si="167"/>
        <v>-0.20000000000663931</v>
      </c>
      <c r="Y64" s="137" t="s">
        <v>69</v>
      </c>
      <c r="Z64" s="136" t="s">
        <v>40</v>
      </c>
      <c r="AA64" s="139">
        <f t="shared" si="188"/>
        <v>-0.20000000000663931</v>
      </c>
      <c r="AB64" s="137" t="s">
        <v>69</v>
      </c>
      <c r="AC64" s="136" t="s">
        <v>40</v>
      </c>
      <c r="AD64" s="139">
        <f t="shared" si="189"/>
        <v>-0.20000000000663931</v>
      </c>
      <c r="AE64" s="137" t="s">
        <v>69</v>
      </c>
      <c r="AF64" s="136" t="s">
        <v>40</v>
      </c>
      <c r="AG64" s="139">
        <f t="shared" si="187"/>
        <v>-0.20000000000663931</v>
      </c>
      <c r="AH64" s="137" t="s">
        <v>69</v>
      </c>
      <c r="AI64" s="136" t="s">
        <v>40</v>
      </c>
      <c r="AJ64" s="139">
        <f t="shared" si="173"/>
        <v>-0.20000000000663931</v>
      </c>
      <c r="AK64" s="137" t="s">
        <v>69</v>
      </c>
      <c r="AL64" s="136" t="s">
        <v>40</v>
      </c>
      <c r="AM64" s="139">
        <f t="shared" si="174"/>
        <v>-0.20000000000663931</v>
      </c>
      <c r="AN64" s="137" t="s">
        <v>69</v>
      </c>
      <c r="AO64" s="136" t="s">
        <v>40</v>
      </c>
      <c r="AP64" s="139">
        <f t="shared" si="175"/>
        <v>-0.20000000000663931</v>
      </c>
      <c r="AQ64" s="136" t="s">
        <v>69</v>
      </c>
      <c r="AR64" s="140" t="s">
        <v>80</v>
      </c>
      <c r="AS64" s="140">
        <f t="shared" si="176"/>
        <v>-0.20000000000663931</v>
      </c>
      <c r="AT64" s="137" t="s">
        <v>69</v>
      </c>
      <c r="AU64" s="140" t="s">
        <v>80</v>
      </c>
      <c r="AV64" s="140">
        <f t="shared" si="177"/>
        <v>-0.20000000000663931</v>
      </c>
      <c r="AW64" s="136" t="s">
        <v>69</v>
      </c>
      <c r="AX64" s="140" t="s">
        <v>80</v>
      </c>
      <c r="AY64" s="140">
        <f t="shared" si="178"/>
        <v>-0.20000000000663931</v>
      </c>
      <c r="AZ64" s="136" t="s">
        <v>69</v>
      </c>
      <c r="BA64" s="140" t="s">
        <v>80</v>
      </c>
      <c r="BB64" s="140">
        <f t="shared" si="179"/>
        <v>-0.20000000000663931</v>
      </c>
      <c r="BC64" s="136" t="s">
        <v>69</v>
      </c>
      <c r="BD64" s="140" t="s">
        <v>80</v>
      </c>
      <c r="BE64" s="140">
        <f t="shared" si="180"/>
        <v>-0.20000000000663931</v>
      </c>
      <c r="BF64" s="136" t="s">
        <v>69</v>
      </c>
      <c r="BG64" s="140" t="s">
        <v>80</v>
      </c>
      <c r="BH64" s="140">
        <f t="shared" si="181"/>
        <v>-0.20000000000663931</v>
      </c>
      <c r="BI64" s="137" t="s">
        <v>69</v>
      </c>
      <c r="BJ64" s="140" t="s">
        <v>80</v>
      </c>
      <c r="BK64" s="140">
        <f t="shared" si="182"/>
        <v>-0.20000000000663931</v>
      </c>
      <c r="BL64" s="137" t="s">
        <v>69</v>
      </c>
      <c r="BM64" s="140" t="s">
        <v>80</v>
      </c>
      <c r="BN64" s="140">
        <f t="shared" si="183"/>
        <v>-0.20000000000663931</v>
      </c>
      <c r="BO64" s="137" t="s">
        <v>69</v>
      </c>
      <c r="BP64" s="140" t="s">
        <v>80</v>
      </c>
      <c r="BQ64" s="140">
        <f t="shared" si="184"/>
        <v>-0.20000000000663931</v>
      </c>
      <c r="BR64" s="148" t="s">
        <v>69</v>
      </c>
      <c r="BS64" s="140" t="s">
        <v>80</v>
      </c>
      <c r="BT64" s="140">
        <f t="shared" si="185"/>
        <v>-0.20000000000663931</v>
      </c>
      <c r="BU64" s="148" t="s">
        <v>69</v>
      </c>
      <c r="BV64" s="140" t="s">
        <v>80</v>
      </c>
      <c r="BW64" s="140">
        <f t="shared" si="156"/>
        <v>-0.20000000000663931</v>
      </c>
      <c r="BX64" s="148" t="s">
        <v>69</v>
      </c>
      <c r="BY64" s="140" t="s">
        <v>80</v>
      </c>
      <c r="BZ64" s="140">
        <f t="shared" si="157"/>
        <v>-0.20000000000663931</v>
      </c>
      <c r="CA64" s="143" t="s">
        <v>27</v>
      </c>
    </row>
    <row r="65" spans="3:79" x14ac:dyDescent="0.25">
      <c r="C65" s="136" t="s">
        <v>28</v>
      </c>
      <c r="D65" s="136">
        <v>180.60590000000002</v>
      </c>
      <c r="E65" s="136">
        <v>0</v>
      </c>
      <c r="F65" s="138">
        <v>0</v>
      </c>
      <c r="G65" s="136">
        <v>180.60560000000001</v>
      </c>
      <c r="H65" s="136">
        <f t="shared" si="158"/>
        <v>-0.30000000000995897</v>
      </c>
      <c r="I65" s="139">
        <f t="shared" si="159"/>
        <v>-0.30000000000995897</v>
      </c>
      <c r="J65" s="136">
        <v>180.60570000000001</v>
      </c>
      <c r="K65" s="136">
        <f t="shared" si="154"/>
        <v>0.10000000000331966</v>
      </c>
      <c r="L65" s="139">
        <f t="shared" si="155"/>
        <v>-0.20000000000663931</v>
      </c>
      <c r="M65" s="137">
        <v>180.60560000000001</v>
      </c>
      <c r="N65" s="136">
        <f t="shared" si="160"/>
        <v>-0.10000000000331966</v>
      </c>
      <c r="O65" s="139">
        <f t="shared" si="161"/>
        <v>-0.30000000000995897</v>
      </c>
      <c r="P65" s="137">
        <v>180.60550000000001</v>
      </c>
      <c r="Q65" s="136">
        <f t="shared" si="162"/>
        <v>-0.10000000000331966</v>
      </c>
      <c r="R65" s="139">
        <f t="shared" si="163"/>
        <v>-0.40000000001327862</v>
      </c>
      <c r="S65" s="137">
        <v>180.60570000000001</v>
      </c>
      <c r="T65" s="136">
        <f t="shared" si="164"/>
        <v>0.20000000000663931</v>
      </c>
      <c r="U65" s="139">
        <f t="shared" si="165"/>
        <v>-0.20000000000663931</v>
      </c>
      <c r="V65" s="137">
        <v>180.60589999999999</v>
      </c>
      <c r="W65" s="136">
        <f t="shared" si="166"/>
        <v>0.1999999999782176</v>
      </c>
      <c r="X65" s="139">
        <f t="shared" si="167"/>
        <v>-2.8421709430404007E-11</v>
      </c>
      <c r="Y65" s="137" t="s">
        <v>69</v>
      </c>
      <c r="Z65" s="136" t="s">
        <v>40</v>
      </c>
      <c r="AA65" s="139">
        <f t="shared" si="188"/>
        <v>-2.8421709430404007E-11</v>
      </c>
      <c r="AB65" s="137" t="s">
        <v>69</v>
      </c>
      <c r="AC65" s="136" t="s">
        <v>40</v>
      </c>
      <c r="AD65" s="139">
        <f t="shared" si="189"/>
        <v>-2.8421709430404007E-11</v>
      </c>
      <c r="AE65" s="137" t="s">
        <v>69</v>
      </c>
      <c r="AF65" s="136" t="s">
        <v>40</v>
      </c>
      <c r="AG65" s="139">
        <f t="shared" si="187"/>
        <v>-2.8421709430404007E-11</v>
      </c>
      <c r="AH65" s="137" t="s">
        <v>69</v>
      </c>
      <c r="AI65" s="136" t="s">
        <v>40</v>
      </c>
      <c r="AJ65" s="139">
        <f t="shared" si="173"/>
        <v>-2.8421709430404007E-11</v>
      </c>
      <c r="AK65" s="137" t="s">
        <v>69</v>
      </c>
      <c r="AL65" s="136" t="s">
        <v>40</v>
      </c>
      <c r="AM65" s="139">
        <f t="shared" si="174"/>
        <v>-2.8421709430404007E-11</v>
      </c>
      <c r="AN65" s="137" t="s">
        <v>69</v>
      </c>
      <c r="AO65" s="136" t="s">
        <v>40</v>
      </c>
      <c r="AP65" s="139">
        <f t="shared" si="175"/>
        <v>-2.8421709430404007E-11</v>
      </c>
      <c r="AQ65" s="136" t="s">
        <v>69</v>
      </c>
      <c r="AR65" s="140" t="s">
        <v>80</v>
      </c>
      <c r="AS65" s="140">
        <f t="shared" si="176"/>
        <v>-2.8421709430404007E-11</v>
      </c>
      <c r="AT65" s="137" t="s">
        <v>69</v>
      </c>
      <c r="AU65" s="140" t="s">
        <v>80</v>
      </c>
      <c r="AV65" s="140">
        <f t="shared" si="177"/>
        <v>-2.8421709430404007E-11</v>
      </c>
      <c r="AW65" s="136" t="s">
        <v>69</v>
      </c>
      <c r="AX65" s="140" t="s">
        <v>80</v>
      </c>
      <c r="AY65" s="140">
        <f t="shared" si="178"/>
        <v>-2.8421709430404007E-11</v>
      </c>
      <c r="AZ65" s="136" t="s">
        <v>69</v>
      </c>
      <c r="BA65" s="140" t="s">
        <v>80</v>
      </c>
      <c r="BB65" s="140">
        <f t="shared" si="179"/>
        <v>-2.8421709430404007E-11</v>
      </c>
      <c r="BC65" s="136" t="s">
        <v>69</v>
      </c>
      <c r="BD65" s="140" t="s">
        <v>80</v>
      </c>
      <c r="BE65" s="140">
        <f t="shared" si="180"/>
        <v>-2.8421709430404007E-11</v>
      </c>
      <c r="BF65" s="136" t="s">
        <v>69</v>
      </c>
      <c r="BG65" s="140" t="s">
        <v>80</v>
      </c>
      <c r="BH65" s="140">
        <f t="shared" si="181"/>
        <v>-2.8421709430404007E-11</v>
      </c>
      <c r="BI65" s="137" t="s">
        <v>69</v>
      </c>
      <c r="BJ65" s="140" t="s">
        <v>80</v>
      </c>
      <c r="BK65" s="140">
        <f t="shared" si="182"/>
        <v>-2.8421709430404007E-11</v>
      </c>
      <c r="BL65" s="137" t="s">
        <v>69</v>
      </c>
      <c r="BM65" s="140" t="s">
        <v>80</v>
      </c>
      <c r="BN65" s="140">
        <f t="shared" si="183"/>
        <v>-2.8421709430404007E-11</v>
      </c>
      <c r="BO65" s="137" t="s">
        <v>69</v>
      </c>
      <c r="BP65" s="140" t="s">
        <v>80</v>
      </c>
      <c r="BQ65" s="140">
        <f t="shared" si="184"/>
        <v>-2.8421709430404007E-11</v>
      </c>
      <c r="BR65" s="148" t="s">
        <v>69</v>
      </c>
      <c r="BS65" s="140" t="s">
        <v>80</v>
      </c>
      <c r="BT65" s="140">
        <f t="shared" si="185"/>
        <v>-2.8421709430404007E-11</v>
      </c>
      <c r="BU65" s="148" t="s">
        <v>69</v>
      </c>
      <c r="BV65" s="140" t="s">
        <v>80</v>
      </c>
      <c r="BW65" s="140">
        <f t="shared" si="156"/>
        <v>-2.8421709430404007E-11</v>
      </c>
      <c r="BX65" s="148" t="s">
        <v>69</v>
      </c>
      <c r="BY65" s="140" t="s">
        <v>80</v>
      </c>
      <c r="BZ65" s="140">
        <f t="shared" si="157"/>
        <v>-2.8421709430404007E-11</v>
      </c>
      <c r="CA65" s="143" t="s">
        <v>28</v>
      </c>
    </row>
    <row r="66" spans="3:79" x14ac:dyDescent="0.25">
      <c r="C66" s="136" t="s">
        <v>29</v>
      </c>
      <c r="D66" s="136">
        <v>182.68010000000001</v>
      </c>
      <c r="E66" s="136">
        <v>0</v>
      </c>
      <c r="F66" s="138">
        <v>0</v>
      </c>
      <c r="G66" s="136">
        <v>182.67959999999999</v>
      </c>
      <c r="H66" s="136">
        <f t="shared" si="158"/>
        <v>-0.50000000001659828</v>
      </c>
      <c r="I66" s="139">
        <f t="shared" si="159"/>
        <v>-0.50000000001659828</v>
      </c>
      <c r="J66" s="136">
        <v>182.67939999999999</v>
      </c>
      <c r="K66" s="136">
        <f t="shared" si="154"/>
        <v>-0.20000000000663931</v>
      </c>
      <c r="L66" s="139">
        <f t="shared" si="155"/>
        <v>-0.70000000002323759</v>
      </c>
      <c r="M66" s="137">
        <v>182.67959999999999</v>
      </c>
      <c r="N66" s="136">
        <f t="shared" si="160"/>
        <v>0.20000000000663931</v>
      </c>
      <c r="O66" s="139">
        <f t="shared" si="161"/>
        <v>-0.50000000001659828</v>
      </c>
      <c r="P66" s="137">
        <v>182.6799</v>
      </c>
      <c r="Q66" s="136">
        <f t="shared" si="162"/>
        <v>0.30000000000995897</v>
      </c>
      <c r="R66" s="139">
        <f t="shared" si="163"/>
        <v>-0.20000000000663931</v>
      </c>
      <c r="S66" s="137">
        <v>182.6798</v>
      </c>
      <c r="T66" s="136">
        <f t="shared" si="164"/>
        <v>-0.10000000000331966</v>
      </c>
      <c r="U66" s="139">
        <f t="shared" si="165"/>
        <v>-0.30000000000995897</v>
      </c>
      <c r="V66" s="137">
        <v>182.6799</v>
      </c>
      <c r="W66" s="136">
        <f t="shared" si="166"/>
        <v>0.10000000000331966</v>
      </c>
      <c r="X66" s="139">
        <f t="shared" si="167"/>
        <v>-0.20000000000663931</v>
      </c>
      <c r="Y66" s="137" t="s">
        <v>69</v>
      </c>
      <c r="Z66" s="136" t="s">
        <v>40</v>
      </c>
      <c r="AA66" s="139">
        <f t="shared" si="188"/>
        <v>-0.20000000000663931</v>
      </c>
      <c r="AB66" s="137" t="s">
        <v>69</v>
      </c>
      <c r="AC66" s="136" t="s">
        <v>40</v>
      </c>
      <c r="AD66" s="139">
        <f t="shared" si="189"/>
        <v>-0.20000000000663931</v>
      </c>
      <c r="AE66" s="137" t="s">
        <v>69</v>
      </c>
      <c r="AF66" s="136" t="s">
        <v>40</v>
      </c>
      <c r="AG66" s="139">
        <f t="shared" si="187"/>
        <v>-0.20000000000663931</v>
      </c>
      <c r="AH66" s="137" t="s">
        <v>69</v>
      </c>
      <c r="AI66" s="136" t="s">
        <v>40</v>
      </c>
      <c r="AJ66" s="139">
        <f t="shared" si="173"/>
        <v>-0.20000000000663931</v>
      </c>
      <c r="AK66" s="137" t="s">
        <v>69</v>
      </c>
      <c r="AL66" s="136" t="s">
        <v>40</v>
      </c>
      <c r="AM66" s="139">
        <f t="shared" si="174"/>
        <v>-0.20000000000663931</v>
      </c>
      <c r="AN66" s="137" t="s">
        <v>69</v>
      </c>
      <c r="AO66" s="136" t="s">
        <v>40</v>
      </c>
      <c r="AP66" s="139">
        <f t="shared" si="175"/>
        <v>-0.20000000000663931</v>
      </c>
      <c r="AQ66" s="136" t="s">
        <v>69</v>
      </c>
      <c r="AR66" s="140" t="s">
        <v>80</v>
      </c>
      <c r="AS66" s="140">
        <f t="shared" si="176"/>
        <v>-0.20000000000663931</v>
      </c>
      <c r="AT66" s="137" t="s">
        <v>69</v>
      </c>
      <c r="AU66" s="140" t="s">
        <v>80</v>
      </c>
      <c r="AV66" s="140">
        <f t="shared" si="177"/>
        <v>-0.20000000000663931</v>
      </c>
      <c r="AW66" s="136" t="s">
        <v>69</v>
      </c>
      <c r="AX66" s="140" t="s">
        <v>80</v>
      </c>
      <c r="AY66" s="140">
        <f t="shared" si="178"/>
        <v>-0.20000000000663931</v>
      </c>
      <c r="AZ66" s="136" t="s">
        <v>69</v>
      </c>
      <c r="BA66" s="140" t="s">
        <v>80</v>
      </c>
      <c r="BB66" s="140">
        <f t="shared" si="179"/>
        <v>-0.20000000000663931</v>
      </c>
      <c r="BC66" s="136" t="s">
        <v>69</v>
      </c>
      <c r="BD66" s="140" t="s">
        <v>80</v>
      </c>
      <c r="BE66" s="140">
        <f t="shared" si="180"/>
        <v>-0.20000000000663931</v>
      </c>
      <c r="BF66" s="136" t="s">
        <v>69</v>
      </c>
      <c r="BG66" s="140" t="s">
        <v>80</v>
      </c>
      <c r="BH66" s="140">
        <f t="shared" si="181"/>
        <v>-0.20000000000663931</v>
      </c>
      <c r="BI66" s="137" t="s">
        <v>69</v>
      </c>
      <c r="BJ66" s="140" t="s">
        <v>80</v>
      </c>
      <c r="BK66" s="140">
        <f t="shared" si="182"/>
        <v>-0.20000000000663931</v>
      </c>
      <c r="BL66" s="137" t="s">
        <v>69</v>
      </c>
      <c r="BM66" s="140" t="s">
        <v>80</v>
      </c>
      <c r="BN66" s="140">
        <f t="shared" si="183"/>
        <v>-0.20000000000663931</v>
      </c>
      <c r="BO66" s="137" t="s">
        <v>69</v>
      </c>
      <c r="BP66" s="140" t="s">
        <v>80</v>
      </c>
      <c r="BQ66" s="140">
        <f t="shared" si="184"/>
        <v>-0.20000000000663931</v>
      </c>
      <c r="BR66" s="148" t="s">
        <v>69</v>
      </c>
      <c r="BS66" s="140" t="s">
        <v>80</v>
      </c>
      <c r="BT66" s="140">
        <f t="shared" si="185"/>
        <v>-0.20000000000663931</v>
      </c>
      <c r="BU66" s="148" t="s">
        <v>69</v>
      </c>
      <c r="BV66" s="140" t="s">
        <v>80</v>
      </c>
      <c r="BW66" s="140">
        <f t="shared" si="156"/>
        <v>-0.20000000000663931</v>
      </c>
      <c r="BX66" s="148" t="s">
        <v>69</v>
      </c>
      <c r="BY66" s="140" t="s">
        <v>80</v>
      </c>
      <c r="BZ66" s="140">
        <f t="shared" si="157"/>
        <v>-0.20000000000663931</v>
      </c>
      <c r="CA66" s="143" t="s">
        <v>29</v>
      </c>
    </row>
    <row r="67" spans="3:79" x14ac:dyDescent="0.25">
      <c r="C67" s="136" t="s">
        <v>30</v>
      </c>
      <c r="D67" s="136">
        <v>183.1225</v>
      </c>
      <c r="E67" s="136">
        <v>0</v>
      </c>
      <c r="F67" s="138">
        <v>0</v>
      </c>
      <c r="G67" s="136">
        <v>183.11580000000001</v>
      </c>
      <c r="H67" s="136" t="s">
        <v>61</v>
      </c>
      <c r="I67" s="139">
        <v>0</v>
      </c>
      <c r="J67" s="136">
        <v>183.1155</v>
      </c>
      <c r="K67" s="136">
        <f t="shared" ref="K67:K72" si="190">(J67-G67)*1000</f>
        <v>-0.30000000000995897</v>
      </c>
      <c r="L67" s="139">
        <f t="shared" ref="L67:L72" si="191">I67+K67</f>
        <v>-0.30000000000995897</v>
      </c>
      <c r="M67" s="137">
        <v>183.11580000000001</v>
      </c>
      <c r="N67" s="136">
        <f t="shared" si="160"/>
        <v>0.30000000000995897</v>
      </c>
      <c r="O67" s="139">
        <f t="shared" si="161"/>
        <v>0</v>
      </c>
      <c r="P67" s="137">
        <v>183.11590000000001</v>
      </c>
      <c r="Q67" s="136">
        <f t="shared" si="162"/>
        <v>0.10000000000331966</v>
      </c>
      <c r="R67" s="139">
        <f t="shared" si="163"/>
        <v>0.10000000000331966</v>
      </c>
      <c r="S67" s="137">
        <v>183.1157</v>
      </c>
      <c r="T67" s="136">
        <f t="shared" si="164"/>
        <v>-0.20000000000663931</v>
      </c>
      <c r="U67" s="139">
        <f t="shared" si="165"/>
        <v>-0.10000000000331966</v>
      </c>
      <c r="V67" s="137">
        <v>183.1155</v>
      </c>
      <c r="W67" s="136">
        <f t="shared" si="166"/>
        <v>-0.20000000000663931</v>
      </c>
      <c r="X67" s="139">
        <f t="shared" si="167"/>
        <v>-0.30000000000995897</v>
      </c>
      <c r="Y67" s="137" t="s">
        <v>69</v>
      </c>
      <c r="Z67" s="136" t="s">
        <v>40</v>
      </c>
      <c r="AA67" s="139">
        <f t="shared" si="188"/>
        <v>-0.30000000000995897</v>
      </c>
      <c r="AB67" s="137" t="s">
        <v>69</v>
      </c>
      <c r="AC67" s="136" t="s">
        <v>40</v>
      </c>
      <c r="AD67" s="139">
        <f t="shared" si="189"/>
        <v>-0.30000000000995897</v>
      </c>
      <c r="AE67" s="137" t="s">
        <v>69</v>
      </c>
      <c r="AF67" s="136" t="s">
        <v>40</v>
      </c>
      <c r="AG67" s="139">
        <f t="shared" si="187"/>
        <v>-0.30000000000995897</v>
      </c>
      <c r="AH67" s="137" t="s">
        <v>69</v>
      </c>
      <c r="AI67" s="136" t="s">
        <v>40</v>
      </c>
      <c r="AJ67" s="139">
        <f t="shared" si="173"/>
        <v>-0.30000000000995897</v>
      </c>
      <c r="AK67" s="137" t="s">
        <v>69</v>
      </c>
      <c r="AL67" s="136" t="s">
        <v>40</v>
      </c>
      <c r="AM67" s="139">
        <f t="shared" si="174"/>
        <v>-0.30000000000995897</v>
      </c>
      <c r="AN67" s="137" t="s">
        <v>69</v>
      </c>
      <c r="AO67" s="136" t="s">
        <v>40</v>
      </c>
      <c r="AP67" s="139">
        <f t="shared" si="175"/>
        <v>-0.30000000000995897</v>
      </c>
      <c r="AQ67" s="136" t="s">
        <v>69</v>
      </c>
      <c r="AR67" s="140" t="s">
        <v>80</v>
      </c>
      <c r="AS67" s="140">
        <f t="shared" si="176"/>
        <v>-0.30000000000995897</v>
      </c>
      <c r="AT67" s="137" t="s">
        <v>69</v>
      </c>
      <c r="AU67" s="140" t="s">
        <v>80</v>
      </c>
      <c r="AV67" s="140">
        <f t="shared" si="177"/>
        <v>-0.30000000000995897</v>
      </c>
      <c r="AW67" s="136" t="s">
        <v>69</v>
      </c>
      <c r="AX67" s="140" t="s">
        <v>80</v>
      </c>
      <c r="AY67" s="140">
        <f t="shared" si="178"/>
        <v>-0.30000000000995897</v>
      </c>
      <c r="AZ67" s="136" t="s">
        <v>69</v>
      </c>
      <c r="BA67" s="140" t="s">
        <v>80</v>
      </c>
      <c r="BB67" s="140">
        <f t="shared" si="179"/>
        <v>-0.30000000000995897</v>
      </c>
      <c r="BC67" s="136" t="s">
        <v>69</v>
      </c>
      <c r="BD67" s="140" t="s">
        <v>80</v>
      </c>
      <c r="BE67" s="140">
        <f t="shared" si="180"/>
        <v>-0.30000000000995897</v>
      </c>
      <c r="BF67" s="136" t="s">
        <v>69</v>
      </c>
      <c r="BG67" s="140" t="s">
        <v>80</v>
      </c>
      <c r="BH67" s="140">
        <f t="shared" si="181"/>
        <v>-0.30000000000995897</v>
      </c>
      <c r="BI67" s="137" t="s">
        <v>69</v>
      </c>
      <c r="BJ67" s="140" t="s">
        <v>80</v>
      </c>
      <c r="BK67" s="140">
        <f t="shared" si="182"/>
        <v>-0.30000000000995897</v>
      </c>
      <c r="BL67" s="137" t="s">
        <v>69</v>
      </c>
      <c r="BM67" s="140" t="s">
        <v>80</v>
      </c>
      <c r="BN67" s="140">
        <f t="shared" si="183"/>
        <v>-0.30000000000995897</v>
      </c>
      <c r="BO67" s="137" t="s">
        <v>69</v>
      </c>
      <c r="BP67" s="140" t="s">
        <v>80</v>
      </c>
      <c r="BQ67" s="140">
        <f t="shared" si="184"/>
        <v>-0.30000000000995897</v>
      </c>
      <c r="BR67" s="148" t="s">
        <v>69</v>
      </c>
      <c r="BS67" s="140" t="s">
        <v>80</v>
      </c>
      <c r="BT67" s="140">
        <f t="shared" si="185"/>
        <v>-0.30000000000995897</v>
      </c>
      <c r="BU67" s="148" t="s">
        <v>69</v>
      </c>
      <c r="BV67" s="140" t="s">
        <v>80</v>
      </c>
      <c r="BW67" s="140">
        <f t="shared" si="156"/>
        <v>-0.30000000000995897</v>
      </c>
      <c r="BX67" s="148" t="s">
        <v>69</v>
      </c>
      <c r="BY67" s="140" t="s">
        <v>80</v>
      </c>
      <c r="BZ67" s="140">
        <f t="shared" si="157"/>
        <v>-0.30000000000995897</v>
      </c>
      <c r="CA67" s="143" t="s">
        <v>30</v>
      </c>
    </row>
    <row r="68" spans="3:79" x14ac:dyDescent="0.25">
      <c r="C68" s="136" t="s">
        <v>31</v>
      </c>
      <c r="D68" s="136">
        <v>183.6558</v>
      </c>
      <c r="E68" s="136">
        <v>0</v>
      </c>
      <c r="F68" s="138">
        <v>0</v>
      </c>
      <c r="G68" s="136">
        <v>183.655</v>
      </c>
      <c r="H68" s="136">
        <f t="shared" si="158"/>
        <v>-0.79999999999813554</v>
      </c>
      <c r="I68" s="139">
        <f t="shared" si="159"/>
        <v>-0.79999999999813554</v>
      </c>
      <c r="J68" s="136">
        <v>183.65479999999999</v>
      </c>
      <c r="K68" s="136">
        <f t="shared" si="190"/>
        <v>-0.20000000000663931</v>
      </c>
      <c r="L68" s="139">
        <f t="shared" si="191"/>
        <v>-1.0000000000047748</v>
      </c>
      <c r="M68" s="137">
        <v>183.65459999999999</v>
      </c>
      <c r="N68" s="136">
        <f t="shared" si="160"/>
        <v>-0.20000000000663931</v>
      </c>
      <c r="O68" s="139">
        <f t="shared" si="161"/>
        <v>-1.2000000000114142</v>
      </c>
      <c r="P68" s="137">
        <v>183.655</v>
      </c>
      <c r="Q68" s="136">
        <f>(P68-M68)*1000</f>
        <v>0.40000000001327862</v>
      </c>
      <c r="R68" s="139">
        <f t="shared" si="163"/>
        <v>-0.79999999999813554</v>
      </c>
      <c r="S68" s="137">
        <v>183.655</v>
      </c>
      <c r="T68" s="136">
        <f>(S68-P68)*1000</f>
        <v>0</v>
      </c>
      <c r="U68" s="139">
        <f t="shared" si="165"/>
        <v>-0.79999999999813554</v>
      </c>
      <c r="V68" s="137">
        <v>183.6551</v>
      </c>
      <c r="W68" s="136">
        <f>(V68-S68)*1000</f>
        <v>0.10000000000331966</v>
      </c>
      <c r="X68" s="139">
        <f t="shared" si="167"/>
        <v>-0.69999999999481588</v>
      </c>
      <c r="Y68" s="137">
        <v>183.655</v>
      </c>
      <c r="Z68" s="136">
        <f>(Y68-V68)*1000</f>
        <v>-0.10000000000331966</v>
      </c>
      <c r="AA68" s="139">
        <f t="shared" si="169"/>
        <v>-0.79999999999813554</v>
      </c>
      <c r="AB68" s="137">
        <v>183.6551</v>
      </c>
      <c r="AC68" s="136">
        <f>(AB68-Y68)*1000</f>
        <v>0.10000000000331966</v>
      </c>
      <c r="AD68" s="139">
        <f t="shared" ref="AD68:AD69" si="192">AA68+AC68</f>
        <v>-0.69999999999481588</v>
      </c>
      <c r="AE68" s="137">
        <v>183.655</v>
      </c>
      <c r="AF68" s="136">
        <f>(AE68-AB68)*1000</f>
        <v>-0.10000000000331966</v>
      </c>
      <c r="AG68" s="139">
        <f t="shared" ref="AG68:AG69" si="193">AD68+AF68</f>
        <v>-0.79999999999813554</v>
      </c>
      <c r="AH68" s="137">
        <v>183.65479999999999</v>
      </c>
      <c r="AI68" s="138">
        <f t="shared" ref="AI68:AI69" si="194">(AH68-AE68)*1000</f>
        <v>-0.20000000000663931</v>
      </c>
      <c r="AJ68" s="139">
        <f t="shared" ref="AJ68:AJ69" si="195">AG68+AI68</f>
        <v>-1.0000000000047748</v>
      </c>
      <c r="AK68" s="137">
        <v>183.6549</v>
      </c>
      <c r="AL68" s="138">
        <f t="shared" ref="AL68:AL69" si="196">(AK68-AH68)*1000</f>
        <v>0.10000000000331966</v>
      </c>
      <c r="AM68" s="139">
        <f t="shared" ref="AM68:AM69" si="197">AJ68+AL68</f>
        <v>-0.90000000000145519</v>
      </c>
      <c r="AN68" s="137">
        <v>183.65469999999999</v>
      </c>
      <c r="AO68" s="138">
        <f t="shared" ref="AO68:AO69" si="198">(AN68-AK68)*1000</f>
        <v>-0.20000000000663931</v>
      </c>
      <c r="AP68" s="139">
        <f t="shared" ref="AP68:AP69" si="199">AM68+AO68</f>
        <v>-1.1000000000080945</v>
      </c>
      <c r="AQ68" s="136">
        <v>183.65459999999999</v>
      </c>
      <c r="AR68" s="140">
        <f>(AQ68-AN68)*1000</f>
        <v>-0.10000000000331966</v>
      </c>
      <c r="AS68" s="140">
        <f>AP68+AR68</f>
        <v>-1.2000000000114142</v>
      </c>
      <c r="AT68" s="137">
        <v>183.65440000000001</v>
      </c>
      <c r="AU68" s="140">
        <f>(AT68-AQ68)*1000</f>
        <v>-0.1999999999782176</v>
      </c>
      <c r="AV68" s="140">
        <f>AS68+AU68</f>
        <v>-1.3999999999896318</v>
      </c>
      <c r="AW68" s="136">
        <v>183.65430000000001</v>
      </c>
      <c r="AX68" s="140">
        <f>(AW68-AT68)*1000</f>
        <v>-0.10000000000331966</v>
      </c>
      <c r="AY68" s="141">
        <f>AV68+AX68</f>
        <v>-1.4999999999929514</v>
      </c>
      <c r="AZ68" s="136">
        <v>183.6541</v>
      </c>
      <c r="BA68" s="140">
        <f>(AZ68-AW68)*1000</f>
        <v>-0.20000000000663931</v>
      </c>
      <c r="BB68" s="141">
        <f>AY68+BA68</f>
        <v>-1.6999999999995907</v>
      </c>
      <c r="BC68" s="137">
        <v>183.654</v>
      </c>
      <c r="BD68" s="140">
        <f>(BC68-AZ68)*1000</f>
        <v>-0.10000000000331966</v>
      </c>
      <c r="BE68" s="141">
        <f>BB68+BD68</f>
        <v>-1.8000000000029104</v>
      </c>
      <c r="BF68" s="137">
        <v>183.65469999999999</v>
      </c>
      <c r="BG68" s="140">
        <f>(BF68-BC68)*1000</f>
        <v>0.69999999999481588</v>
      </c>
      <c r="BH68" s="140">
        <f>BE68+BG68</f>
        <v>-1.1000000000080945</v>
      </c>
      <c r="BI68" s="137">
        <v>183.6549</v>
      </c>
      <c r="BJ68" s="140">
        <f>(BI68-BF68)*1000</f>
        <v>0.20000000000663931</v>
      </c>
      <c r="BK68" s="140">
        <f>BH68+BJ68</f>
        <v>-0.90000000000145519</v>
      </c>
      <c r="BL68" s="137">
        <v>183.65530000000001</v>
      </c>
      <c r="BM68" s="140">
        <f>(BL68-BI68)*1000</f>
        <v>0.40000000001327862</v>
      </c>
      <c r="BN68" s="140">
        <f>BK68+BM68</f>
        <v>-0.49999999998817657</v>
      </c>
      <c r="BO68" s="137">
        <v>183.655</v>
      </c>
      <c r="BP68" s="140">
        <f>(BO68-BL68)*1000</f>
        <v>-0.30000000000995897</v>
      </c>
      <c r="BQ68" s="140">
        <f>BN68+BP68</f>
        <v>-0.79999999999813554</v>
      </c>
      <c r="BR68" s="148" t="s">
        <v>69</v>
      </c>
      <c r="BS68" s="140" t="s">
        <v>80</v>
      </c>
      <c r="BT68" s="140">
        <f t="shared" ref="BT68:BT69" si="200">BQ68</f>
        <v>-0.79999999999813554</v>
      </c>
      <c r="BU68" s="148" t="s">
        <v>69</v>
      </c>
      <c r="BV68" s="140" t="s">
        <v>80</v>
      </c>
      <c r="BW68" s="140">
        <f t="shared" si="156"/>
        <v>-0.79999999999813554</v>
      </c>
      <c r="BX68" s="148" t="s">
        <v>69</v>
      </c>
      <c r="BY68" s="140" t="s">
        <v>80</v>
      </c>
      <c r="BZ68" s="140">
        <f t="shared" si="157"/>
        <v>-0.79999999999813554</v>
      </c>
      <c r="CA68" s="143" t="s">
        <v>31</v>
      </c>
    </row>
    <row r="69" spans="3:79" x14ac:dyDescent="0.25">
      <c r="C69" s="136" t="s">
        <v>32</v>
      </c>
      <c r="D69" s="136">
        <v>183.3022</v>
      </c>
      <c r="E69" s="136">
        <v>0</v>
      </c>
      <c r="F69" s="138">
        <v>0</v>
      </c>
      <c r="G69" s="136">
        <v>183.30250000000001</v>
      </c>
      <c r="H69" s="136">
        <f t="shared" si="158"/>
        <v>0.30000000000995897</v>
      </c>
      <c r="I69" s="139">
        <f t="shared" si="159"/>
        <v>0.30000000000995897</v>
      </c>
      <c r="J69" s="136">
        <v>183.30240000000001</v>
      </c>
      <c r="K69" s="136">
        <f t="shared" si="190"/>
        <v>-0.10000000000331966</v>
      </c>
      <c r="L69" s="139">
        <f t="shared" si="191"/>
        <v>0.20000000000663931</v>
      </c>
      <c r="M69" s="137">
        <v>183.30240000000001</v>
      </c>
      <c r="N69" s="136">
        <f t="shared" si="160"/>
        <v>0</v>
      </c>
      <c r="O69" s="139">
        <f t="shared" si="161"/>
        <v>0.20000000000663931</v>
      </c>
      <c r="P69" s="137">
        <v>183.3023</v>
      </c>
      <c r="Q69" s="136">
        <f t="shared" si="162"/>
        <v>-0.10000000000331966</v>
      </c>
      <c r="R69" s="139">
        <f t="shared" si="163"/>
        <v>0.10000000000331966</v>
      </c>
      <c r="S69" s="137">
        <v>183.30240000000001</v>
      </c>
      <c r="T69" s="136">
        <f>(S69-P69)*1000</f>
        <v>0.10000000000331966</v>
      </c>
      <c r="U69" s="139">
        <f t="shared" si="165"/>
        <v>0.20000000000663931</v>
      </c>
      <c r="V69" s="137">
        <v>183.3023</v>
      </c>
      <c r="W69" s="136">
        <f>(V69-S69)*1000</f>
        <v>-0.10000000000331966</v>
      </c>
      <c r="X69" s="139">
        <f t="shared" si="167"/>
        <v>0.10000000000331966</v>
      </c>
      <c r="Y69" s="137">
        <v>183.30250000000001</v>
      </c>
      <c r="Z69" s="136">
        <f>(Y69-V69)*1000</f>
        <v>0.20000000000663931</v>
      </c>
      <c r="AA69" s="139">
        <f t="shared" si="169"/>
        <v>0.30000000000995897</v>
      </c>
      <c r="AB69" s="137">
        <v>183.3023</v>
      </c>
      <c r="AC69" s="136">
        <f>(AB69-Y69)*1000</f>
        <v>-0.20000000000663931</v>
      </c>
      <c r="AD69" s="139">
        <f t="shared" si="192"/>
        <v>0.10000000000331966</v>
      </c>
      <c r="AE69" s="137">
        <v>183.30199999999999</v>
      </c>
      <c r="AF69" s="136">
        <f>(AE69-AB69)*1000</f>
        <v>-0.30000000000995897</v>
      </c>
      <c r="AG69" s="139">
        <f t="shared" si="193"/>
        <v>-0.20000000000663931</v>
      </c>
      <c r="AH69" s="137">
        <v>183.30170000000001</v>
      </c>
      <c r="AI69" s="138">
        <f t="shared" si="194"/>
        <v>-0.29999999998153726</v>
      </c>
      <c r="AJ69" s="139">
        <f t="shared" si="195"/>
        <v>-0.49999999998817657</v>
      </c>
      <c r="AK69" s="137">
        <v>183.3015</v>
      </c>
      <c r="AL69" s="138">
        <f t="shared" si="196"/>
        <v>-0.20000000000663931</v>
      </c>
      <c r="AM69" s="139">
        <f t="shared" si="197"/>
        <v>-0.69999999999481588</v>
      </c>
      <c r="AN69" s="137">
        <v>183.30099999999999</v>
      </c>
      <c r="AO69" s="138">
        <f t="shared" si="198"/>
        <v>-0.50000000001659828</v>
      </c>
      <c r="AP69" s="139">
        <f t="shared" si="199"/>
        <v>-1.2000000000114142</v>
      </c>
      <c r="AQ69" s="143">
        <v>183.30119999999999</v>
      </c>
      <c r="AR69" s="140">
        <f>(AQ69-AN69)*1000</f>
        <v>0.20000000000663931</v>
      </c>
      <c r="AS69" s="140">
        <f>AP69+AR69</f>
        <v>-1.0000000000047748</v>
      </c>
      <c r="AT69" s="148">
        <v>183.30109999999999</v>
      </c>
      <c r="AU69" s="140">
        <f>(AT69-AQ69)*1000</f>
        <v>-0.10000000000331966</v>
      </c>
      <c r="AV69" s="140">
        <f>AS69+AU69</f>
        <v>-1.1000000000080945</v>
      </c>
      <c r="AW69" s="136">
        <v>183.30109999999999</v>
      </c>
      <c r="AX69" s="140">
        <f>(AW69-AT69)*1000</f>
        <v>0</v>
      </c>
      <c r="AY69" s="140">
        <f>AV69+AX69</f>
        <v>-1.1000000000080945</v>
      </c>
      <c r="AZ69" s="136">
        <v>183.30070000000001</v>
      </c>
      <c r="BA69" s="140">
        <f t="shared" ref="BA69:BA71" si="201">(AZ69-AW69)*1000</f>
        <v>-0.39999999998485691</v>
      </c>
      <c r="BB69" s="140">
        <f t="shared" ref="BB69:BB71" si="202">AY69+BA69</f>
        <v>-1.4999999999929514</v>
      </c>
      <c r="BC69" s="136">
        <v>183.30090000000001</v>
      </c>
      <c r="BD69" s="140">
        <f t="shared" ref="BD69" si="203">(BC69-AZ69)*1000</f>
        <v>0.20000000000663931</v>
      </c>
      <c r="BE69" s="140">
        <f t="shared" ref="BE69" si="204">BB69+BD69</f>
        <v>-1.2999999999863121</v>
      </c>
      <c r="BF69" s="136">
        <v>183.3005</v>
      </c>
      <c r="BG69" s="140">
        <f t="shared" ref="BG69" si="205">(BF69-BC69)*1000</f>
        <v>-0.40000000001327862</v>
      </c>
      <c r="BH69" s="141">
        <f t="shared" ref="BH69" si="206">BE69+BG69</f>
        <v>-1.6999999999995907</v>
      </c>
      <c r="BI69" s="137">
        <v>183.3004</v>
      </c>
      <c r="BJ69" s="140">
        <f>(BI69-BF69)*1000</f>
        <v>-0.10000000000331966</v>
      </c>
      <c r="BK69" s="141">
        <f>BH69+BJ69</f>
        <v>-1.8000000000029104</v>
      </c>
      <c r="BL69" s="137">
        <v>183.30070000000001</v>
      </c>
      <c r="BM69" s="140">
        <f>(BL69-BI69)*1000</f>
        <v>0.30000000000995897</v>
      </c>
      <c r="BN69" s="141">
        <f>BK69+BM69</f>
        <v>-1.4999999999929514</v>
      </c>
      <c r="BO69" s="137">
        <v>183.30080000000001</v>
      </c>
      <c r="BP69" s="140">
        <f>(BO69-BL69)*1000</f>
        <v>0.10000000000331966</v>
      </c>
      <c r="BQ69" s="141">
        <f>BN69+BP69</f>
        <v>-1.3999999999896318</v>
      </c>
      <c r="BR69" s="148" t="s">
        <v>69</v>
      </c>
      <c r="BS69" s="140" t="s">
        <v>80</v>
      </c>
      <c r="BT69" s="140">
        <f t="shared" si="200"/>
        <v>-1.3999999999896318</v>
      </c>
      <c r="BU69" s="148" t="s">
        <v>69</v>
      </c>
      <c r="BV69" s="140" t="s">
        <v>80</v>
      </c>
      <c r="BW69" s="140">
        <f t="shared" si="156"/>
        <v>-1.3999999999896318</v>
      </c>
      <c r="BX69" s="148" t="s">
        <v>69</v>
      </c>
      <c r="BY69" s="140" t="s">
        <v>80</v>
      </c>
      <c r="BZ69" s="140">
        <f t="shared" si="157"/>
        <v>-1.3999999999896318</v>
      </c>
      <c r="CA69" s="143" t="s">
        <v>32</v>
      </c>
    </row>
    <row r="70" spans="3:79" x14ac:dyDescent="0.25">
      <c r="C70" s="136" t="s">
        <v>33</v>
      </c>
      <c r="D70" s="136">
        <v>183.72620000000001</v>
      </c>
      <c r="E70" s="136">
        <v>0</v>
      </c>
      <c r="F70" s="138">
        <v>0</v>
      </c>
      <c r="G70" s="136">
        <v>183.7259</v>
      </c>
      <c r="H70" s="136">
        <f t="shared" si="158"/>
        <v>-0.30000000000995897</v>
      </c>
      <c r="I70" s="139">
        <f t="shared" si="159"/>
        <v>-0.30000000000995897</v>
      </c>
      <c r="J70" s="136">
        <v>183.72569999999999</v>
      </c>
      <c r="K70" s="136">
        <f t="shared" si="190"/>
        <v>-0.20000000000663931</v>
      </c>
      <c r="L70" s="139">
        <f t="shared" si="191"/>
        <v>-0.50000000001659828</v>
      </c>
      <c r="M70" s="136" t="s">
        <v>69</v>
      </c>
      <c r="N70" s="136" t="s">
        <v>40</v>
      </c>
      <c r="O70" s="139">
        <f>L70</f>
        <v>-0.50000000001659828</v>
      </c>
      <c r="P70" s="136" t="s">
        <v>69</v>
      </c>
      <c r="Q70" s="136" t="s">
        <v>40</v>
      </c>
      <c r="R70" s="139">
        <f>O70</f>
        <v>-0.50000000001659828</v>
      </c>
      <c r="S70" s="136" t="s">
        <v>69</v>
      </c>
      <c r="T70" s="136" t="s">
        <v>40</v>
      </c>
      <c r="U70" s="139">
        <f>R70</f>
        <v>-0.50000000001659828</v>
      </c>
      <c r="V70" s="136" t="s">
        <v>69</v>
      </c>
      <c r="W70" s="136" t="s">
        <v>40</v>
      </c>
      <c r="X70" s="139">
        <f>U70</f>
        <v>-0.50000000001659828</v>
      </c>
      <c r="Y70" s="136" t="s">
        <v>69</v>
      </c>
      <c r="Z70" s="136" t="s">
        <v>40</v>
      </c>
      <c r="AA70" s="139">
        <f>X70</f>
        <v>-0.50000000001659828</v>
      </c>
      <c r="AB70" s="136" t="s">
        <v>69</v>
      </c>
      <c r="AC70" s="136" t="s">
        <v>40</v>
      </c>
      <c r="AD70" s="139">
        <f>AA70</f>
        <v>-0.50000000001659828</v>
      </c>
      <c r="AE70" s="136" t="s">
        <v>69</v>
      </c>
      <c r="AF70" s="136" t="s">
        <v>40</v>
      </c>
      <c r="AG70" s="139">
        <f>AD70</f>
        <v>-0.50000000001659828</v>
      </c>
      <c r="AH70" s="136" t="s">
        <v>69</v>
      </c>
      <c r="AI70" s="136" t="s">
        <v>40</v>
      </c>
      <c r="AJ70" s="139">
        <f>AG70</f>
        <v>-0.50000000001659828</v>
      </c>
      <c r="AK70" s="136" t="s">
        <v>69</v>
      </c>
      <c r="AL70" s="136" t="s">
        <v>40</v>
      </c>
      <c r="AM70" s="139">
        <f>AJ70</f>
        <v>-0.50000000001659828</v>
      </c>
      <c r="AN70" s="136" t="s">
        <v>69</v>
      </c>
      <c r="AO70" s="136" t="s">
        <v>40</v>
      </c>
      <c r="AP70" s="139">
        <f>AM70</f>
        <v>-0.50000000001659828</v>
      </c>
      <c r="AQ70" s="143" t="s">
        <v>69</v>
      </c>
      <c r="AR70" s="140" t="s">
        <v>80</v>
      </c>
      <c r="AS70" s="140">
        <f>AP70</f>
        <v>-0.50000000001659828</v>
      </c>
      <c r="AT70" s="148" t="s">
        <v>69</v>
      </c>
      <c r="AU70" s="140" t="s">
        <v>80</v>
      </c>
      <c r="AV70" s="140">
        <f>AS70</f>
        <v>-0.50000000001659828</v>
      </c>
      <c r="AW70" s="136" t="s">
        <v>69</v>
      </c>
      <c r="AX70" s="140" t="s">
        <v>80</v>
      </c>
      <c r="AY70" s="140">
        <f>AV70</f>
        <v>-0.50000000001659828</v>
      </c>
      <c r="AZ70" s="136" t="s">
        <v>69</v>
      </c>
      <c r="BA70" s="140" t="s">
        <v>80</v>
      </c>
      <c r="BB70" s="140">
        <f>AY70</f>
        <v>-0.50000000001659828</v>
      </c>
      <c r="BC70" s="136" t="s">
        <v>69</v>
      </c>
      <c r="BD70" s="140" t="s">
        <v>80</v>
      </c>
      <c r="BE70" s="140">
        <f>BB70</f>
        <v>-0.50000000001659828</v>
      </c>
      <c r="BF70" s="136" t="s">
        <v>69</v>
      </c>
      <c r="BG70" s="140" t="s">
        <v>80</v>
      </c>
      <c r="BH70" s="140">
        <f>BE70</f>
        <v>-0.50000000001659828</v>
      </c>
      <c r="BI70" s="137" t="s">
        <v>69</v>
      </c>
      <c r="BJ70" s="140" t="s">
        <v>80</v>
      </c>
      <c r="BK70" s="140">
        <f>BH70</f>
        <v>-0.50000000001659828</v>
      </c>
      <c r="BL70" s="137" t="s">
        <v>69</v>
      </c>
      <c r="BM70" s="140" t="s">
        <v>80</v>
      </c>
      <c r="BN70" s="140">
        <f>BK70</f>
        <v>-0.50000000001659828</v>
      </c>
      <c r="BO70" s="137" t="s">
        <v>69</v>
      </c>
      <c r="BP70" s="140" t="s">
        <v>80</v>
      </c>
      <c r="BQ70" s="140">
        <f>BN70</f>
        <v>-0.50000000001659828</v>
      </c>
      <c r="BR70" s="148" t="s">
        <v>69</v>
      </c>
      <c r="BS70" s="140" t="s">
        <v>80</v>
      </c>
      <c r="BT70" s="140">
        <f>BQ70</f>
        <v>-0.50000000001659828</v>
      </c>
      <c r="BU70" s="148" t="s">
        <v>69</v>
      </c>
      <c r="BV70" s="140" t="s">
        <v>80</v>
      </c>
      <c r="BW70" s="140">
        <f t="shared" si="156"/>
        <v>-0.50000000001659828</v>
      </c>
      <c r="BX70" s="148" t="s">
        <v>69</v>
      </c>
      <c r="BY70" s="140" t="s">
        <v>80</v>
      </c>
      <c r="BZ70" s="140">
        <f t="shared" si="157"/>
        <v>-0.50000000001659828</v>
      </c>
      <c r="CA70" s="143" t="s">
        <v>33</v>
      </c>
    </row>
    <row r="71" spans="3:79" x14ac:dyDescent="0.25">
      <c r="C71" s="136" t="s">
        <v>34</v>
      </c>
      <c r="D71" s="136">
        <v>183.5189</v>
      </c>
      <c r="E71" s="136">
        <v>0</v>
      </c>
      <c r="F71" s="138">
        <v>0</v>
      </c>
      <c r="G71" s="136">
        <v>183.51840000000001</v>
      </c>
      <c r="H71" s="136">
        <f t="shared" si="158"/>
        <v>-0.49999999998817657</v>
      </c>
      <c r="I71" s="139">
        <f t="shared" si="159"/>
        <v>-0.49999999998817657</v>
      </c>
      <c r="J71" s="136">
        <v>183.51830000000001</v>
      </c>
      <c r="K71" s="136">
        <f t="shared" si="190"/>
        <v>-0.10000000000331966</v>
      </c>
      <c r="L71" s="139">
        <f t="shared" si="191"/>
        <v>-0.59999999999149622</v>
      </c>
      <c r="M71" s="136">
        <v>183.5181</v>
      </c>
      <c r="N71" s="136">
        <f t="shared" si="160"/>
        <v>-0.20000000000663931</v>
      </c>
      <c r="O71" s="139">
        <f t="shared" si="161"/>
        <v>-0.79999999999813554</v>
      </c>
      <c r="P71" s="136">
        <v>183.51830000000001</v>
      </c>
      <c r="Q71" s="136">
        <f>(P71-M71)*1000</f>
        <v>0.20000000000663931</v>
      </c>
      <c r="R71" s="139">
        <f>O71+Q71</f>
        <v>-0.59999999999149622</v>
      </c>
      <c r="S71" s="136">
        <v>183.51840000000001</v>
      </c>
      <c r="T71" s="136">
        <f>(S71-P71)*1000</f>
        <v>0.10000000000331966</v>
      </c>
      <c r="U71" s="139">
        <f>R71+T71</f>
        <v>-0.49999999998817657</v>
      </c>
      <c r="V71" s="136">
        <v>183.51830000000001</v>
      </c>
      <c r="W71" s="136">
        <f>(V71-S71)*1000</f>
        <v>-0.10000000000331966</v>
      </c>
      <c r="X71" s="139">
        <f>U71+W71</f>
        <v>-0.59999999999149622</v>
      </c>
      <c r="Y71" s="136">
        <v>183.51840000000001</v>
      </c>
      <c r="Z71" s="136">
        <f>(Y71-V71)*1000</f>
        <v>0.10000000000331966</v>
      </c>
      <c r="AA71" s="139">
        <f>X71+Z71</f>
        <v>-0.49999999998817657</v>
      </c>
      <c r="AB71" s="136">
        <v>183.51830000000001</v>
      </c>
      <c r="AC71" s="136">
        <f>(AB71-Y71)*1000</f>
        <v>-0.10000000000331966</v>
      </c>
      <c r="AD71" s="139">
        <f>AA71+AC71</f>
        <v>-0.59999999999149622</v>
      </c>
      <c r="AE71" s="136">
        <v>183.5181</v>
      </c>
      <c r="AF71" s="136">
        <f>(AE71-AB71)*1000</f>
        <v>-0.20000000000663931</v>
      </c>
      <c r="AG71" s="139">
        <f>AD71+AF71</f>
        <v>-0.79999999999813554</v>
      </c>
      <c r="AH71" s="136">
        <v>183.51820000000001</v>
      </c>
      <c r="AI71" s="136">
        <f t="shared" ref="AI71:AI72" si="207">(AH71-AE71)*1000</f>
        <v>0.10000000000331966</v>
      </c>
      <c r="AJ71" s="139">
        <f t="shared" ref="AJ71:AJ72" si="208">AG71+AI71</f>
        <v>-0.69999999999481588</v>
      </c>
      <c r="AK71" s="136">
        <v>183.5179</v>
      </c>
      <c r="AL71" s="136">
        <f t="shared" ref="AL71:AL72" si="209">(AK71-AH71)*1000</f>
        <v>-0.30000000000995897</v>
      </c>
      <c r="AM71" s="139">
        <f t="shared" ref="AM71:AM72" si="210">AJ71+AL71</f>
        <v>-1.0000000000047748</v>
      </c>
      <c r="AN71" s="136">
        <v>183.51779999999999</v>
      </c>
      <c r="AO71" s="136">
        <f t="shared" ref="AO71:AO72" si="211">(AN71-AK71)*1000</f>
        <v>-0.10000000000331966</v>
      </c>
      <c r="AP71" s="139">
        <f t="shared" ref="AP71:AP72" si="212">AM71+AO71</f>
        <v>-1.1000000000080945</v>
      </c>
      <c r="AQ71" s="143">
        <v>183.51759999999999</v>
      </c>
      <c r="AR71" s="140">
        <f>(AQ71-AN71)*1000</f>
        <v>-0.20000000000663931</v>
      </c>
      <c r="AS71" s="140">
        <f>AP71+AR71</f>
        <v>-1.3000000000147338</v>
      </c>
      <c r="AT71" s="148">
        <v>183.51740000000001</v>
      </c>
      <c r="AU71" s="140">
        <f>(AT71-AQ71)*1000</f>
        <v>-0.1999999999782176</v>
      </c>
      <c r="AV71" s="141">
        <f>AS71+AU71</f>
        <v>-1.4999999999929514</v>
      </c>
      <c r="AW71" s="136">
        <v>183.51769999999999</v>
      </c>
      <c r="AX71" s="140">
        <f>(AW71-AT71)*1000</f>
        <v>0.29999999998153726</v>
      </c>
      <c r="AY71" s="140">
        <f>AV71+AX71</f>
        <v>-1.2000000000114142</v>
      </c>
      <c r="AZ71" s="136">
        <v>183.51759999999999</v>
      </c>
      <c r="BA71" s="140">
        <f t="shared" si="201"/>
        <v>-0.10000000000331966</v>
      </c>
      <c r="BB71" s="140">
        <f t="shared" si="202"/>
        <v>-1.3000000000147338</v>
      </c>
      <c r="BC71" s="136">
        <v>183.51779999999999</v>
      </c>
      <c r="BD71" s="140">
        <f t="shared" ref="BD71" si="213">(BC71-AZ71)*1000</f>
        <v>0.20000000000663931</v>
      </c>
      <c r="BE71" s="140">
        <f t="shared" ref="BE71" si="214">BB71+BD71</f>
        <v>-1.1000000000080945</v>
      </c>
      <c r="BF71" s="136">
        <v>183.51759999999999</v>
      </c>
      <c r="BG71" s="140">
        <f t="shared" ref="BG71" si="215">(BF71-BC71)*1000</f>
        <v>-0.20000000000663931</v>
      </c>
      <c r="BH71" s="140">
        <f t="shared" ref="BH71" si="216">BE71+BG71</f>
        <v>-1.3000000000147338</v>
      </c>
      <c r="BI71" s="137" t="s">
        <v>69</v>
      </c>
      <c r="BJ71" s="140" t="s">
        <v>80</v>
      </c>
      <c r="BK71" s="140">
        <f t="shared" ref="BK71:BK72" si="217">BH71</f>
        <v>-1.3000000000147338</v>
      </c>
      <c r="BL71" s="137" t="s">
        <v>69</v>
      </c>
      <c r="BM71" s="140" t="s">
        <v>80</v>
      </c>
      <c r="BN71" s="140">
        <f t="shared" ref="BN71:BN72" si="218">BK71</f>
        <v>-1.3000000000147338</v>
      </c>
      <c r="BO71" s="137" t="s">
        <v>69</v>
      </c>
      <c r="BP71" s="140" t="s">
        <v>80</v>
      </c>
      <c r="BQ71" s="140">
        <f t="shared" ref="BQ71:BQ72" si="219">BN71</f>
        <v>-1.3000000000147338</v>
      </c>
      <c r="BR71" s="148" t="s">
        <v>69</v>
      </c>
      <c r="BS71" s="140" t="s">
        <v>80</v>
      </c>
      <c r="BT71" s="140">
        <f t="shared" ref="BT71:BT72" si="220">BQ71</f>
        <v>-1.3000000000147338</v>
      </c>
      <c r="BU71" s="148" t="s">
        <v>69</v>
      </c>
      <c r="BV71" s="140" t="s">
        <v>80</v>
      </c>
      <c r="BW71" s="140">
        <f t="shared" si="156"/>
        <v>-1.3000000000147338</v>
      </c>
      <c r="BX71" s="148" t="s">
        <v>69</v>
      </c>
      <c r="BY71" s="140" t="s">
        <v>80</v>
      </c>
      <c r="BZ71" s="140">
        <f t="shared" si="157"/>
        <v>-1.3000000000147338</v>
      </c>
      <c r="CA71" s="143" t="s">
        <v>34</v>
      </c>
    </row>
    <row r="72" spans="3:79" x14ac:dyDescent="0.25">
      <c r="C72" s="136" t="s">
        <v>35</v>
      </c>
      <c r="D72" s="136">
        <v>183.2645</v>
      </c>
      <c r="E72" s="136">
        <v>0</v>
      </c>
      <c r="F72" s="138">
        <v>0</v>
      </c>
      <c r="G72" s="136">
        <v>183.26410000000001</v>
      </c>
      <c r="H72" s="136">
        <f t="shared" si="158"/>
        <v>-0.39999999998485691</v>
      </c>
      <c r="I72" s="139">
        <f t="shared" si="159"/>
        <v>-0.39999999998485691</v>
      </c>
      <c r="J72" s="136">
        <v>183.2638</v>
      </c>
      <c r="K72" s="136">
        <f t="shared" si="190"/>
        <v>-0.30000000000995897</v>
      </c>
      <c r="L72" s="139">
        <f t="shared" si="191"/>
        <v>-0.69999999999481588</v>
      </c>
      <c r="M72" s="136">
        <v>183.26390000000001</v>
      </c>
      <c r="N72" s="136">
        <f t="shared" si="160"/>
        <v>0.10000000000331966</v>
      </c>
      <c r="O72" s="139">
        <f t="shared" si="161"/>
        <v>-0.59999999999149622</v>
      </c>
      <c r="P72" s="136">
        <v>183.26400000000001</v>
      </c>
      <c r="Q72" s="136">
        <f>(P72-M72)*1000</f>
        <v>0.10000000000331966</v>
      </c>
      <c r="R72" s="139">
        <f>O72+Q72</f>
        <v>-0.49999999998817657</v>
      </c>
      <c r="S72" s="136">
        <v>183.26390000000001</v>
      </c>
      <c r="T72" s="136">
        <f>(S72-P72)*1000</f>
        <v>-0.10000000000331966</v>
      </c>
      <c r="U72" s="139">
        <f>R72+T72</f>
        <v>-0.59999999999149622</v>
      </c>
      <c r="V72" s="136">
        <v>183.26410000000001</v>
      </c>
      <c r="W72" s="136">
        <f>(V72-S72)*1000</f>
        <v>0.20000000000663931</v>
      </c>
      <c r="X72" s="139">
        <f>U72+W72</f>
        <v>-0.39999999998485691</v>
      </c>
      <c r="Y72" s="136">
        <v>183.26429999999999</v>
      </c>
      <c r="Z72" s="136">
        <f>(Y72-V72)*1000</f>
        <v>0.1999999999782176</v>
      </c>
      <c r="AA72" s="139">
        <f>X72+Z72</f>
        <v>-0.20000000000663931</v>
      </c>
      <c r="AB72" s="136">
        <v>183.26439999999999</v>
      </c>
      <c r="AC72" s="136">
        <f>(AB72-Y72)*1000</f>
        <v>0.10000000000331966</v>
      </c>
      <c r="AD72" s="139">
        <f>AA72+AC72</f>
        <v>-0.10000000000331966</v>
      </c>
      <c r="AE72" s="136">
        <v>183.26429999999999</v>
      </c>
      <c r="AF72" s="136">
        <f>(AE72-AB72)*1000</f>
        <v>-0.10000000000331966</v>
      </c>
      <c r="AG72" s="139">
        <f>AD72+AF72</f>
        <v>-0.20000000000663931</v>
      </c>
      <c r="AH72" s="136">
        <v>183.26410000000001</v>
      </c>
      <c r="AI72" s="136">
        <f t="shared" si="207"/>
        <v>-0.1999999999782176</v>
      </c>
      <c r="AJ72" s="139">
        <f t="shared" si="208"/>
        <v>-0.39999999998485691</v>
      </c>
      <c r="AK72" s="136">
        <v>183.26400000000001</v>
      </c>
      <c r="AL72" s="136">
        <f t="shared" si="209"/>
        <v>-0.10000000000331966</v>
      </c>
      <c r="AM72" s="139">
        <f t="shared" si="210"/>
        <v>-0.49999999998817657</v>
      </c>
      <c r="AN72" s="136">
        <v>183.2638</v>
      </c>
      <c r="AO72" s="136">
        <f t="shared" si="211"/>
        <v>-0.20000000000663931</v>
      </c>
      <c r="AP72" s="139">
        <f t="shared" si="212"/>
        <v>-0.69999999999481588</v>
      </c>
      <c r="AQ72" s="136">
        <v>183.26349999999999</v>
      </c>
      <c r="AR72" s="140">
        <f>(AQ72-AN72)*1000</f>
        <v>-0.30000000000995897</v>
      </c>
      <c r="AS72" s="140">
        <f>AP72+AR72</f>
        <v>-1.0000000000047748</v>
      </c>
      <c r="AT72" s="137" t="s">
        <v>69</v>
      </c>
      <c r="AU72" s="140" t="s">
        <v>80</v>
      </c>
      <c r="AV72" s="140">
        <f t="shared" ref="AV72" si="221">AS72</f>
        <v>-1.0000000000047748</v>
      </c>
      <c r="AW72" s="136" t="s">
        <v>69</v>
      </c>
      <c r="AX72" s="140" t="s">
        <v>80</v>
      </c>
      <c r="AY72" s="140">
        <f t="shared" ref="AY72" si="222">AV72</f>
        <v>-1.0000000000047748</v>
      </c>
      <c r="AZ72" s="136" t="s">
        <v>69</v>
      </c>
      <c r="BA72" s="140" t="s">
        <v>80</v>
      </c>
      <c r="BB72" s="140">
        <f>AY72</f>
        <v>-1.0000000000047748</v>
      </c>
      <c r="BC72" s="136" t="s">
        <v>69</v>
      </c>
      <c r="BD72" s="140" t="s">
        <v>80</v>
      </c>
      <c r="BE72" s="140">
        <f>BB72</f>
        <v>-1.0000000000047748</v>
      </c>
      <c r="BF72" s="136" t="s">
        <v>69</v>
      </c>
      <c r="BG72" s="140" t="s">
        <v>80</v>
      </c>
      <c r="BH72" s="140">
        <f>BE72</f>
        <v>-1.0000000000047748</v>
      </c>
      <c r="BI72" s="137" t="s">
        <v>69</v>
      </c>
      <c r="BJ72" s="140" t="s">
        <v>80</v>
      </c>
      <c r="BK72" s="140">
        <f t="shared" si="217"/>
        <v>-1.0000000000047748</v>
      </c>
      <c r="BL72" s="137" t="s">
        <v>69</v>
      </c>
      <c r="BM72" s="140" t="s">
        <v>80</v>
      </c>
      <c r="BN72" s="140">
        <f t="shared" si="218"/>
        <v>-1.0000000000047748</v>
      </c>
      <c r="BO72" s="137" t="s">
        <v>69</v>
      </c>
      <c r="BP72" s="140" t="s">
        <v>80</v>
      </c>
      <c r="BQ72" s="140">
        <f t="shared" si="219"/>
        <v>-1.0000000000047748</v>
      </c>
      <c r="BR72" s="148" t="s">
        <v>69</v>
      </c>
      <c r="BS72" s="140" t="s">
        <v>80</v>
      </c>
      <c r="BT72" s="140">
        <f t="shared" si="220"/>
        <v>-1.0000000000047748</v>
      </c>
      <c r="BU72" s="148" t="s">
        <v>69</v>
      </c>
      <c r="BV72" s="140" t="s">
        <v>80</v>
      </c>
      <c r="BW72" s="140">
        <f t="shared" si="156"/>
        <v>-1.0000000000047748</v>
      </c>
      <c r="BX72" s="148" t="s">
        <v>69</v>
      </c>
      <c r="BY72" s="140" t="s">
        <v>80</v>
      </c>
      <c r="BZ72" s="140">
        <f t="shared" si="157"/>
        <v>-1.0000000000047748</v>
      </c>
      <c r="CA72" s="143" t="s">
        <v>35</v>
      </c>
    </row>
  </sheetData>
  <sortState ref="CD62:CE89">
    <sortCondition ref="CD62"/>
  </sortState>
  <mergeCells count="116">
    <mergeCell ref="BR57:BT57"/>
    <mergeCell ref="BU57:BW57"/>
    <mergeCell ref="BX57:BZ57"/>
    <mergeCell ref="CA57:CA58"/>
    <mergeCell ref="CA42:CA43"/>
    <mergeCell ref="C57:C58"/>
    <mergeCell ref="D57:F57"/>
    <mergeCell ref="G57:I57"/>
    <mergeCell ref="J57:L57"/>
    <mergeCell ref="M57:O57"/>
    <mergeCell ref="P57:R57"/>
    <mergeCell ref="S57:U57"/>
    <mergeCell ref="V57:X57"/>
    <mergeCell ref="Y57:AA57"/>
    <mergeCell ref="AB57:AD57"/>
    <mergeCell ref="AE57:AG57"/>
    <mergeCell ref="AH57:AJ57"/>
    <mergeCell ref="AK57:AM57"/>
    <mergeCell ref="AN57:AP57"/>
    <mergeCell ref="AQ57:AS57"/>
    <mergeCell ref="AT57:AV57"/>
    <mergeCell ref="AW57:AY57"/>
    <mergeCell ref="AZ57:BB57"/>
    <mergeCell ref="BC57:BE57"/>
    <mergeCell ref="BF57:BH57"/>
    <mergeCell ref="BI57:BK57"/>
    <mergeCell ref="BL57:BN57"/>
    <mergeCell ref="BO57:BQ57"/>
    <mergeCell ref="C42:C43"/>
    <mergeCell ref="D42:F42"/>
    <mergeCell ref="G42:I42"/>
    <mergeCell ref="J42:L42"/>
    <mergeCell ref="M42:O42"/>
    <mergeCell ref="P42:R42"/>
    <mergeCell ref="S42:U42"/>
    <mergeCell ref="V42:X42"/>
    <mergeCell ref="AN42:AP42"/>
    <mergeCell ref="AH42:AJ42"/>
    <mergeCell ref="AB42:AD42"/>
    <mergeCell ref="CA23:CA24"/>
    <mergeCell ref="BX23:BZ23"/>
    <mergeCell ref="CA5:CA6"/>
    <mergeCell ref="BU5:BW5"/>
    <mergeCell ref="C23:C24"/>
    <mergeCell ref="D23:F23"/>
    <mergeCell ref="G23:I23"/>
    <mergeCell ref="J23:L23"/>
    <mergeCell ref="M23:O23"/>
    <mergeCell ref="P23:R23"/>
    <mergeCell ref="S23:U23"/>
    <mergeCell ref="V23:X23"/>
    <mergeCell ref="Y23:AA23"/>
    <mergeCell ref="C56:CA56"/>
    <mergeCell ref="Y5:AA5"/>
    <mergeCell ref="Y42:AA42"/>
    <mergeCell ref="AE5:AG5"/>
    <mergeCell ref="AE23:AG23"/>
    <mergeCell ref="AE42:AG42"/>
    <mergeCell ref="AK5:AM5"/>
    <mergeCell ref="AK23:AM23"/>
    <mergeCell ref="AK42:AM42"/>
    <mergeCell ref="AQ5:AS5"/>
    <mergeCell ref="AQ23:AS23"/>
    <mergeCell ref="AQ42:AS42"/>
    <mergeCell ref="AT5:AV5"/>
    <mergeCell ref="AT23:AV23"/>
    <mergeCell ref="AT42:AV42"/>
    <mergeCell ref="AZ5:BB5"/>
    <mergeCell ref="BU23:BW23"/>
    <mergeCell ref="AN5:AP5"/>
    <mergeCell ref="AN23:AP23"/>
    <mergeCell ref="AH5:AJ5"/>
    <mergeCell ref="AH23:AJ23"/>
    <mergeCell ref="AB5:AD5"/>
    <mergeCell ref="AB23:AD23"/>
    <mergeCell ref="AZ23:BB23"/>
    <mergeCell ref="BR42:BT42"/>
    <mergeCell ref="BC5:BE5"/>
    <mergeCell ref="BC23:BE23"/>
    <mergeCell ref="BC42:BE42"/>
    <mergeCell ref="AW5:AY5"/>
    <mergeCell ref="AW23:AY23"/>
    <mergeCell ref="BX5:BZ5"/>
    <mergeCell ref="BX42:BZ42"/>
    <mergeCell ref="C5:C6"/>
    <mergeCell ref="D5:F5"/>
    <mergeCell ref="G5:I5"/>
    <mergeCell ref="J5:L5"/>
    <mergeCell ref="M5:O5"/>
    <mergeCell ref="P5:R5"/>
    <mergeCell ref="S5:U5"/>
    <mergeCell ref="V5:X5"/>
    <mergeCell ref="C3:CA3"/>
    <mergeCell ref="C4:CA4"/>
    <mergeCell ref="C21:CA21"/>
    <mergeCell ref="C22:CA22"/>
    <mergeCell ref="C40:CA40"/>
    <mergeCell ref="C41:CA41"/>
    <mergeCell ref="C55:CA55"/>
    <mergeCell ref="AW42:AY42"/>
    <mergeCell ref="AZ42:BB42"/>
    <mergeCell ref="BF23:BH23"/>
    <mergeCell ref="BF42:BH42"/>
    <mergeCell ref="BI23:BK23"/>
    <mergeCell ref="BI42:BK42"/>
    <mergeCell ref="BL23:BN23"/>
    <mergeCell ref="BL42:BN42"/>
    <mergeCell ref="BO23:BQ23"/>
    <mergeCell ref="BO42:BQ42"/>
    <mergeCell ref="BF5:BH5"/>
    <mergeCell ref="BI5:BK5"/>
    <mergeCell ref="BL5:BN5"/>
    <mergeCell ref="BO5:BQ5"/>
    <mergeCell ref="BR5:BT5"/>
    <mergeCell ref="BU42:BW42"/>
    <mergeCell ref="BR23:BT23"/>
  </mergeCells>
  <pageMargins left="0.7" right="0.7" top="0.75" bottom="0.75" header="0.3" footer="0.3"/>
  <pageSetup paperSize="9" orientation="portrait" r:id="rId1"/>
  <ignoredErrors>
    <ignoredError sqref="AS70 AG46 AP70 AV70:AV71 AY70:AY71 BB70:BB71 BH70:BH71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70"/>
  <sheetViews>
    <sheetView topLeftCell="C1" zoomScale="96" zoomScaleNormal="96" workbookViewId="0">
      <selection activeCell="BP7" sqref="BP7"/>
    </sheetView>
  </sheetViews>
  <sheetFormatPr defaultRowHeight="15" x14ac:dyDescent="0.25"/>
  <cols>
    <col min="3" max="3" width="5.7109375" customWidth="1"/>
    <col min="4" max="4" width="15.7109375" hidden="1" customWidth="1"/>
    <col min="5" max="6" width="9.7109375" hidden="1" customWidth="1"/>
    <col min="7" max="7" width="15.7109375" hidden="1" customWidth="1"/>
    <col min="8" max="9" width="9.7109375" hidden="1" customWidth="1"/>
    <col min="10" max="10" width="16.7109375" hidden="1" customWidth="1"/>
    <col min="11" max="12" width="9.7109375" hidden="1" customWidth="1"/>
    <col min="13" max="13" width="16.7109375" hidden="1" customWidth="1"/>
    <col min="14" max="15" width="9.7109375" hidden="1" customWidth="1"/>
    <col min="16" max="16" width="16.7109375" hidden="1" customWidth="1"/>
    <col min="17" max="18" width="9.7109375" hidden="1" customWidth="1"/>
    <col min="19" max="19" width="16.7109375" hidden="1" customWidth="1"/>
    <col min="20" max="21" width="9.7109375" hidden="1" customWidth="1"/>
    <col min="22" max="22" width="16.7109375" hidden="1" customWidth="1"/>
    <col min="23" max="24" width="9.7109375" hidden="1" customWidth="1"/>
    <col min="25" max="25" width="16.7109375" hidden="1" customWidth="1"/>
    <col min="26" max="27" width="9.7109375" hidden="1" customWidth="1"/>
    <col min="28" max="28" width="16.7109375" hidden="1" customWidth="1"/>
    <col min="29" max="30" width="9.7109375" hidden="1" customWidth="1"/>
    <col min="31" max="31" width="16.7109375" hidden="1" customWidth="1"/>
    <col min="32" max="33" width="9.7109375" hidden="1" customWidth="1"/>
    <col min="34" max="34" width="16.7109375" hidden="1" customWidth="1"/>
    <col min="35" max="36" width="9.7109375" hidden="1" customWidth="1"/>
    <col min="37" max="37" width="16.7109375" hidden="1" customWidth="1"/>
    <col min="38" max="39" width="9.7109375" hidden="1" customWidth="1"/>
    <col min="40" max="40" width="16.7109375" hidden="1" customWidth="1"/>
    <col min="41" max="42" width="9.7109375" hidden="1" customWidth="1"/>
    <col min="43" max="43" width="15.7109375" hidden="1" customWidth="1"/>
    <col min="44" max="45" width="9.7109375" hidden="1" customWidth="1"/>
    <col min="46" max="46" width="15.7109375" hidden="1" customWidth="1"/>
    <col min="47" max="48" width="9.7109375" hidden="1" customWidth="1"/>
    <col min="49" max="49" width="15.7109375" hidden="1" customWidth="1"/>
    <col min="50" max="51" width="9.7109375" hidden="1" customWidth="1"/>
    <col min="52" max="52" width="16.42578125" style="10" hidden="1" customWidth="1"/>
    <col min="53" max="54" width="9.7109375" hidden="1" customWidth="1"/>
    <col min="55" max="55" width="16.42578125" style="10" hidden="1" customWidth="1"/>
    <col min="56" max="57" width="9.7109375" hidden="1" customWidth="1"/>
    <col min="58" max="58" width="16.42578125" style="10" hidden="1" customWidth="1"/>
    <col min="59" max="60" width="9.7109375" hidden="1" customWidth="1"/>
    <col min="61" max="61" width="15.7109375" hidden="1" customWidth="1"/>
    <col min="62" max="63" width="9.7109375" hidden="1" customWidth="1"/>
    <col min="64" max="64" width="15.7109375" hidden="1" customWidth="1"/>
    <col min="65" max="66" width="9.7109375" hidden="1" customWidth="1"/>
    <col min="67" max="67" width="15.7109375" customWidth="1"/>
    <col min="68" max="69" width="9.7109375" customWidth="1"/>
    <col min="70" max="70" width="15.7109375" customWidth="1"/>
    <col min="71" max="72" width="9.7109375" customWidth="1"/>
    <col min="73" max="73" width="15.7109375" style="10" customWidth="1"/>
    <col min="74" max="75" width="9.7109375" customWidth="1"/>
    <col min="76" max="76" width="15.7109375" style="10" customWidth="1"/>
    <col min="77" max="79" width="9.7109375" customWidth="1"/>
    <col min="80" max="80" width="8.85546875" style="16" customWidth="1"/>
    <col min="81" max="81" width="8.7109375" customWidth="1"/>
    <col min="82" max="82" width="5.7109375" customWidth="1"/>
    <col min="83" max="83" width="11.42578125" customWidth="1"/>
  </cols>
  <sheetData>
    <row r="1" spans="1:86" x14ac:dyDescent="0.25">
      <c r="CE1" s="109" t="s">
        <v>209</v>
      </c>
    </row>
    <row r="2" spans="1:86" ht="15.75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43"/>
      <c r="BA2" s="2"/>
      <c r="BB2" s="2"/>
      <c r="BC2" s="43"/>
      <c r="BD2" s="2"/>
      <c r="BE2" s="2"/>
      <c r="BF2" s="43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43"/>
      <c r="BV2" s="2"/>
      <c r="BW2" s="2"/>
      <c r="BX2" s="43"/>
      <c r="BY2" s="2"/>
      <c r="BZ2" s="2"/>
      <c r="CA2" s="2"/>
      <c r="CB2" s="14"/>
      <c r="CC2" s="2"/>
      <c r="CD2" s="41" t="s">
        <v>130</v>
      </c>
      <c r="CE2" s="2"/>
      <c r="CF2" s="2"/>
      <c r="CG2" s="2"/>
      <c r="CH2" s="2"/>
    </row>
    <row r="3" spans="1:86" ht="15.75" x14ac:dyDescent="0.25"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44"/>
      <c r="BA3" s="5"/>
      <c r="BB3" s="5"/>
      <c r="BC3" s="44"/>
      <c r="BD3" s="5"/>
      <c r="BE3" s="5"/>
      <c r="BF3" s="44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44"/>
      <c r="BV3" s="5"/>
      <c r="BW3" s="5"/>
      <c r="BX3" s="44"/>
      <c r="BY3" s="5"/>
      <c r="BZ3" s="5"/>
      <c r="CA3" s="5"/>
      <c r="CB3" s="15"/>
      <c r="CC3" s="32"/>
      <c r="CD3" s="41" t="s">
        <v>131</v>
      </c>
    </row>
    <row r="4" spans="1:86" s="40" customFormat="1" ht="15.75" x14ac:dyDescent="0.25">
      <c r="C4" s="180" t="s">
        <v>0</v>
      </c>
      <c r="D4" s="180"/>
      <c r="E4" s="180"/>
      <c r="F4" s="180"/>
      <c r="G4" s="180"/>
      <c r="H4" s="180"/>
      <c r="I4" s="180"/>
      <c r="J4" s="180"/>
      <c r="K4" s="180"/>
      <c r="L4" s="180"/>
      <c r="M4" s="180"/>
      <c r="N4" s="180"/>
      <c r="O4" s="180"/>
      <c r="P4" s="180"/>
      <c r="Q4" s="180"/>
      <c r="R4" s="180"/>
      <c r="S4" s="180"/>
      <c r="T4" s="180"/>
      <c r="U4" s="180"/>
      <c r="V4" s="180"/>
      <c r="W4" s="180"/>
      <c r="X4" s="180"/>
      <c r="Y4" s="180"/>
      <c r="Z4" s="180"/>
      <c r="AA4" s="180"/>
      <c r="AB4" s="180"/>
      <c r="AC4" s="180"/>
      <c r="AD4" s="180"/>
      <c r="AE4" s="180"/>
      <c r="AF4" s="180"/>
      <c r="AG4" s="180"/>
      <c r="AH4" s="180"/>
      <c r="AI4" s="180"/>
      <c r="AJ4" s="180"/>
      <c r="AK4" s="180"/>
      <c r="AL4" s="180"/>
      <c r="AM4" s="180"/>
      <c r="AN4" s="180"/>
      <c r="AO4" s="180"/>
      <c r="AP4" s="180"/>
      <c r="AQ4" s="180"/>
      <c r="AR4" s="180"/>
      <c r="AS4" s="180"/>
      <c r="AT4" s="180"/>
      <c r="AU4" s="180"/>
      <c r="AV4" s="180"/>
      <c r="AW4" s="180"/>
      <c r="AX4" s="180"/>
      <c r="AY4" s="180"/>
      <c r="AZ4" s="180"/>
      <c r="BA4" s="180"/>
      <c r="BB4" s="180"/>
      <c r="BC4" s="180"/>
      <c r="BD4" s="180"/>
      <c r="BE4" s="180"/>
      <c r="BF4" s="180"/>
      <c r="BG4" s="180"/>
      <c r="BH4" s="180"/>
      <c r="BI4" s="180"/>
      <c r="BJ4" s="180"/>
      <c r="BK4" s="180"/>
      <c r="BL4" s="180"/>
      <c r="BM4" s="180"/>
      <c r="BN4" s="180"/>
      <c r="BO4" s="180"/>
      <c r="BP4" s="180"/>
      <c r="BQ4" s="180"/>
      <c r="BR4" s="180"/>
      <c r="BS4" s="180"/>
      <c r="BT4" s="180"/>
      <c r="BU4" s="180"/>
      <c r="BV4" s="180"/>
      <c r="BW4" s="180"/>
      <c r="BX4" s="180"/>
      <c r="BY4" s="180"/>
      <c r="BZ4" s="180"/>
      <c r="CA4" s="180"/>
      <c r="CB4" s="180"/>
      <c r="CC4" s="180"/>
      <c r="CD4" s="180"/>
    </row>
    <row r="5" spans="1:86" s="40" customFormat="1" ht="16.5" customHeight="1" x14ac:dyDescent="0.25">
      <c r="C5" s="181" t="s">
        <v>46</v>
      </c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81"/>
      <c r="AI5" s="181"/>
      <c r="AJ5" s="181"/>
      <c r="AK5" s="181"/>
      <c r="AL5" s="181"/>
      <c r="AM5" s="181"/>
      <c r="AN5" s="181"/>
      <c r="AO5" s="181"/>
      <c r="AP5" s="181"/>
      <c r="AQ5" s="181"/>
      <c r="AR5" s="181"/>
      <c r="AS5" s="181"/>
      <c r="AT5" s="181"/>
      <c r="AU5" s="181"/>
      <c r="AV5" s="181"/>
      <c r="AW5" s="181"/>
      <c r="AX5" s="181"/>
      <c r="AY5" s="181"/>
      <c r="AZ5" s="181"/>
      <c r="BA5" s="181"/>
      <c r="BB5" s="181"/>
      <c r="BC5" s="181"/>
      <c r="BD5" s="181"/>
      <c r="BE5" s="181"/>
      <c r="BF5" s="181"/>
      <c r="BG5" s="181"/>
      <c r="BH5" s="181"/>
      <c r="BI5" s="181"/>
      <c r="BJ5" s="181"/>
      <c r="BK5" s="181"/>
      <c r="BL5" s="181"/>
      <c r="BM5" s="181"/>
      <c r="BN5" s="181"/>
      <c r="BO5" s="181"/>
      <c r="BP5" s="181"/>
      <c r="BQ5" s="181"/>
      <c r="BR5" s="181"/>
      <c r="BS5" s="181"/>
      <c r="BT5" s="181"/>
      <c r="BU5" s="181"/>
      <c r="BV5" s="181"/>
      <c r="BW5" s="181"/>
      <c r="BX5" s="181"/>
      <c r="BY5" s="181"/>
      <c r="BZ5" s="181"/>
      <c r="CA5" s="181"/>
      <c r="CB5" s="181"/>
      <c r="CC5" s="181"/>
      <c r="CD5" s="181"/>
    </row>
    <row r="6" spans="1:86" s="1" customFormat="1" ht="38.25" customHeight="1" x14ac:dyDescent="0.25">
      <c r="C6" s="178" t="s">
        <v>1</v>
      </c>
      <c r="D6" s="174" t="s">
        <v>185</v>
      </c>
      <c r="E6" s="175"/>
      <c r="F6" s="176"/>
      <c r="G6" s="174" t="s">
        <v>186</v>
      </c>
      <c r="H6" s="175"/>
      <c r="I6" s="176"/>
      <c r="J6" s="174" t="s">
        <v>187</v>
      </c>
      <c r="K6" s="175"/>
      <c r="L6" s="176"/>
      <c r="M6" s="174" t="s">
        <v>188</v>
      </c>
      <c r="N6" s="175"/>
      <c r="O6" s="176"/>
      <c r="P6" s="174" t="s">
        <v>189</v>
      </c>
      <c r="Q6" s="175"/>
      <c r="R6" s="176"/>
      <c r="S6" s="174" t="s">
        <v>190</v>
      </c>
      <c r="T6" s="175"/>
      <c r="U6" s="176"/>
      <c r="V6" s="174" t="s">
        <v>191</v>
      </c>
      <c r="W6" s="175"/>
      <c r="X6" s="176"/>
      <c r="Y6" s="174" t="s">
        <v>192</v>
      </c>
      <c r="Z6" s="175"/>
      <c r="AA6" s="176"/>
      <c r="AB6" s="174" t="s">
        <v>193</v>
      </c>
      <c r="AC6" s="175"/>
      <c r="AD6" s="176"/>
      <c r="AE6" s="174" t="s">
        <v>194</v>
      </c>
      <c r="AF6" s="175"/>
      <c r="AG6" s="176"/>
      <c r="AH6" s="174" t="s">
        <v>195</v>
      </c>
      <c r="AI6" s="175"/>
      <c r="AJ6" s="176"/>
      <c r="AK6" s="174" t="s">
        <v>196</v>
      </c>
      <c r="AL6" s="175"/>
      <c r="AM6" s="176"/>
      <c r="AN6" s="174" t="s">
        <v>197</v>
      </c>
      <c r="AO6" s="175"/>
      <c r="AP6" s="176"/>
      <c r="AQ6" s="174" t="s">
        <v>198</v>
      </c>
      <c r="AR6" s="175"/>
      <c r="AS6" s="176"/>
      <c r="AT6" s="174" t="s">
        <v>199</v>
      </c>
      <c r="AU6" s="175"/>
      <c r="AV6" s="176"/>
      <c r="AW6" s="174" t="s">
        <v>200</v>
      </c>
      <c r="AX6" s="175"/>
      <c r="AY6" s="176"/>
      <c r="AZ6" s="174" t="s">
        <v>201</v>
      </c>
      <c r="BA6" s="175"/>
      <c r="BB6" s="176"/>
      <c r="BC6" s="174" t="s">
        <v>202</v>
      </c>
      <c r="BD6" s="175"/>
      <c r="BE6" s="176"/>
      <c r="BF6" s="171" t="s">
        <v>203</v>
      </c>
      <c r="BG6" s="172"/>
      <c r="BH6" s="173"/>
      <c r="BI6" s="171" t="s">
        <v>204</v>
      </c>
      <c r="BJ6" s="172"/>
      <c r="BK6" s="173"/>
      <c r="BL6" s="171" t="s">
        <v>205</v>
      </c>
      <c r="BM6" s="172"/>
      <c r="BN6" s="173"/>
      <c r="BO6" s="171" t="s">
        <v>206</v>
      </c>
      <c r="BP6" s="172"/>
      <c r="BQ6" s="173"/>
      <c r="BR6" s="167" t="s">
        <v>207</v>
      </c>
      <c r="BS6" s="168"/>
      <c r="BT6" s="169"/>
      <c r="BU6" s="167" t="s">
        <v>208</v>
      </c>
      <c r="BV6" s="168"/>
      <c r="BW6" s="169"/>
      <c r="BX6" s="167" t="s">
        <v>214</v>
      </c>
      <c r="BY6" s="168"/>
      <c r="BZ6" s="169"/>
      <c r="CA6" s="184" t="s">
        <v>47</v>
      </c>
      <c r="CB6" s="182" t="s">
        <v>48</v>
      </c>
      <c r="CC6" s="182" t="s">
        <v>49</v>
      </c>
      <c r="CD6" s="178" t="s">
        <v>1</v>
      </c>
    </row>
    <row r="7" spans="1:86" s="1" customFormat="1" ht="61.5" customHeight="1" x14ac:dyDescent="0.25">
      <c r="C7" s="179"/>
      <c r="D7" s="130" t="s">
        <v>2</v>
      </c>
      <c r="E7" s="130" t="s">
        <v>3</v>
      </c>
      <c r="F7" s="135" t="s">
        <v>4</v>
      </c>
      <c r="G7" s="130" t="s">
        <v>2</v>
      </c>
      <c r="H7" s="130" t="s">
        <v>3</v>
      </c>
      <c r="I7" s="135" t="s">
        <v>4</v>
      </c>
      <c r="J7" s="130" t="s">
        <v>2</v>
      </c>
      <c r="K7" s="130" t="s">
        <v>3</v>
      </c>
      <c r="L7" s="135" t="s">
        <v>4</v>
      </c>
      <c r="M7" s="130" t="s">
        <v>2</v>
      </c>
      <c r="N7" s="130" t="s">
        <v>3</v>
      </c>
      <c r="O7" s="135" t="s">
        <v>4</v>
      </c>
      <c r="P7" s="130" t="s">
        <v>2</v>
      </c>
      <c r="Q7" s="130" t="s">
        <v>3</v>
      </c>
      <c r="R7" s="135" t="s">
        <v>4</v>
      </c>
      <c r="S7" s="130" t="s">
        <v>2</v>
      </c>
      <c r="T7" s="130" t="s">
        <v>3</v>
      </c>
      <c r="U7" s="135" t="s">
        <v>4</v>
      </c>
      <c r="V7" s="130" t="s">
        <v>2</v>
      </c>
      <c r="W7" s="130" t="s">
        <v>3</v>
      </c>
      <c r="X7" s="135" t="s">
        <v>4</v>
      </c>
      <c r="Y7" s="130" t="s">
        <v>2</v>
      </c>
      <c r="Z7" s="130" t="s">
        <v>3</v>
      </c>
      <c r="AA7" s="135" t="s">
        <v>4</v>
      </c>
      <c r="AB7" s="130" t="s">
        <v>2</v>
      </c>
      <c r="AC7" s="130" t="s">
        <v>3</v>
      </c>
      <c r="AD7" s="135" t="s">
        <v>4</v>
      </c>
      <c r="AE7" s="130" t="s">
        <v>2</v>
      </c>
      <c r="AF7" s="130" t="s">
        <v>3</v>
      </c>
      <c r="AG7" s="135" t="s">
        <v>4</v>
      </c>
      <c r="AH7" s="130" t="s">
        <v>2</v>
      </c>
      <c r="AI7" s="130" t="s">
        <v>3</v>
      </c>
      <c r="AJ7" s="135" t="s">
        <v>4</v>
      </c>
      <c r="AK7" s="130" t="s">
        <v>2</v>
      </c>
      <c r="AL7" s="130" t="s">
        <v>3</v>
      </c>
      <c r="AM7" s="135" t="s">
        <v>4</v>
      </c>
      <c r="AN7" s="130" t="s">
        <v>2</v>
      </c>
      <c r="AO7" s="130" t="s">
        <v>3</v>
      </c>
      <c r="AP7" s="135" t="s">
        <v>4</v>
      </c>
      <c r="AQ7" s="130" t="s">
        <v>2</v>
      </c>
      <c r="AR7" s="130" t="s">
        <v>3</v>
      </c>
      <c r="AS7" s="135" t="s">
        <v>4</v>
      </c>
      <c r="AT7" s="130" t="s">
        <v>2</v>
      </c>
      <c r="AU7" s="130" t="s">
        <v>3</v>
      </c>
      <c r="AV7" s="135" t="s">
        <v>4</v>
      </c>
      <c r="AW7" s="130" t="s">
        <v>2</v>
      </c>
      <c r="AX7" s="130" t="s">
        <v>3</v>
      </c>
      <c r="AY7" s="135" t="s">
        <v>4</v>
      </c>
      <c r="AZ7" s="130" t="s">
        <v>2</v>
      </c>
      <c r="BA7" s="130" t="s">
        <v>3</v>
      </c>
      <c r="BB7" s="135" t="s">
        <v>4</v>
      </c>
      <c r="BC7" s="130" t="s">
        <v>2</v>
      </c>
      <c r="BD7" s="130" t="s">
        <v>3</v>
      </c>
      <c r="BE7" s="135" t="s">
        <v>4</v>
      </c>
      <c r="BF7" s="130" t="s">
        <v>2</v>
      </c>
      <c r="BG7" s="130" t="s">
        <v>3</v>
      </c>
      <c r="BH7" s="135" t="s">
        <v>4</v>
      </c>
      <c r="BI7" s="130" t="s">
        <v>2</v>
      </c>
      <c r="BJ7" s="130" t="s">
        <v>3</v>
      </c>
      <c r="BK7" s="135" t="s">
        <v>4</v>
      </c>
      <c r="BL7" s="130" t="s">
        <v>2</v>
      </c>
      <c r="BM7" s="130" t="s">
        <v>3</v>
      </c>
      <c r="BN7" s="135" t="s">
        <v>4</v>
      </c>
      <c r="BO7" s="130" t="s">
        <v>2</v>
      </c>
      <c r="BP7" s="130" t="s">
        <v>3</v>
      </c>
      <c r="BQ7" s="135" t="s">
        <v>4</v>
      </c>
      <c r="BR7" s="130" t="s">
        <v>2</v>
      </c>
      <c r="BS7" s="130" t="s">
        <v>3</v>
      </c>
      <c r="BT7" s="135" t="s">
        <v>4</v>
      </c>
      <c r="BU7" s="130" t="s">
        <v>2</v>
      </c>
      <c r="BV7" s="130" t="s">
        <v>3</v>
      </c>
      <c r="BW7" s="135" t="s">
        <v>4</v>
      </c>
      <c r="BX7" s="130" t="s">
        <v>2</v>
      </c>
      <c r="BY7" s="130" t="s">
        <v>3</v>
      </c>
      <c r="BZ7" s="135" t="s">
        <v>4</v>
      </c>
      <c r="CA7" s="185"/>
      <c r="CB7" s="183"/>
      <c r="CC7" s="183"/>
      <c r="CD7" s="179"/>
    </row>
    <row r="8" spans="1:86" s="33" customFormat="1" ht="15.75" x14ac:dyDescent="0.25">
      <c r="C8" s="49" t="s">
        <v>5</v>
      </c>
      <c r="D8" s="49">
        <v>182.72890000000001</v>
      </c>
      <c r="E8" s="49">
        <v>0</v>
      </c>
      <c r="F8" s="50">
        <v>0</v>
      </c>
      <c r="G8" s="49">
        <v>182.72880000000001</v>
      </c>
      <c r="H8" s="49">
        <f>(G8-D8)*1000</f>
        <v>-0.10000000000331966</v>
      </c>
      <c r="I8" s="50">
        <f>F8+H8</f>
        <v>-0.10000000000331966</v>
      </c>
      <c r="J8" s="49">
        <v>182.72900000000001</v>
      </c>
      <c r="K8" s="49">
        <f>(J8-G8)*1000</f>
        <v>0.20000000000663931</v>
      </c>
      <c r="L8" s="50">
        <f>I8+K8</f>
        <v>0.10000000000331966</v>
      </c>
      <c r="M8" s="49">
        <v>182.72909999999999</v>
      </c>
      <c r="N8" s="49">
        <f>(M8-J8)*1000</f>
        <v>9.9999999974897946E-2</v>
      </c>
      <c r="O8" s="50">
        <f>L8+N8</f>
        <v>0.1999999999782176</v>
      </c>
      <c r="P8" s="49">
        <v>182.72929999999999</v>
      </c>
      <c r="Q8" s="49">
        <f>(P8-M8)*1000</f>
        <v>0.20000000000663931</v>
      </c>
      <c r="R8" s="50">
        <f>O8+Q8</f>
        <v>0.39999999998485691</v>
      </c>
      <c r="S8" s="49">
        <v>182.72919999999999</v>
      </c>
      <c r="T8" s="49">
        <f>(S8-P8)*1000</f>
        <v>-0.10000000000331966</v>
      </c>
      <c r="U8" s="50">
        <f>R8+T8</f>
        <v>0.29999999998153726</v>
      </c>
      <c r="V8" s="49">
        <v>182.7294</v>
      </c>
      <c r="W8" s="50">
        <f>(V8-S8)*1000</f>
        <v>0.20000000000663931</v>
      </c>
      <c r="X8" s="50">
        <f>U8+W8</f>
        <v>0.49999999998817657</v>
      </c>
      <c r="Y8" s="49">
        <v>182.7295</v>
      </c>
      <c r="Z8" s="50">
        <f>(Y8-V8)*1000</f>
        <v>0.10000000000331966</v>
      </c>
      <c r="AA8" s="50">
        <f>X8+Z8</f>
        <v>0.59999999999149622</v>
      </c>
      <c r="AB8" s="49">
        <v>182.72929999999999</v>
      </c>
      <c r="AC8" s="50">
        <f>(AB8-Y8)*1000</f>
        <v>-0.20000000000663931</v>
      </c>
      <c r="AD8" s="50">
        <f>AA8+AC8</f>
        <v>0.39999999998485691</v>
      </c>
      <c r="AE8" s="49">
        <v>182.7294</v>
      </c>
      <c r="AF8" s="50">
        <f>(AE8-AB8)*1000</f>
        <v>0.10000000000331966</v>
      </c>
      <c r="AG8" s="50">
        <f>AD8+AF8</f>
        <v>0.49999999998817657</v>
      </c>
      <c r="AH8" s="49">
        <v>182.7296</v>
      </c>
      <c r="AI8" s="50">
        <f>(AH8-AE8)*1000</f>
        <v>0.20000000000663931</v>
      </c>
      <c r="AJ8" s="50">
        <f>AG8+AI8</f>
        <v>0.69999999999481588</v>
      </c>
      <c r="AK8" s="49">
        <v>182.7295</v>
      </c>
      <c r="AL8" s="50">
        <f>(AK8-AH8)*1000</f>
        <v>-0.10000000000331966</v>
      </c>
      <c r="AM8" s="50">
        <f>AJ8+AL8</f>
        <v>0.59999999999149622</v>
      </c>
      <c r="AN8" s="49">
        <v>182.72970000000001</v>
      </c>
      <c r="AO8" s="50">
        <f>(AN8-AK8)*1000</f>
        <v>0.20000000000663931</v>
      </c>
      <c r="AP8" s="50">
        <f>AM8+AO8</f>
        <v>0.79999999999813554</v>
      </c>
      <c r="AQ8" s="49">
        <v>182.7296</v>
      </c>
      <c r="AR8" s="49">
        <f>(AQ8-AN8)*1000</f>
        <v>-0.10000000000331966</v>
      </c>
      <c r="AS8" s="49">
        <f>AP8+AR8</f>
        <v>0.69999999999481588</v>
      </c>
      <c r="AT8" s="49">
        <v>182.7295</v>
      </c>
      <c r="AU8" s="49">
        <f>(AT8-AQ8)*1000</f>
        <v>-0.10000000000331966</v>
      </c>
      <c r="AV8" s="49">
        <f>AS8+AU8</f>
        <v>0.59999999999149622</v>
      </c>
      <c r="AW8" s="49">
        <v>182.72929999999999</v>
      </c>
      <c r="AX8" s="49">
        <f>(AW8-AT8)*1000</f>
        <v>-0.20000000000663931</v>
      </c>
      <c r="AY8" s="49">
        <f>AV8+AX8</f>
        <v>0.39999999998485691</v>
      </c>
      <c r="AZ8" s="51">
        <v>182.72909999999999</v>
      </c>
      <c r="BA8" s="49">
        <f>(AZ8-AW8)*1000</f>
        <v>-0.20000000000663931</v>
      </c>
      <c r="BB8" s="49">
        <f>AY8+BA8</f>
        <v>0.1999999999782176</v>
      </c>
      <c r="BC8" s="51">
        <v>182.72880000000001</v>
      </c>
      <c r="BD8" s="49">
        <f>(BC8-AZ8)*1000</f>
        <v>-0.29999999998153726</v>
      </c>
      <c r="BE8" s="49">
        <f>BB8+BD8</f>
        <v>-0.10000000000331966</v>
      </c>
      <c r="BF8" s="51">
        <v>182.72839999999999</v>
      </c>
      <c r="BG8" s="49">
        <f>(BF8-BC8)*1000</f>
        <v>-0.40000000001327862</v>
      </c>
      <c r="BH8" s="49">
        <f>BE8+BG8</f>
        <v>-0.50000000001659828</v>
      </c>
      <c r="BI8" s="51">
        <v>182.7287</v>
      </c>
      <c r="BJ8" s="49">
        <f>(BI8-BF8)*1000</f>
        <v>0.30000000000995897</v>
      </c>
      <c r="BK8" s="49">
        <f>BH8+BJ8</f>
        <v>-0.20000000000663931</v>
      </c>
      <c r="BL8" s="51">
        <v>182.72890000000001</v>
      </c>
      <c r="BM8" s="49">
        <f>(BL8-BI8)*1000</f>
        <v>0.20000000000663931</v>
      </c>
      <c r="BN8" s="50">
        <f>BK8+BM8</f>
        <v>0</v>
      </c>
      <c r="BO8" s="51">
        <v>182.72819999999999</v>
      </c>
      <c r="BP8" s="49">
        <f>(BO8-BL8)*1000</f>
        <v>-0.70000000002323759</v>
      </c>
      <c r="BQ8" s="50">
        <f>BN8+BP8</f>
        <v>-0.70000000002323759</v>
      </c>
      <c r="BR8" s="51">
        <v>182.72880000000001</v>
      </c>
      <c r="BS8" s="49">
        <f>(BR8-BO8)*1000</f>
        <v>0.60000000001991793</v>
      </c>
      <c r="BT8" s="50">
        <f>BQ8+BS8</f>
        <v>-0.10000000000331966</v>
      </c>
      <c r="BU8" s="51">
        <v>182.7285</v>
      </c>
      <c r="BV8" s="50">
        <f>(BU8-BR8)*1000</f>
        <v>-0.30000000000995897</v>
      </c>
      <c r="BW8" s="50">
        <f>BT8+BV8</f>
        <v>-0.40000000001327862</v>
      </c>
      <c r="BX8" s="51">
        <v>182.7287</v>
      </c>
      <c r="BY8" s="50">
        <f>(BX8-BU8)*1000</f>
        <v>0.20000000000663931</v>
      </c>
      <c r="BZ8" s="50">
        <f>BW8+BY8</f>
        <v>-0.20000000000663931</v>
      </c>
      <c r="CA8" s="50" t="s">
        <v>55</v>
      </c>
      <c r="CB8" s="52">
        <v>7.85</v>
      </c>
      <c r="CC8" s="50">
        <v>4</v>
      </c>
      <c r="CD8" s="49" t="s">
        <v>5</v>
      </c>
      <c r="CF8" s="34"/>
      <c r="CG8" s="34"/>
    </row>
    <row r="9" spans="1:86" s="17" customFormat="1" ht="15.75" x14ac:dyDescent="0.25">
      <c r="C9" s="57" t="s">
        <v>6</v>
      </c>
      <c r="D9" s="58" t="s">
        <v>79</v>
      </c>
      <c r="E9" s="57" t="s">
        <v>40</v>
      </c>
      <c r="F9" s="58" t="s">
        <v>40</v>
      </c>
      <c r="G9" s="58" t="s">
        <v>79</v>
      </c>
      <c r="H9" s="57" t="s">
        <v>40</v>
      </c>
      <c r="I9" s="58" t="s">
        <v>40</v>
      </c>
      <c r="J9" s="58" t="s">
        <v>79</v>
      </c>
      <c r="K9" s="57" t="s">
        <v>40</v>
      </c>
      <c r="L9" s="58" t="s">
        <v>40</v>
      </c>
      <c r="M9" s="58" t="s">
        <v>79</v>
      </c>
      <c r="N9" s="57" t="s">
        <v>40</v>
      </c>
      <c r="O9" s="58" t="s">
        <v>40</v>
      </c>
      <c r="P9" s="58" t="s">
        <v>79</v>
      </c>
      <c r="Q9" s="57" t="s">
        <v>40</v>
      </c>
      <c r="R9" s="58" t="s">
        <v>40</v>
      </c>
      <c r="S9" s="58" t="s">
        <v>79</v>
      </c>
      <c r="T9" s="57" t="s">
        <v>40</v>
      </c>
      <c r="U9" s="58" t="s">
        <v>40</v>
      </c>
      <c r="V9" s="58" t="s">
        <v>79</v>
      </c>
      <c r="W9" s="58" t="s">
        <v>40</v>
      </c>
      <c r="X9" s="58" t="s">
        <v>40</v>
      </c>
      <c r="Y9" s="58" t="s">
        <v>79</v>
      </c>
      <c r="Z9" s="58" t="s">
        <v>40</v>
      </c>
      <c r="AA9" s="58" t="s">
        <v>40</v>
      </c>
      <c r="AB9" s="58" t="s">
        <v>79</v>
      </c>
      <c r="AC9" s="58" t="s">
        <v>40</v>
      </c>
      <c r="AD9" s="58" t="s">
        <v>40</v>
      </c>
      <c r="AE9" s="58" t="s">
        <v>79</v>
      </c>
      <c r="AF9" s="58" t="s">
        <v>40</v>
      </c>
      <c r="AG9" s="58" t="s">
        <v>40</v>
      </c>
      <c r="AH9" s="58" t="s">
        <v>79</v>
      </c>
      <c r="AI9" s="58" t="s">
        <v>40</v>
      </c>
      <c r="AJ9" s="58" t="s">
        <v>40</v>
      </c>
      <c r="AK9" s="58" t="s">
        <v>41</v>
      </c>
      <c r="AL9" s="58" t="s">
        <v>40</v>
      </c>
      <c r="AM9" s="58" t="s">
        <v>40</v>
      </c>
      <c r="AN9" s="58" t="s">
        <v>41</v>
      </c>
      <c r="AO9" s="58" t="s">
        <v>40</v>
      </c>
      <c r="AP9" s="58" t="s">
        <v>40</v>
      </c>
      <c r="AQ9" s="58" t="s">
        <v>41</v>
      </c>
      <c r="AR9" s="57" t="s">
        <v>40</v>
      </c>
      <c r="AS9" s="58" t="s">
        <v>40</v>
      </c>
      <c r="AT9" s="58" t="s">
        <v>41</v>
      </c>
      <c r="AU9" s="57" t="s">
        <v>40</v>
      </c>
      <c r="AV9" s="58" t="s">
        <v>40</v>
      </c>
      <c r="AW9" s="58" t="s">
        <v>41</v>
      </c>
      <c r="AX9" s="57" t="s">
        <v>40</v>
      </c>
      <c r="AY9" s="58" t="s">
        <v>40</v>
      </c>
      <c r="AZ9" s="59" t="s">
        <v>41</v>
      </c>
      <c r="BA9" s="57" t="s">
        <v>80</v>
      </c>
      <c r="BB9" s="57" t="s">
        <v>80</v>
      </c>
      <c r="BC9" s="59" t="s">
        <v>41</v>
      </c>
      <c r="BD9" s="57" t="s">
        <v>80</v>
      </c>
      <c r="BE9" s="57" t="s">
        <v>80</v>
      </c>
      <c r="BF9" s="59" t="s">
        <v>41</v>
      </c>
      <c r="BG9" s="57" t="s">
        <v>80</v>
      </c>
      <c r="BH9" s="57" t="s">
        <v>80</v>
      </c>
      <c r="BI9" s="59" t="s">
        <v>41</v>
      </c>
      <c r="BJ9" s="57" t="s">
        <v>80</v>
      </c>
      <c r="BK9" s="57" t="s">
        <v>80</v>
      </c>
      <c r="BL9" s="59" t="s">
        <v>41</v>
      </c>
      <c r="BM9" s="57" t="s">
        <v>80</v>
      </c>
      <c r="BN9" s="57" t="s">
        <v>80</v>
      </c>
      <c r="BO9" s="59" t="s">
        <v>41</v>
      </c>
      <c r="BP9" s="57" t="s">
        <v>80</v>
      </c>
      <c r="BQ9" s="57" t="s">
        <v>80</v>
      </c>
      <c r="BR9" s="59" t="s">
        <v>41</v>
      </c>
      <c r="BS9" s="57" t="s">
        <v>80</v>
      </c>
      <c r="BT9" s="57" t="s">
        <v>80</v>
      </c>
      <c r="BU9" s="59" t="s">
        <v>41</v>
      </c>
      <c r="BV9" s="58" t="s">
        <v>80</v>
      </c>
      <c r="BW9" s="58" t="s">
        <v>80</v>
      </c>
      <c r="BX9" s="59" t="s">
        <v>41</v>
      </c>
      <c r="BY9" s="58" t="s">
        <v>80</v>
      </c>
      <c r="BZ9" s="58" t="s">
        <v>80</v>
      </c>
      <c r="CA9" s="58" t="s">
        <v>50</v>
      </c>
      <c r="CB9" s="60">
        <v>5.0599999999999996</v>
      </c>
      <c r="CC9" s="58">
        <v>10</v>
      </c>
      <c r="CD9" s="57" t="s">
        <v>6</v>
      </c>
      <c r="CF9" s="18"/>
      <c r="CG9" s="18"/>
    </row>
    <row r="10" spans="1:86" s="33" customFormat="1" ht="15.75" x14ac:dyDescent="0.25">
      <c r="C10" s="49" t="s">
        <v>7</v>
      </c>
      <c r="D10" s="49">
        <v>182.7302</v>
      </c>
      <c r="E10" s="49">
        <v>0</v>
      </c>
      <c r="F10" s="50">
        <v>0</v>
      </c>
      <c r="G10" s="49">
        <v>182.7304</v>
      </c>
      <c r="H10" s="49">
        <f>(G10-D10)*1000</f>
        <v>0.20000000000663931</v>
      </c>
      <c r="I10" s="50">
        <f>F10+H10</f>
        <v>0.20000000000663931</v>
      </c>
      <c r="J10" s="49">
        <v>182.7303</v>
      </c>
      <c r="K10" s="49">
        <f>(J10-G10)*1000</f>
        <v>-0.10000000000331966</v>
      </c>
      <c r="L10" s="50">
        <f>I10+K10</f>
        <v>0.10000000000331966</v>
      </c>
      <c r="M10" s="49">
        <v>182.73009999999999</v>
      </c>
      <c r="N10" s="49">
        <f>(M10-J10)*1000</f>
        <v>-0.20000000000663931</v>
      </c>
      <c r="O10" s="50">
        <f>L10+N10</f>
        <v>-0.10000000000331966</v>
      </c>
      <c r="P10" s="49">
        <v>182.7302</v>
      </c>
      <c r="Q10" s="49">
        <f>(P10-M10)*1000</f>
        <v>0.10000000000331966</v>
      </c>
      <c r="R10" s="50">
        <f>O10+Q10</f>
        <v>0</v>
      </c>
      <c r="S10" s="49">
        <v>182.7304</v>
      </c>
      <c r="T10" s="49">
        <f>(S10-P10)*1000</f>
        <v>0.20000000000663931</v>
      </c>
      <c r="U10" s="50">
        <f>R10+T10</f>
        <v>0.20000000000663931</v>
      </c>
      <c r="V10" s="49">
        <v>182.7304</v>
      </c>
      <c r="W10" s="50">
        <f>(V10-S10)*1000</f>
        <v>0</v>
      </c>
      <c r="X10" s="50">
        <f>U10+W10</f>
        <v>0.20000000000663931</v>
      </c>
      <c r="Y10" s="49">
        <v>182.73060000000001</v>
      </c>
      <c r="Z10" s="50">
        <f>(Y10-V10)*1000</f>
        <v>0.20000000000663931</v>
      </c>
      <c r="AA10" s="50">
        <f>X10+Z10</f>
        <v>0.40000000001327862</v>
      </c>
      <c r="AB10" s="49">
        <v>182.73050000000001</v>
      </c>
      <c r="AC10" s="50">
        <f>(AB10-Y10)*1000</f>
        <v>-0.10000000000331966</v>
      </c>
      <c r="AD10" s="50">
        <f>AA10+AC10</f>
        <v>0.30000000000995897</v>
      </c>
      <c r="AE10" s="49">
        <v>182.73070000000001</v>
      </c>
      <c r="AF10" s="50">
        <f>(AE10-AB10)*1000</f>
        <v>0.20000000000663931</v>
      </c>
      <c r="AG10" s="50">
        <f>AD10+AF10</f>
        <v>0.50000000001659828</v>
      </c>
      <c r="AH10" s="49">
        <v>182.73060000000001</v>
      </c>
      <c r="AI10" s="50">
        <f>(AH10-AE10)*1000</f>
        <v>-0.10000000000331966</v>
      </c>
      <c r="AJ10" s="50">
        <f>AG10+AI10</f>
        <v>0.40000000001327862</v>
      </c>
      <c r="AK10" s="49">
        <v>182.73079999999999</v>
      </c>
      <c r="AL10" s="50">
        <f>(AK10-AH10)*1000</f>
        <v>0.1999999999782176</v>
      </c>
      <c r="AM10" s="50">
        <f>AJ10+AL10</f>
        <v>0.59999999999149622</v>
      </c>
      <c r="AN10" s="49">
        <v>182.73070000000001</v>
      </c>
      <c r="AO10" s="50">
        <f>(AN10-AK10)*1000</f>
        <v>-9.9999999974897946E-2</v>
      </c>
      <c r="AP10" s="50">
        <f>AM10+AO10</f>
        <v>0.50000000001659828</v>
      </c>
      <c r="AQ10" s="49">
        <v>182.73050000000001</v>
      </c>
      <c r="AR10" s="49">
        <f>(AQ10-AN10)*1000</f>
        <v>-0.20000000000663931</v>
      </c>
      <c r="AS10" s="49">
        <f>AP10+AR10</f>
        <v>0.30000000000995897</v>
      </c>
      <c r="AT10" s="49">
        <v>182.73060000000001</v>
      </c>
      <c r="AU10" s="49">
        <f>(AT10-AQ10)*1000</f>
        <v>0.10000000000331966</v>
      </c>
      <c r="AV10" s="49">
        <f>AS10+AU10</f>
        <v>0.40000000001327862</v>
      </c>
      <c r="AW10" s="49">
        <v>182.73079999999999</v>
      </c>
      <c r="AX10" s="49">
        <f>(AW10-AT10)*1000</f>
        <v>0.1999999999782176</v>
      </c>
      <c r="AY10" s="49">
        <f>AV10+AX10</f>
        <v>0.59999999999149622</v>
      </c>
      <c r="AZ10" s="51">
        <v>182.73089999999999</v>
      </c>
      <c r="BA10" s="49">
        <f t="shared" ref="BA10:BA24" si="0">(AZ10-AW10)*1000</f>
        <v>0.10000000000331966</v>
      </c>
      <c r="BB10" s="49">
        <f t="shared" ref="BB10:BB24" si="1">AY10+BA10</f>
        <v>0.69999999999481588</v>
      </c>
      <c r="BC10" s="51">
        <v>182.73070000000001</v>
      </c>
      <c r="BD10" s="49">
        <f t="shared" ref="BD10:BD11" si="2">(BC10-AZ10)*1000</f>
        <v>-0.1999999999782176</v>
      </c>
      <c r="BE10" s="49">
        <f t="shared" ref="BE10:BE11" si="3">BB10+BD10</f>
        <v>0.50000000001659828</v>
      </c>
      <c r="BF10" s="51">
        <v>182.73089999999999</v>
      </c>
      <c r="BG10" s="49">
        <f t="shared" ref="BG10:BG11" si="4">(BF10-BC10)*1000</f>
        <v>0.1999999999782176</v>
      </c>
      <c r="BH10" s="49">
        <f t="shared" ref="BH10:BH11" si="5">BE10+BG10</f>
        <v>0.69999999999481588</v>
      </c>
      <c r="BI10" s="51">
        <v>182.73050000000001</v>
      </c>
      <c r="BJ10" s="49">
        <f t="shared" ref="BJ10:BJ11" si="6">(BI10-BF10)*1000</f>
        <v>-0.39999999998485691</v>
      </c>
      <c r="BK10" s="49">
        <f t="shared" ref="BK10:BK11" si="7">BH10+BJ10</f>
        <v>0.30000000000995897</v>
      </c>
      <c r="BL10" s="51">
        <v>182.7303</v>
      </c>
      <c r="BM10" s="49">
        <f t="shared" ref="BM10:BM11" si="8">(BL10-BI10)*1000</f>
        <v>-0.20000000000663931</v>
      </c>
      <c r="BN10" s="49">
        <f t="shared" ref="BN10:BN11" si="9">BK10+BM10</f>
        <v>0.10000000000331966</v>
      </c>
      <c r="BO10" s="51">
        <v>182.72980000000001</v>
      </c>
      <c r="BP10" s="49">
        <f t="shared" ref="BP10:BP11" si="10">(BO10-BL10)*1000</f>
        <v>-0.49999999998817657</v>
      </c>
      <c r="BQ10" s="49">
        <f t="shared" ref="BQ10:BQ11" si="11">BN10+BP10</f>
        <v>-0.39999999998485691</v>
      </c>
      <c r="BR10" s="51">
        <v>182.73050000000001</v>
      </c>
      <c r="BS10" s="49">
        <f t="shared" ref="BS10:BS11" si="12">(BR10-BO10)*1000</f>
        <v>0.69999999999481588</v>
      </c>
      <c r="BT10" s="49">
        <f t="shared" ref="BT10:BT11" si="13">BQ10+BS10</f>
        <v>0.30000000000995897</v>
      </c>
      <c r="BU10" s="51">
        <v>182.73050000000001</v>
      </c>
      <c r="BV10" s="50">
        <f t="shared" ref="BV10:BV24" si="14">(BU10-BR10)*1000</f>
        <v>0</v>
      </c>
      <c r="BW10" s="50">
        <f t="shared" ref="BW10:BW24" si="15">BT10+BV10</f>
        <v>0.30000000000995897</v>
      </c>
      <c r="BX10" s="51">
        <v>182.73060000000001</v>
      </c>
      <c r="BY10" s="50">
        <f t="shared" ref="BY10:BY11" si="16">(BX10-BU10)*1000</f>
        <v>0.10000000000331966</v>
      </c>
      <c r="BZ10" s="50">
        <f t="shared" ref="BZ10:BZ11" si="17">BW10+BY10</f>
        <v>0.40000000001327862</v>
      </c>
      <c r="CA10" s="50" t="s">
        <v>55</v>
      </c>
      <c r="CB10" s="52">
        <v>7.85</v>
      </c>
      <c r="CC10" s="50">
        <v>4</v>
      </c>
      <c r="CD10" s="49" t="s">
        <v>7</v>
      </c>
      <c r="CF10" s="34"/>
      <c r="CG10" s="34"/>
    </row>
    <row r="11" spans="1:86" s="22" customFormat="1" ht="15.75" x14ac:dyDescent="0.25">
      <c r="C11" s="61" t="s">
        <v>8</v>
      </c>
      <c r="D11" s="61">
        <v>182.79349999999999</v>
      </c>
      <c r="E11" s="61">
        <v>0</v>
      </c>
      <c r="F11" s="62">
        <v>0</v>
      </c>
      <c r="G11" s="61">
        <v>182.7936</v>
      </c>
      <c r="H11" s="61">
        <f>(G11-D11)*1000</f>
        <v>0.10000000000331966</v>
      </c>
      <c r="I11" s="62">
        <f>F11+H11</f>
        <v>0.10000000000331966</v>
      </c>
      <c r="J11" s="61">
        <v>182.79339999999999</v>
      </c>
      <c r="K11" s="62">
        <f>(J11-G11)*1000</f>
        <v>-0.20000000000663931</v>
      </c>
      <c r="L11" s="62">
        <f>I11+K11</f>
        <v>-0.10000000000331966</v>
      </c>
      <c r="M11" s="61">
        <v>182.7937</v>
      </c>
      <c r="N11" s="62">
        <f>(M11-J11)*1000</f>
        <v>0.30000000000995897</v>
      </c>
      <c r="O11" s="62">
        <f>L11+N11</f>
        <v>0.20000000000663931</v>
      </c>
      <c r="P11" s="61">
        <v>182.7936</v>
      </c>
      <c r="Q11" s="62">
        <f>(P11-M11)*1000</f>
        <v>-0.10000000000331966</v>
      </c>
      <c r="R11" s="62">
        <f>O11+Q11</f>
        <v>0.10000000000331966</v>
      </c>
      <c r="S11" s="61">
        <v>182.79339999999999</v>
      </c>
      <c r="T11" s="62">
        <f>(S11-P11)*1000</f>
        <v>-0.20000000000663931</v>
      </c>
      <c r="U11" s="62">
        <f>R11+T11</f>
        <v>-0.10000000000331966</v>
      </c>
      <c r="V11" s="61">
        <v>182.79349999999999</v>
      </c>
      <c r="W11" s="62">
        <f>(V11-S11)*1000</f>
        <v>0.10000000000331966</v>
      </c>
      <c r="X11" s="62">
        <f>U11+W11</f>
        <v>0</v>
      </c>
      <c r="Y11" s="61">
        <v>182.79320000000001</v>
      </c>
      <c r="Z11" s="62">
        <f>(Y11-V11)*1000</f>
        <v>-0.29999999998153726</v>
      </c>
      <c r="AA11" s="62">
        <f>X11+Z11</f>
        <v>-0.29999999998153726</v>
      </c>
      <c r="AB11" s="61">
        <v>182.7937</v>
      </c>
      <c r="AC11" s="62">
        <f>(AB11-Y11)*1000</f>
        <v>0.49999999998817657</v>
      </c>
      <c r="AD11" s="62">
        <f>AA11+AC11</f>
        <v>0.20000000000663931</v>
      </c>
      <c r="AE11" s="61">
        <v>182.79339999999999</v>
      </c>
      <c r="AF11" s="62">
        <f>(AE11-AB11)*1000</f>
        <v>-0.30000000000995897</v>
      </c>
      <c r="AG11" s="62">
        <f>AD11+AF11</f>
        <v>-0.10000000000331966</v>
      </c>
      <c r="AH11" s="61">
        <v>182.7938</v>
      </c>
      <c r="AI11" s="62">
        <f>(AH11-AE11)*1000</f>
        <v>0.40000000001327862</v>
      </c>
      <c r="AJ11" s="62">
        <f>AG11+AI11</f>
        <v>0.30000000000995897</v>
      </c>
      <c r="AK11" s="61">
        <v>182.79339999999999</v>
      </c>
      <c r="AL11" s="62">
        <f>(AK11-AH11)*1000</f>
        <v>-0.40000000001327862</v>
      </c>
      <c r="AM11" s="62">
        <f>AJ11+AL11</f>
        <v>-0.10000000000331966</v>
      </c>
      <c r="AN11" s="61">
        <v>182.79390000000001</v>
      </c>
      <c r="AO11" s="62">
        <f>(AN11-AK11)*1000</f>
        <v>0.50000000001659828</v>
      </c>
      <c r="AP11" s="62">
        <f>AM11+AO11</f>
        <v>0.40000000001327862</v>
      </c>
      <c r="AQ11" s="61">
        <v>182.79390000000001</v>
      </c>
      <c r="AR11" s="62">
        <f>(AQ11-AN11)*1000</f>
        <v>0</v>
      </c>
      <c r="AS11" s="61">
        <f>AP11+AR11</f>
        <v>0.40000000001327862</v>
      </c>
      <c r="AT11" s="61">
        <v>182.7937</v>
      </c>
      <c r="AU11" s="62">
        <f>(AT11-AQ11)*1000</f>
        <v>-0.20000000000663931</v>
      </c>
      <c r="AV11" s="61">
        <f>AS11+AU11</f>
        <v>0.20000000000663931</v>
      </c>
      <c r="AW11" s="61">
        <v>182.7936</v>
      </c>
      <c r="AX11" s="62">
        <f>(AW11-AT11)*1000</f>
        <v>-0.10000000000331966</v>
      </c>
      <c r="AY11" s="61">
        <f>AV11+AX11</f>
        <v>0.10000000000331966</v>
      </c>
      <c r="AZ11" s="63">
        <v>182.79339999999999</v>
      </c>
      <c r="BA11" s="61">
        <f t="shared" si="0"/>
        <v>-0.20000000000663931</v>
      </c>
      <c r="BB11" s="61">
        <f t="shared" si="1"/>
        <v>-0.10000000000331966</v>
      </c>
      <c r="BC11" s="63">
        <v>182.79300000000001</v>
      </c>
      <c r="BD11" s="61">
        <f t="shared" si="2"/>
        <v>-0.39999999998485691</v>
      </c>
      <c r="BE11" s="61">
        <f t="shared" si="3"/>
        <v>-0.49999999998817657</v>
      </c>
      <c r="BF11" s="63">
        <v>182.79320000000001</v>
      </c>
      <c r="BG11" s="61">
        <f t="shared" si="4"/>
        <v>0.20000000000663931</v>
      </c>
      <c r="BH11" s="61">
        <f t="shared" si="5"/>
        <v>-0.29999999998153726</v>
      </c>
      <c r="BI11" s="63">
        <v>182.79339999999999</v>
      </c>
      <c r="BJ11" s="61">
        <f t="shared" si="6"/>
        <v>0.1999999999782176</v>
      </c>
      <c r="BK11" s="61">
        <f t="shared" si="7"/>
        <v>-0.10000000000331966</v>
      </c>
      <c r="BL11" s="63">
        <v>182.79320000000001</v>
      </c>
      <c r="BM11" s="61">
        <f t="shared" si="8"/>
        <v>-0.1999999999782176</v>
      </c>
      <c r="BN11" s="61">
        <f t="shared" si="9"/>
        <v>-0.29999999998153726</v>
      </c>
      <c r="BO11" s="63">
        <v>182.7927</v>
      </c>
      <c r="BP11" s="61">
        <f t="shared" si="10"/>
        <v>-0.50000000001659828</v>
      </c>
      <c r="BQ11" s="61">
        <f t="shared" si="11"/>
        <v>-0.79999999999813554</v>
      </c>
      <c r="BR11" s="63">
        <v>182.79339999999999</v>
      </c>
      <c r="BS11" s="61">
        <f t="shared" si="12"/>
        <v>0.69999999999481588</v>
      </c>
      <c r="BT11" s="61">
        <f t="shared" si="13"/>
        <v>-0.10000000000331966</v>
      </c>
      <c r="BU11" s="63">
        <v>182.7936</v>
      </c>
      <c r="BV11" s="62">
        <f t="shared" si="14"/>
        <v>0.20000000000663931</v>
      </c>
      <c r="BW11" s="62">
        <f t="shared" si="15"/>
        <v>0.10000000000331966</v>
      </c>
      <c r="BX11" s="63">
        <v>182.7938</v>
      </c>
      <c r="BY11" s="62">
        <f t="shared" si="16"/>
        <v>0.20000000000663931</v>
      </c>
      <c r="BZ11" s="62">
        <f t="shared" si="17"/>
        <v>0.30000000000995897</v>
      </c>
      <c r="CA11" s="62" t="s">
        <v>56</v>
      </c>
      <c r="CB11" s="64">
        <v>1.27</v>
      </c>
      <c r="CC11" s="62">
        <v>10</v>
      </c>
      <c r="CD11" s="61" t="s">
        <v>8</v>
      </c>
      <c r="CF11" s="23"/>
      <c r="CG11" s="23"/>
    </row>
    <row r="12" spans="1:86" s="17" customFormat="1" ht="15.75" x14ac:dyDescent="0.25">
      <c r="C12" s="57" t="s">
        <v>9</v>
      </c>
      <c r="D12" s="58" t="s">
        <v>79</v>
      </c>
      <c r="E12" s="57" t="s">
        <v>40</v>
      </c>
      <c r="F12" s="58" t="s">
        <v>40</v>
      </c>
      <c r="G12" s="58" t="s">
        <v>79</v>
      </c>
      <c r="H12" s="57" t="s">
        <v>40</v>
      </c>
      <c r="I12" s="58" t="s">
        <v>40</v>
      </c>
      <c r="J12" s="58" t="s">
        <v>79</v>
      </c>
      <c r="K12" s="57" t="s">
        <v>40</v>
      </c>
      <c r="L12" s="58" t="s">
        <v>40</v>
      </c>
      <c r="M12" s="58" t="s">
        <v>79</v>
      </c>
      <c r="N12" s="57" t="s">
        <v>40</v>
      </c>
      <c r="O12" s="58" t="s">
        <v>40</v>
      </c>
      <c r="P12" s="58" t="s">
        <v>79</v>
      </c>
      <c r="Q12" s="57" t="s">
        <v>40</v>
      </c>
      <c r="R12" s="58" t="s">
        <v>40</v>
      </c>
      <c r="S12" s="58" t="s">
        <v>79</v>
      </c>
      <c r="T12" s="57" t="s">
        <v>40</v>
      </c>
      <c r="U12" s="58" t="s">
        <v>40</v>
      </c>
      <c r="V12" s="58" t="s">
        <v>79</v>
      </c>
      <c r="W12" s="58" t="s">
        <v>40</v>
      </c>
      <c r="X12" s="58" t="s">
        <v>40</v>
      </c>
      <c r="Y12" s="58" t="s">
        <v>79</v>
      </c>
      <c r="Z12" s="58" t="s">
        <v>40</v>
      </c>
      <c r="AA12" s="58" t="s">
        <v>40</v>
      </c>
      <c r="AB12" s="58" t="s">
        <v>79</v>
      </c>
      <c r="AC12" s="58" t="s">
        <v>40</v>
      </c>
      <c r="AD12" s="58" t="s">
        <v>40</v>
      </c>
      <c r="AE12" s="58" t="s">
        <v>79</v>
      </c>
      <c r="AF12" s="58" t="s">
        <v>40</v>
      </c>
      <c r="AG12" s="58" t="s">
        <v>40</v>
      </c>
      <c r="AH12" s="58" t="s">
        <v>79</v>
      </c>
      <c r="AI12" s="58" t="s">
        <v>40</v>
      </c>
      <c r="AJ12" s="58" t="s">
        <v>40</v>
      </c>
      <c r="AK12" s="58" t="s">
        <v>41</v>
      </c>
      <c r="AL12" s="58" t="s">
        <v>40</v>
      </c>
      <c r="AM12" s="58" t="s">
        <v>40</v>
      </c>
      <c r="AN12" s="58" t="s">
        <v>41</v>
      </c>
      <c r="AO12" s="58" t="s">
        <v>40</v>
      </c>
      <c r="AP12" s="58" t="s">
        <v>40</v>
      </c>
      <c r="AQ12" s="58" t="s">
        <v>41</v>
      </c>
      <c r="AR12" s="57" t="s">
        <v>40</v>
      </c>
      <c r="AS12" s="58" t="s">
        <v>40</v>
      </c>
      <c r="AT12" s="58" t="s">
        <v>41</v>
      </c>
      <c r="AU12" s="57" t="s">
        <v>40</v>
      </c>
      <c r="AV12" s="58" t="s">
        <v>40</v>
      </c>
      <c r="AW12" s="58" t="s">
        <v>41</v>
      </c>
      <c r="AX12" s="57" t="s">
        <v>40</v>
      </c>
      <c r="AY12" s="58" t="s">
        <v>40</v>
      </c>
      <c r="AZ12" s="59" t="s">
        <v>41</v>
      </c>
      <c r="BA12" s="57" t="s">
        <v>80</v>
      </c>
      <c r="BB12" s="57" t="s">
        <v>80</v>
      </c>
      <c r="BC12" s="59" t="s">
        <v>41</v>
      </c>
      <c r="BD12" s="57" t="s">
        <v>80</v>
      </c>
      <c r="BE12" s="57" t="s">
        <v>80</v>
      </c>
      <c r="BF12" s="59" t="s">
        <v>41</v>
      </c>
      <c r="BG12" s="57" t="s">
        <v>80</v>
      </c>
      <c r="BH12" s="57" t="s">
        <v>80</v>
      </c>
      <c r="BI12" s="59" t="s">
        <v>41</v>
      </c>
      <c r="BJ12" s="57" t="s">
        <v>80</v>
      </c>
      <c r="BK12" s="57" t="s">
        <v>80</v>
      </c>
      <c r="BL12" s="59" t="s">
        <v>41</v>
      </c>
      <c r="BM12" s="57" t="s">
        <v>80</v>
      </c>
      <c r="BN12" s="57" t="s">
        <v>80</v>
      </c>
      <c r="BO12" s="59" t="s">
        <v>41</v>
      </c>
      <c r="BP12" s="57" t="s">
        <v>80</v>
      </c>
      <c r="BQ12" s="57" t="s">
        <v>80</v>
      </c>
      <c r="BR12" s="59" t="s">
        <v>41</v>
      </c>
      <c r="BS12" s="57" t="s">
        <v>80</v>
      </c>
      <c r="BT12" s="57" t="s">
        <v>80</v>
      </c>
      <c r="BU12" s="59" t="s">
        <v>41</v>
      </c>
      <c r="BV12" s="58" t="s">
        <v>80</v>
      </c>
      <c r="BW12" s="58" t="s">
        <v>80</v>
      </c>
      <c r="BX12" s="59" t="s">
        <v>41</v>
      </c>
      <c r="BY12" s="58" t="s">
        <v>80</v>
      </c>
      <c r="BZ12" s="58" t="s">
        <v>80</v>
      </c>
      <c r="CA12" s="58" t="s">
        <v>50</v>
      </c>
      <c r="CB12" s="60">
        <v>5.0599999999999996</v>
      </c>
      <c r="CC12" s="58">
        <v>10</v>
      </c>
      <c r="CD12" s="57" t="s">
        <v>9</v>
      </c>
      <c r="CF12" s="18"/>
      <c r="CG12" s="18"/>
    </row>
    <row r="13" spans="1:86" s="17" customFormat="1" ht="15.75" x14ac:dyDescent="0.25">
      <c r="C13" s="57" t="s">
        <v>10</v>
      </c>
      <c r="D13" s="58" t="s">
        <v>79</v>
      </c>
      <c r="E13" s="57" t="s">
        <v>40</v>
      </c>
      <c r="F13" s="58" t="s">
        <v>40</v>
      </c>
      <c r="G13" s="58" t="s">
        <v>79</v>
      </c>
      <c r="H13" s="57" t="s">
        <v>40</v>
      </c>
      <c r="I13" s="58" t="s">
        <v>40</v>
      </c>
      <c r="J13" s="58" t="s">
        <v>79</v>
      </c>
      <c r="K13" s="57" t="s">
        <v>40</v>
      </c>
      <c r="L13" s="58" t="s">
        <v>40</v>
      </c>
      <c r="M13" s="58" t="s">
        <v>79</v>
      </c>
      <c r="N13" s="57" t="s">
        <v>40</v>
      </c>
      <c r="O13" s="58" t="s">
        <v>40</v>
      </c>
      <c r="P13" s="58" t="s">
        <v>79</v>
      </c>
      <c r="Q13" s="57" t="s">
        <v>40</v>
      </c>
      <c r="R13" s="58" t="s">
        <v>40</v>
      </c>
      <c r="S13" s="58" t="s">
        <v>79</v>
      </c>
      <c r="T13" s="57" t="s">
        <v>40</v>
      </c>
      <c r="U13" s="58" t="s">
        <v>40</v>
      </c>
      <c r="V13" s="58" t="s">
        <v>79</v>
      </c>
      <c r="W13" s="58" t="s">
        <v>40</v>
      </c>
      <c r="X13" s="58" t="s">
        <v>40</v>
      </c>
      <c r="Y13" s="58" t="s">
        <v>79</v>
      </c>
      <c r="Z13" s="58" t="s">
        <v>40</v>
      </c>
      <c r="AA13" s="58" t="s">
        <v>40</v>
      </c>
      <c r="AB13" s="58" t="s">
        <v>79</v>
      </c>
      <c r="AC13" s="58" t="s">
        <v>40</v>
      </c>
      <c r="AD13" s="58" t="s">
        <v>40</v>
      </c>
      <c r="AE13" s="58" t="s">
        <v>79</v>
      </c>
      <c r="AF13" s="58" t="s">
        <v>40</v>
      </c>
      <c r="AG13" s="58" t="s">
        <v>40</v>
      </c>
      <c r="AH13" s="58" t="s">
        <v>79</v>
      </c>
      <c r="AI13" s="58" t="s">
        <v>40</v>
      </c>
      <c r="AJ13" s="58" t="s">
        <v>40</v>
      </c>
      <c r="AK13" s="58" t="s">
        <v>41</v>
      </c>
      <c r="AL13" s="58" t="s">
        <v>40</v>
      </c>
      <c r="AM13" s="58" t="s">
        <v>40</v>
      </c>
      <c r="AN13" s="58" t="s">
        <v>41</v>
      </c>
      <c r="AO13" s="58" t="s">
        <v>40</v>
      </c>
      <c r="AP13" s="58" t="s">
        <v>40</v>
      </c>
      <c r="AQ13" s="58" t="s">
        <v>41</v>
      </c>
      <c r="AR13" s="57" t="s">
        <v>40</v>
      </c>
      <c r="AS13" s="58" t="s">
        <v>40</v>
      </c>
      <c r="AT13" s="58" t="s">
        <v>41</v>
      </c>
      <c r="AU13" s="57" t="s">
        <v>40</v>
      </c>
      <c r="AV13" s="58" t="s">
        <v>40</v>
      </c>
      <c r="AW13" s="58" t="s">
        <v>41</v>
      </c>
      <c r="AX13" s="57" t="s">
        <v>40</v>
      </c>
      <c r="AY13" s="58" t="s">
        <v>40</v>
      </c>
      <c r="AZ13" s="59" t="s">
        <v>41</v>
      </c>
      <c r="BA13" s="57" t="s">
        <v>80</v>
      </c>
      <c r="BB13" s="57" t="s">
        <v>80</v>
      </c>
      <c r="BC13" s="59" t="s">
        <v>41</v>
      </c>
      <c r="BD13" s="57" t="s">
        <v>80</v>
      </c>
      <c r="BE13" s="57" t="s">
        <v>80</v>
      </c>
      <c r="BF13" s="59" t="s">
        <v>41</v>
      </c>
      <c r="BG13" s="57" t="s">
        <v>80</v>
      </c>
      <c r="BH13" s="57" t="s">
        <v>80</v>
      </c>
      <c r="BI13" s="59" t="s">
        <v>41</v>
      </c>
      <c r="BJ13" s="57" t="s">
        <v>80</v>
      </c>
      <c r="BK13" s="57" t="s">
        <v>80</v>
      </c>
      <c r="BL13" s="59" t="s">
        <v>41</v>
      </c>
      <c r="BM13" s="57" t="s">
        <v>80</v>
      </c>
      <c r="BN13" s="57" t="s">
        <v>80</v>
      </c>
      <c r="BO13" s="59" t="s">
        <v>41</v>
      </c>
      <c r="BP13" s="57" t="s">
        <v>80</v>
      </c>
      <c r="BQ13" s="57" t="s">
        <v>80</v>
      </c>
      <c r="BR13" s="59" t="s">
        <v>41</v>
      </c>
      <c r="BS13" s="57" t="s">
        <v>80</v>
      </c>
      <c r="BT13" s="57" t="s">
        <v>80</v>
      </c>
      <c r="BU13" s="59" t="s">
        <v>41</v>
      </c>
      <c r="BV13" s="58" t="s">
        <v>80</v>
      </c>
      <c r="BW13" s="58" t="s">
        <v>80</v>
      </c>
      <c r="BX13" s="59" t="s">
        <v>41</v>
      </c>
      <c r="BY13" s="58" t="s">
        <v>80</v>
      </c>
      <c r="BZ13" s="58" t="s">
        <v>80</v>
      </c>
      <c r="CA13" s="58" t="s">
        <v>50</v>
      </c>
      <c r="CB13" s="60">
        <v>5.0599999999999996</v>
      </c>
      <c r="CC13" s="58">
        <v>10</v>
      </c>
      <c r="CD13" s="57" t="s">
        <v>10</v>
      </c>
      <c r="CF13" s="18"/>
      <c r="CG13" s="18"/>
    </row>
    <row r="14" spans="1:86" s="19" customFormat="1" ht="15.75" x14ac:dyDescent="0.25">
      <c r="C14" s="77" t="s">
        <v>11</v>
      </c>
      <c r="D14" s="77">
        <v>183.57089999999999</v>
      </c>
      <c r="E14" s="77">
        <v>0</v>
      </c>
      <c r="F14" s="78">
        <v>0</v>
      </c>
      <c r="G14" s="77">
        <v>183.5712</v>
      </c>
      <c r="H14" s="77">
        <f>(G14-D14)*1000</f>
        <v>0.30000000000995897</v>
      </c>
      <c r="I14" s="78">
        <f>F14+H14</f>
        <v>0.30000000000995897</v>
      </c>
      <c r="J14" s="77">
        <v>183.5711</v>
      </c>
      <c r="K14" s="77">
        <f>(J14-G14)*1000</f>
        <v>-0.10000000000331966</v>
      </c>
      <c r="L14" s="78">
        <f>I14+K14</f>
        <v>0.20000000000663931</v>
      </c>
      <c r="M14" s="77">
        <v>183.57130000000001</v>
      </c>
      <c r="N14" s="77">
        <f>(M14-J14)*1000</f>
        <v>0.20000000000663931</v>
      </c>
      <c r="O14" s="78">
        <f>L14+N14</f>
        <v>0.40000000001327862</v>
      </c>
      <c r="P14" s="77">
        <v>183.57149999999999</v>
      </c>
      <c r="Q14" s="77">
        <f>(P14-M14)*1000</f>
        <v>0.1999999999782176</v>
      </c>
      <c r="R14" s="78">
        <f>O14+Q14</f>
        <v>0.59999999999149622</v>
      </c>
      <c r="S14" s="77">
        <v>183.57140000000001</v>
      </c>
      <c r="T14" s="77">
        <f>(S14-P14)*1000</f>
        <v>-9.9999999974897946E-2</v>
      </c>
      <c r="U14" s="78">
        <f>R14+T14</f>
        <v>0.50000000001659828</v>
      </c>
      <c r="V14" s="77">
        <v>183.57149999999999</v>
      </c>
      <c r="W14" s="78">
        <f>(V14-S14)*1000</f>
        <v>9.9999999974897946E-2</v>
      </c>
      <c r="X14" s="78">
        <f>U14+W14</f>
        <v>0.59999999999149622</v>
      </c>
      <c r="Y14" s="77">
        <v>183.57140000000001</v>
      </c>
      <c r="Z14" s="78">
        <f>(Y14-V14)*1000</f>
        <v>-9.9999999974897946E-2</v>
      </c>
      <c r="AA14" s="78">
        <f>X14+Z14</f>
        <v>0.50000000001659828</v>
      </c>
      <c r="AB14" s="77">
        <v>183.57159999999999</v>
      </c>
      <c r="AC14" s="78">
        <f>(AB14-Y14)*1000</f>
        <v>0.1999999999782176</v>
      </c>
      <c r="AD14" s="78">
        <f>AA14+AC14</f>
        <v>0.69999999999481588</v>
      </c>
      <c r="AE14" s="77">
        <v>183.57140000000001</v>
      </c>
      <c r="AF14" s="78">
        <f>(AE14-AB14)*1000</f>
        <v>-0.1999999999782176</v>
      </c>
      <c r="AG14" s="78">
        <f>AD14+AF14</f>
        <v>0.50000000001659828</v>
      </c>
      <c r="AH14" s="77">
        <v>183.5711</v>
      </c>
      <c r="AI14" s="78">
        <f>(AH14-AE14)*1000</f>
        <v>-0.30000000000995897</v>
      </c>
      <c r="AJ14" s="78">
        <f>AG14+AI14</f>
        <v>0.20000000000663931</v>
      </c>
      <c r="AK14" s="77">
        <v>183.57149999999999</v>
      </c>
      <c r="AL14" s="78">
        <f>(AK14-AH14)*1000</f>
        <v>0.39999999998485691</v>
      </c>
      <c r="AM14" s="78">
        <f>AJ14+AL14</f>
        <v>0.59999999999149622</v>
      </c>
      <c r="AN14" s="77">
        <v>183.57169999999999</v>
      </c>
      <c r="AO14" s="78">
        <f>(AN14-AK14)*1000</f>
        <v>0.20000000000663931</v>
      </c>
      <c r="AP14" s="78">
        <f>AM14+AO14</f>
        <v>0.79999999999813554</v>
      </c>
      <c r="AQ14" s="77">
        <v>183.57159999999999</v>
      </c>
      <c r="AR14" s="77">
        <f>(AQ14-AN14)*1000</f>
        <v>-0.10000000000331966</v>
      </c>
      <c r="AS14" s="77">
        <f>AP14+AR14</f>
        <v>0.69999999999481588</v>
      </c>
      <c r="AT14" s="77">
        <v>183.57140000000001</v>
      </c>
      <c r="AU14" s="77">
        <f>(AT14-AQ14)*1000</f>
        <v>-0.1999999999782176</v>
      </c>
      <c r="AV14" s="77">
        <f>AS14+AU14</f>
        <v>0.50000000001659828</v>
      </c>
      <c r="AW14" s="77">
        <v>183.57169999999999</v>
      </c>
      <c r="AX14" s="77">
        <f>(AW14-AT14)*1000</f>
        <v>0.29999999998153726</v>
      </c>
      <c r="AY14" s="77">
        <f>AV14+AX14</f>
        <v>0.79999999999813554</v>
      </c>
      <c r="AZ14" s="79">
        <v>183.5719</v>
      </c>
      <c r="BA14" s="77">
        <f t="shared" si="0"/>
        <v>0.20000000000663931</v>
      </c>
      <c r="BB14" s="77">
        <f t="shared" si="1"/>
        <v>1.0000000000047748</v>
      </c>
      <c r="BC14" s="79">
        <v>183.572</v>
      </c>
      <c r="BD14" s="77">
        <f t="shared" ref="BD14:BD18" si="18">(BC14-AZ14)*1000</f>
        <v>0.10000000000331966</v>
      </c>
      <c r="BE14" s="77">
        <f t="shared" ref="BE14:BE18" si="19">BB14+BD14</f>
        <v>1.1000000000080945</v>
      </c>
      <c r="BF14" s="79">
        <v>183.57230000000001</v>
      </c>
      <c r="BG14" s="77">
        <f t="shared" ref="BG14:BG18" si="20">(BF14-BC14)*1000</f>
        <v>0.30000000000995897</v>
      </c>
      <c r="BH14" s="77">
        <f t="shared" ref="BH14:BH18" si="21">BE14+BG14</f>
        <v>1.4000000000180535</v>
      </c>
      <c r="BI14" s="79">
        <v>183.57210000000001</v>
      </c>
      <c r="BJ14" s="77">
        <f t="shared" ref="BJ14:BJ18" si="22">(BI14-BF14)*1000</f>
        <v>-0.20000000000663931</v>
      </c>
      <c r="BK14" s="77">
        <f t="shared" ref="BK14:BK18" si="23">BH14+BJ14</f>
        <v>1.2000000000114142</v>
      </c>
      <c r="BL14" s="79">
        <v>183.57239999999999</v>
      </c>
      <c r="BM14" s="77">
        <f t="shared" ref="BM14:BM18" si="24">(BL14-BI14)*1000</f>
        <v>0.29999999998153726</v>
      </c>
      <c r="BN14" s="77">
        <f t="shared" ref="BN14:BN18" si="25">BK14+BM14</f>
        <v>1.4999999999929514</v>
      </c>
      <c r="BO14" s="79">
        <v>183.57210000000001</v>
      </c>
      <c r="BP14" s="77">
        <f t="shared" ref="BP14:BP18" si="26">(BO14-BL14)*1000</f>
        <v>-0.29999999998153726</v>
      </c>
      <c r="BQ14" s="77">
        <f t="shared" ref="BQ14:BQ18" si="27">BN14+BP14</f>
        <v>1.2000000000114142</v>
      </c>
      <c r="BR14" s="79">
        <v>183.57239999999999</v>
      </c>
      <c r="BS14" s="77">
        <f t="shared" ref="BS14:BS18" si="28">(BR14-BO14)*1000</f>
        <v>0.29999999998153726</v>
      </c>
      <c r="BT14" s="77">
        <f t="shared" ref="BT14:BT18" si="29">BQ14+BS14</f>
        <v>1.4999999999929514</v>
      </c>
      <c r="BU14" s="79">
        <v>183.57230000000001</v>
      </c>
      <c r="BV14" s="78">
        <f t="shared" si="14"/>
        <v>-9.9999999974897946E-2</v>
      </c>
      <c r="BW14" s="78">
        <f t="shared" si="15"/>
        <v>1.4000000000180535</v>
      </c>
      <c r="BX14" s="79">
        <v>183.57249999999999</v>
      </c>
      <c r="BY14" s="78">
        <f t="shared" ref="BY14:BY18" si="30">(BX14-BU14)*1000</f>
        <v>0.1999999999782176</v>
      </c>
      <c r="BZ14" s="78">
        <f t="shared" ref="BZ14:BZ18" si="31">BW14+BY14</f>
        <v>1.5999999999962711</v>
      </c>
      <c r="CA14" s="78" t="s">
        <v>53</v>
      </c>
      <c r="CB14" s="80">
        <v>18.05</v>
      </c>
      <c r="CC14" s="78">
        <v>10</v>
      </c>
      <c r="CD14" s="77" t="s">
        <v>11</v>
      </c>
      <c r="CF14" s="20"/>
      <c r="CG14" s="20"/>
    </row>
    <row r="15" spans="1:86" s="24" customFormat="1" ht="15.75" x14ac:dyDescent="0.25">
      <c r="C15" s="81" t="s">
        <v>12</v>
      </c>
      <c r="D15" s="81">
        <v>183.43120000000002</v>
      </c>
      <c r="E15" s="81">
        <v>0</v>
      </c>
      <c r="F15" s="82">
        <v>0</v>
      </c>
      <c r="G15" s="81">
        <v>183.43109999999999</v>
      </c>
      <c r="H15" s="81">
        <f>(G15-D15)*1000</f>
        <v>-0.10000000003174137</v>
      </c>
      <c r="I15" s="82">
        <f>F15+H15</f>
        <v>-0.10000000003174137</v>
      </c>
      <c r="J15" s="81">
        <v>183.43129999999999</v>
      </c>
      <c r="K15" s="81">
        <f>(J15-G15)*1000</f>
        <v>0.20000000000663931</v>
      </c>
      <c r="L15" s="82">
        <f>I15+K15</f>
        <v>9.9999999974897946E-2</v>
      </c>
      <c r="M15" s="81">
        <v>183.43119999999999</v>
      </c>
      <c r="N15" s="81">
        <f>(M15-J15)*1000</f>
        <v>-0.10000000000331966</v>
      </c>
      <c r="O15" s="82">
        <f>L15+N15</f>
        <v>-2.8421709430404007E-11</v>
      </c>
      <c r="P15" s="81">
        <v>183.43129999999999</v>
      </c>
      <c r="Q15" s="81">
        <f>(P15-M15)*1000</f>
        <v>0.10000000000331966</v>
      </c>
      <c r="R15" s="82">
        <f>O15+Q15</f>
        <v>9.9999999974897946E-2</v>
      </c>
      <c r="S15" s="81">
        <v>183.4315</v>
      </c>
      <c r="T15" s="81">
        <f>(S15-P15)*1000</f>
        <v>0.20000000000663931</v>
      </c>
      <c r="U15" s="82">
        <f>R15+T15</f>
        <v>0.29999999998153726</v>
      </c>
      <c r="V15" s="81">
        <v>183.4314</v>
      </c>
      <c r="W15" s="82">
        <f>(V15-S15)*1000</f>
        <v>-0.10000000000331966</v>
      </c>
      <c r="X15" s="82">
        <f>U15+W15</f>
        <v>0.1999999999782176</v>
      </c>
      <c r="Y15" s="81">
        <v>183.4316</v>
      </c>
      <c r="Z15" s="82">
        <f>(Y15-V15)*1000</f>
        <v>0.20000000000663931</v>
      </c>
      <c r="AA15" s="82">
        <f>X15+Z15</f>
        <v>0.39999999998485691</v>
      </c>
      <c r="AB15" s="81">
        <v>183.43190000000001</v>
      </c>
      <c r="AC15" s="82">
        <f>(AB15-Y15)*1000</f>
        <v>0.30000000000995897</v>
      </c>
      <c r="AD15" s="82">
        <f>AA15+AC15</f>
        <v>0.69999999999481588</v>
      </c>
      <c r="AE15" s="81">
        <v>183.43199999999999</v>
      </c>
      <c r="AF15" s="82">
        <f>(AE15-AB15)*1000</f>
        <v>9.9999999974897946E-2</v>
      </c>
      <c r="AG15" s="82">
        <f>AD15+AF15</f>
        <v>0.79999999996971383</v>
      </c>
      <c r="AH15" s="81">
        <v>183.43219999999999</v>
      </c>
      <c r="AI15" s="82">
        <f>(AH15-AE15)*1000</f>
        <v>0.20000000000663931</v>
      </c>
      <c r="AJ15" s="82">
        <f>AG15+AI15</f>
        <v>0.99999999997635314</v>
      </c>
      <c r="AK15" s="81">
        <v>183.43199999999999</v>
      </c>
      <c r="AL15" s="82">
        <f>(AK15-AH15)*1000</f>
        <v>-0.20000000000663931</v>
      </c>
      <c r="AM15" s="82">
        <f>AJ15+AL15</f>
        <v>0.79999999996971383</v>
      </c>
      <c r="AN15" s="81">
        <v>183.43209999999999</v>
      </c>
      <c r="AO15" s="82">
        <f>(AN15-AK15)*1000</f>
        <v>0.10000000000331966</v>
      </c>
      <c r="AP15" s="82">
        <f>AM15+AO15</f>
        <v>0.89999999997303348</v>
      </c>
      <c r="AQ15" s="81">
        <v>183.43190000000001</v>
      </c>
      <c r="AR15" s="81">
        <f>(AQ15-AN15)*1000</f>
        <v>-0.1999999999782176</v>
      </c>
      <c r="AS15" s="81">
        <f>AP15+AR15</f>
        <v>0.69999999999481588</v>
      </c>
      <c r="AT15" s="81">
        <v>183.43180000000001</v>
      </c>
      <c r="AU15" s="81">
        <f>(AT15-AQ15)*1000</f>
        <v>-0.10000000000331966</v>
      </c>
      <c r="AV15" s="81">
        <f>AS15+AU15</f>
        <v>0.59999999999149622</v>
      </c>
      <c r="AW15" s="81">
        <v>183.43190000000001</v>
      </c>
      <c r="AX15" s="81">
        <f>(AW15-AT15)*1000</f>
        <v>0.10000000000331966</v>
      </c>
      <c r="AY15" s="81">
        <f>AV15+AX15</f>
        <v>0.69999999999481588</v>
      </c>
      <c r="AZ15" s="83">
        <v>183.43199999999999</v>
      </c>
      <c r="BA15" s="81">
        <f t="shared" si="0"/>
        <v>9.9999999974897946E-2</v>
      </c>
      <c r="BB15" s="81">
        <f t="shared" si="1"/>
        <v>0.79999999996971383</v>
      </c>
      <c r="BC15" s="83">
        <v>183.4323</v>
      </c>
      <c r="BD15" s="81">
        <f t="shared" si="18"/>
        <v>0.30000000000995897</v>
      </c>
      <c r="BE15" s="81">
        <f t="shared" si="19"/>
        <v>1.0999999999796728</v>
      </c>
      <c r="BF15" s="83">
        <v>183.4325</v>
      </c>
      <c r="BG15" s="81">
        <f t="shared" si="20"/>
        <v>0.20000000000663931</v>
      </c>
      <c r="BH15" s="81">
        <f t="shared" si="21"/>
        <v>1.2999999999863121</v>
      </c>
      <c r="BI15" s="83">
        <v>183.43270000000001</v>
      </c>
      <c r="BJ15" s="81">
        <f t="shared" si="22"/>
        <v>0.20000000000663931</v>
      </c>
      <c r="BK15" s="81">
        <f t="shared" si="23"/>
        <v>1.4999999999929514</v>
      </c>
      <c r="BL15" s="83">
        <v>183.4325</v>
      </c>
      <c r="BM15" s="81">
        <f t="shared" si="24"/>
        <v>-0.20000000000663931</v>
      </c>
      <c r="BN15" s="81">
        <f t="shared" si="25"/>
        <v>1.2999999999863121</v>
      </c>
      <c r="BO15" s="83">
        <v>183.43199999999999</v>
      </c>
      <c r="BP15" s="81">
        <f t="shared" si="26"/>
        <v>-0.50000000001659828</v>
      </c>
      <c r="BQ15" s="81">
        <f t="shared" si="27"/>
        <v>0.79999999996971383</v>
      </c>
      <c r="BR15" s="83">
        <v>183.4323</v>
      </c>
      <c r="BS15" s="81">
        <f t="shared" si="28"/>
        <v>0.30000000000995897</v>
      </c>
      <c r="BT15" s="81">
        <f t="shared" si="29"/>
        <v>1.0999999999796728</v>
      </c>
      <c r="BU15" s="83">
        <v>183.4325</v>
      </c>
      <c r="BV15" s="82">
        <f t="shared" si="14"/>
        <v>0.20000000000663931</v>
      </c>
      <c r="BW15" s="82">
        <f t="shared" si="15"/>
        <v>1.2999999999863121</v>
      </c>
      <c r="BX15" s="83">
        <v>183.4324</v>
      </c>
      <c r="BY15" s="82">
        <f t="shared" si="30"/>
        <v>-0.10000000000331966</v>
      </c>
      <c r="BZ15" s="82">
        <f t="shared" si="31"/>
        <v>1.1999999999829924</v>
      </c>
      <c r="CA15" s="82" t="s">
        <v>57</v>
      </c>
      <c r="CB15" s="84">
        <v>3.64</v>
      </c>
      <c r="CC15" s="82">
        <v>4</v>
      </c>
      <c r="CD15" s="81" t="s">
        <v>12</v>
      </c>
      <c r="CF15" s="25"/>
      <c r="CG15" s="25"/>
    </row>
    <row r="16" spans="1:86" s="19" customFormat="1" x14ac:dyDescent="0.25">
      <c r="C16" s="77" t="s">
        <v>13</v>
      </c>
      <c r="D16" s="77">
        <v>183.2979</v>
      </c>
      <c r="E16" s="77">
        <v>0</v>
      </c>
      <c r="F16" s="78">
        <v>0</v>
      </c>
      <c r="G16" s="77">
        <v>183.29810000000001</v>
      </c>
      <c r="H16" s="77">
        <f>(G16-D16)*1000</f>
        <v>0.20000000000663931</v>
      </c>
      <c r="I16" s="78">
        <f>F16+H16</f>
        <v>0.20000000000663931</v>
      </c>
      <c r="J16" s="77">
        <v>183.29820000000001</v>
      </c>
      <c r="K16" s="77">
        <f>(J16-G16)*1000</f>
        <v>0.10000000000331966</v>
      </c>
      <c r="L16" s="78">
        <f>I16+K16</f>
        <v>0.30000000000995897</v>
      </c>
      <c r="M16" s="77">
        <v>183.29839999999999</v>
      </c>
      <c r="N16" s="77">
        <f>(M16-J16)*1000</f>
        <v>0.1999999999782176</v>
      </c>
      <c r="O16" s="78">
        <f>L16+N16</f>
        <v>0.49999999998817657</v>
      </c>
      <c r="P16" s="77">
        <v>183.29810000000001</v>
      </c>
      <c r="Q16" s="77">
        <f>(P16-M16)*1000</f>
        <v>-0.29999999998153726</v>
      </c>
      <c r="R16" s="78">
        <f>O16+Q16</f>
        <v>0.20000000000663931</v>
      </c>
      <c r="S16" s="77">
        <v>183.29830000000001</v>
      </c>
      <c r="T16" s="77">
        <f>(S16-P16)*1000</f>
        <v>0.20000000000663931</v>
      </c>
      <c r="U16" s="78">
        <f>R16+T16</f>
        <v>0.40000000001327862</v>
      </c>
      <c r="V16" s="77">
        <v>183.29849999999999</v>
      </c>
      <c r="W16" s="78">
        <f>(V16-S16)*1000</f>
        <v>0.1999999999782176</v>
      </c>
      <c r="X16" s="78">
        <f>U16+W16</f>
        <v>0.59999999999149622</v>
      </c>
      <c r="Y16" s="77">
        <v>183.29859999999999</v>
      </c>
      <c r="Z16" s="78">
        <f>(Y16-V16)*1000</f>
        <v>0.10000000000331966</v>
      </c>
      <c r="AA16" s="78">
        <f>X16+Z16</f>
        <v>0.69999999999481588</v>
      </c>
      <c r="AB16" s="77">
        <v>183.2987</v>
      </c>
      <c r="AC16" s="78">
        <f>(AB16-Y16)*1000</f>
        <v>0.10000000000331966</v>
      </c>
      <c r="AD16" s="78">
        <f>AA16+AC16</f>
        <v>0.79999999999813554</v>
      </c>
      <c r="AE16" s="77">
        <v>183.29859999999999</v>
      </c>
      <c r="AF16" s="78">
        <f>(AE16-AB16)*1000</f>
        <v>-0.10000000000331966</v>
      </c>
      <c r="AG16" s="78">
        <f>AD16+AF16</f>
        <v>0.69999999999481588</v>
      </c>
      <c r="AH16" s="77">
        <v>183.2987</v>
      </c>
      <c r="AI16" s="78">
        <f>(AH16-AE16)*1000</f>
        <v>0.10000000000331966</v>
      </c>
      <c r="AJ16" s="78">
        <f>AG16+AI16</f>
        <v>0.79999999999813554</v>
      </c>
      <c r="AK16" s="77">
        <v>183.2989</v>
      </c>
      <c r="AL16" s="78">
        <f>(AK16-AH16)*1000</f>
        <v>0.20000000000663931</v>
      </c>
      <c r="AM16" s="78">
        <f>AJ16+AL16</f>
        <v>1.0000000000047748</v>
      </c>
      <c r="AN16" s="77">
        <v>183.2988</v>
      </c>
      <c r="AO16" s="78">
        <f>(AN16-AK16)*1000</f>
        <v>-0.10000000000331966</v>
      </c>
      <c r="AP16" s="78">
        <f>AM16+AO16</f>
        <v>0.90000000000145519</v>
      </c>
      <c r="AQ16" s="77">
        <v>183.2989</v>
      </c>
      <c r="AR16" s="77">
        <f>(AQ16-AN16)*1000</f>
        <v>0.10000000000331966</v>
      </c>
      <c r="AS16" s="78">
        <f>AP16+AR16</f>
        <v>1.0000000000047748</v>
      </c>
      <c r="AT16" s="77">
        <v>183.29859999999999</v>
      </c>
      <c r="AU16" s="77">
        <f>(AT16-AQ16)*1000</f>
        <v>-0.30000000000995897</v>
      </c>
      <c r="AV16" s="78">
        <f>AS16+AU16</f>
        <v>0.69999999999481588</v>
      </c>
      <c r="AW16" s="77">
        <v>183.29849999999999</v>
      </c>
      <c r="AX16" s="77">
        <f>(AW16-AT16)*1000</f>
        <v>-0.10000000000331966</v>
      </c>
      <c r="AY16" s="78">
        <f>AV16+AX16</f>
        <v>0.59999999999149622</v>
      </c>
      <c r="AZ16" s="79">
        <v>183.29830000000001</v>
      </c>
      <c r="BA16" s="77">
        <f t="shared" si="0"/>
        <v>-0.1999999999782176</v>
      </c>
      <c r="BB16" s="77">
        <f t="shared" si="1"/>
        <v>0.40000000001327862</v>
      </c>
      <c r="BC16" s="79">
        <v>183.298</v>
      </c>
      <c r="BD16" s="77">
        <f t="shared" si="18"/>
        <v>-0.30000000000995897</v>
      </c>
      <c r="BE16" s="77">
        <f t="shared" si="19"/>
        <v>0.10000000000331966</v>
      </c>
      <c r="BF16" s="79">
        <v>183.29810000000001</v>
      </c>
      <c r="BG16" s="77">
        <f t="shared" si="20"/>
        <v>0.10000000000331966</v>
      </c>
      <c r="BH16" s="77">
        <f t="shared" si="21"/>
        <v>0.20000000000663931</v>
      </c>
      <c r="BI16" s="79">
        <v>183.29839999999999</v>
      </c>
      <c r="BJ16" s="77">
        <f t="shared" si="22"/>
        <v>0.29999999998153726</v>
      </c>
      <c r="BK16" s="77">
        <f t="shared" si="23"/>
        <v>0.49999999998817657</v>
      </c>
      <c r="BL16" s="79">
        <v>183.2987</v>
      </c>
      <c r="BM16" s="77">
        <f t="shared" si="24"/>
        <v>0.30000000000995897</v>
      </c>
      <c r="BN16" s="77">
        <f t="shared" si="25"/>
        <v>0.79999999999813554</v>
      </c>
      <c r="BO16" s="79">
        <v>183.29810000000001</v>
      </c>
      <c r="BP16" s="77">
        <f t="shared" si="26"/>
        <v>-0.59999999999149622</v>
      </c>
      <c r="BQ16" s="77">
        <f t="shared" si="27"/>
        <v>0.20000000000663931</v>
      </c>
      <c r="BR16" s="79">
        <v>183.29859999999999</v>
      </c>
      <c r="BS16" s="77">
        <f t="shared" si="28"/>
        <v>0.49999999998817657</v>
      </c>
      <c r="BT16" s="77">
        <f t="shared" si="29"/>
        <v>0.69999999999481588</v>
      </c>
      <c r="BU16" s="79">
        <v>183.29830000000001</v>
      </c>
      <c r="BV16" s="78">
        <f t="shared" si="14"/>
        <v>-0.29999999998153726</v>
      </c>
      <c r="BW16" s="78">
        <f t="shared" si="15"/>
        <v>0.40000000001327862</v>
      </c>
      <c r="BX16" s="79">
        <v>183.29859999999999</v>
      </c>
      <c r="BY16" s="78">
        <f t="shared" si="30"/>
        <v>0.29999999998153726</v>
      </c>
      <c r="BZ16" s="78">
        <f t="shared" si="31"/>
        <v>0.69999999999481588</v>
      </c>
      <c r="CA16" s="78" t="s">
        <v>53</v>
      </c>
      <c r="CB16" s="80">
        <v>18.05</v>
      </c>
      <c r="CC16" s="78">
        <v>10</v>
      </c>
      <c r="CD16" s="77" t="s">
        <v>13</v>
      </c>
    </row>
    <row r="17" spans="3:85" s="21" customFormat="1" x14ac:dyDescent="0.25">
      <c r="C17" s="69" t="s">
        <v>14</v>
      </c>
      <c r="D17" s="69">
        <v>183.3716</v>
      </c>
      <c r="E17" s="69">
        <v>0</v>
      </c>
      <c r="F17" s="70">
        <v>0</v>
      </c>
      <c r="G17" s="69">
        <v>183.3717</v>
      </c>
      <c r="H17" s="69">
        <f>(G17-D17)*1000</f>
        <v>0.10000000000331966</v>
      </c>
      <c r="I17" s="70">
        <f>F17+H17</f>
        <v>0.10000000000331966</v>
      </c>
      <c r="J17" s="69">
        <v>183.37200000000001</v>
      </c>
      <c r="K17" s="69">
        <f>(J17-G17)*1000</f>
        <v>0.30000000000995897</v>
      </c>
      <c r="L17" s="70">
        <f>I17+K17</f>
        <v>0.40000000001327862</v>
      </c>
      <c r="M17" s="69">
        <v>183.37209999999999</v>
      </c>
      <c r="N17" s="69">
        <f>(M17-J17)*1000</f>
        <v>9.9999999974897946E-2</v>
      </c>
      <c r="O17" s="70">
        <f>L17+N17</f>
        <v>0.49999999998817657</v>
      </c>
      <c r="P17" s="69">
        <v>183.3723</v>
      </c>
      <c r="Q17" s="69">
        <f>(P17-M17)*1000</f>
        <v>0.20000000000663931</v>
      </c>
      <c r="R17" s="70">
        <f>O17+Q17</f>
        <v>0.69999999999481588</v>
      </c>
      <c r="S17" s="69">
        <v>183.3724</v>
      </c>
      <c r="T17" s="69">
        <f>(S17-P17)*1000</f>
        <v>0.10000000000331966</v>
      </c>
      <c r="U17" s="70">
        <f>R17+T17</f>
        <v>0.79999999999813554</v>
      </c>
      <c r="V17" s="69">
        <v>183.37219999999999</v>
      </c>
      <c r="W17" s="70">
        <f>(V17-S17)*1000</f>
        <v>-0.20000000000663931</v>
      </c>
      <c r="X17" s="70">
        <f>U17+W17</f>
        <v>0.59999999999149622</v>
      </c>
      <c r="Y17" s="69">
        <v>183.3725</v>
      </c>
      <c r="Z17" s="70">
        <f>(Y17-V17)*1000</f>
        <v>0.30000000000995897</v>
      </c>
      <c r="AA17" s="70">
        <f>X17+Z17</f>
        <v>0.90000000000145519</v>
      </c>
      <c r="AB17" s="69">
        <v>183.37219999999999</v>
      </c>
      <c r="AC17" s="70">
        <f>(AB17-Y17)*1000</f>
        <v>-0.30000000000995897</v>
      </c>
      <c r="AD17" s="70">
        <f>AA17+AC17</f>
        <v>0.59999999999149622</v>
      </c>
      <c r="AE17" s="69">
        <v>183.3724</v>
      </c>
      <c r="AF17" s="70">
        <f>(AE17-AB17)*1000</f>
        <v>0.20000000000663931</v>
      </c>
      <c r="AG17" s="70">
        <f>AD17+AF17</f>
        <v>0.79999999999813554</v>
      </c>
      <c r="AH17" s="69">
        <v>183.3723</v>
      </c>
      <c r="AI17" s="70">
        <f>(AH17-AE17)*1000</f>
        <v>-0.10000000000331966</v>
      </c>
      <c r="AJ17" s="70">
        <f>AG17+AI17</f>
        <v>0.69999999999481588</v>
      </c>
      <c r="AK17" s="69">
        <v>183.3724</v>
      </c>
      <c r="AL17" s="70">
        <f>(AK17-AH17)*1000</f>
        <v>0.10000000000331966</v>
      </c>
      <c r="AM17" s="70">
        <f>AJ17+AL17</f>
        <v>0.79999999999813554</v>
      </c>
      <c r="AN17" s="69">
        <v>183.37209999999999</v>
      </c>
      <c r="AO17" s="70">
        <f>(AN17-AK17)*1000</f>
        <v>-0.30000000000995897</v>
      </c>
      <c r="AP17" s="70">
        <f>AM17+AO17</f>
        <v>0.49999999998817657</v>
      </c>
      <c r="AQ17" s="69">
        <v>183.3723</v>
      </c>
      <c r="AR17" s="69">
        <f>(AQ17-AN17)*1000</f>
        <v>0.20000000000663931</v>
      </c>
      <c r="AS17" s="69">
        <f>AP17+AR17</f>
        <v>0.69999999999481588</v>
      </c>
      <c r="AT17" s="69">
        <v>183.37219999999999</v>
      </c>
      <c r="AU17" s="69">
        <f>(AT17-AQ17)*1000</f>
        <v>-0.10000000000331966</v>
      </c>
      <c r="AV17" s="69">
        <f>AS17+AU17</f>
        <v>0.59999999999149622</v>
      </c>
      <c r="AW17" s="69">
        <v>183.37209999999999</v>
      </c>
      <c r="AX17" s="69">
        <f>(AW17-AT17)*1000</f>
        <v>-0.10000000000331966</v>
      </c>
      <c r="AY17" s="69">
        <f>AV17+AX17</f>
        <v>0.49999999998817657</v>
      </c>
      <c r="AZ17" s="71">
        <v>183.37219999999999</v>
      </c>
      <c r="BA17" s="69">
        <f t="shared" si="0"/>
        <v>0.10000000000331966</v>
      </c>
      <c r="BB17" s="69">
        <f t="shared" si="1"/>
        <v>0.59999999999149622</v>
      </c>
      <c r="BC17" s="71">
        <v>183.3717</v>
      </c>
      <c r="BD17" s="69">
        <f t="shared" si="18"/>
        <v>-0.49999999998817657</v>
      </c>
      <c r="BE17" s="69">
        <f t="shared" si="19"/>
        <v>0.10000000000331966</v>
      </c>
      <c r="BF17" s="71">
        <v>183.37180000000001</v>
      </c>
      <c r="BG17" s="69">
        <f t="shared" si="20"/>
        <v>0.10000000000331966</v>
      </c>
      <c r="BH17" s="69">
        <f t="shared" si="21"/>
        <v>0.20000000000663931</v>
      </c>
      <c r="BI17" s="71">
        <v>183.3716</v>
      </c>
      <c r="BJ17" s="69">
        <f t="shared" si="22"/>
        <v>-0.20000000000663931</v>
      </c>
      <c r="BK17" s="69">
        <f t="shared" si="23"/>
        <v>0</v>
      </c>
      <c r="BL17" s="71">
        <v>183.3715</v>
      </c>
      <c r="BM17" s="69">
        <f t="shared" si="24"/>
        <v>-0.10000000000331966</v>
      </c>
      <c r="BN17" s="69">
        <f t="shared" si="25"/>
        <v>-0.10000000000331966</v>
      </c>
      <c r="BO17" s="71">
        <v>183.37180000000001</v>
      </c>
      <c r="BP17" s="69">
        <f t="shared" si="26"/>
        <v>0.30000000000995897</v>
      </c>
      <c r="BQ17" s="69">
        <f t="shared" si="27"/>
        <v>0.20000000000663931</v>
      </c>
      <c r="BR17" s="71">
        <v>183.37139999999999</v>
      </c>
      <c r="BS17" s="69">
        <f t="shared" si="28"/>
        <v>-0.40000000001327862</v>
      </c>
      <c r="BT17" s="69">
        <f t="shared" si="29"/>
        <v>-0.20000000000663931</v>
      </c>
      <c r="BU17" s="71">
        <v>183.37129999999999</v>
      </c>
      <c r="BV17" s="70">
        <f t="shared" si="14"/>
        <v>-0.10000000000331966</v>
      </c>
      <c r="BW17" s="70">
        <f t="shared" si="15"/>
        <v>-0.30000000000995897</v>
      </c>
      <c r="BX17" s="71">
        <v>183.37110000000001</v>
      </c>
      <c r="BY17" s="70">
        <f t="shared" si="30"/>
        <v>-0.1999999999782176</v>
      </c>
      <c r="BZ17" s="70">
        <f t="shared" si="31"/>
        <v>-0.49999999998817657</v>
      </c>
      <c r="CA17" s="70" t="s">
        <v>52</v>
      </c>
      <c r="CB17" s="72">
        <v>10.57</v>
      </c>
      <c r="CC17" s="70">
        <v>10</v>
      </c>
      <c r="CD17" s="69" t="s">
        <v>14</v>
      </c>
    </row>
    <row r="18" spans="3:85" s="26" customFormat="1" x14ac:dyDescent="0.25">
      <c r="C18" s="45" t="s">
        <v>15</v>
      </c>
      <c r="D18" s="45">
        <v>183.40880000000001</v>
      </c>
      <c r="E18" s="45">
        <v>0</v>
      </c>
      <c r="F18" s="46">
        <v>0</v>
      </c>
      <c r="G18" s="45">
        <v>183.40870000000001</v>
      </c>
      <c r="H18" s="46">
        <f>(G18-D18)*1000</f>
        <v>-0.10000000000331966</v>
      </c>
      <c r="I18" s="46">
        <f>F18+H18</f>
        <v>-0.10000000000331966</v>
      </c>
      <c r="J18" s="45">
        <v>183.4085</v>
      </c>
      <c r="K18" s="46">
        <f>(J18-G18)*1000</f>
        <v>-0.20000000000663931</v>
      </c>
      <c r="L18" s="46">
        <f>I18+K18</f>
        <v>-0.30000000000995897</v>
      </c>
      <c r="M18" s="45">
        <v>183.40870000000001</v>
      </c>
      <c r="N18" s="46">
        <f>(M18-J18)*1000</f>
        <v>0.20000000000663931</v>
      </c>
      <c r="O18" s="46">
        <f>L18+N18</f>
        <v>-0.10000000000331966</v>
      </c>
      <c r="P18" s="45">
        <v>183.40880000000001</v>
      </c>
      <c r="Q18" s="46">
        <f>(P18-M18)*1000</f>
        <v>0.10000000000331966</v>
      </c>
      <c r="R18" s="46">
        <f>O18+Q18</f>
        <v>0</v>
      </c>
      <c r="S18" s="45">
        <v>183.40899999999999</v>
      </c>
      <c r="T18" s="46">
        <f>(S18-P18)*1000</f>
        <v>0.1999999999782176</v>
      </c>
      <c r="U18" s="46">
        <f>R18+T18</f>
        <v>0.1999999999782176</v>
      </c>
      <c r="V18" s="45">
        <v>183.4091</v>
      </c>
      <c r="W18" s="46">
        <f>(V18-S18)*1000</f>
        <v>0.10000000000331966</v>
      </c>
      <c r="X18" s="46">
        <f>U18+W18</f>
        <v>0.29999999998153726</v>
      </c>
      <c r="Y18" s="45">
        <v>183.4093</v>
      </c>
      <c r="Z18" s="46">
        <f>(Y18-V18)*1000</f>
        <v>0.20000000000663931</v>
      </c>
      <c r="AA18" s="46">
        <f>X18+Z18</f>
        <v>0.49999999998817657</v>
      </c>
      <c r="AB18" s="45">
        <v>183.40940000000001</v>
      </c>
      <c r="AC18" s="46">
        <f>(AB18-Y18)*1000</f>
        <v>0.10000000000331966</v>
      </c>
      <c r="AD18" s="46">
        <f>AA18+AC18</f>
        <v>0.59999999999149622</v>
      </c>
      <c r="AE18" s="45">
        <v>183.40899999999999</v>
      </c>
      <c r="AF18" s="46">
        <f>(AE18-AB18)*1000</f>
        <v>-0.40000000001327862</v>
      </c>
      <c r="AG18" s="46">
        <f>AD18+AF18</f>
        <v>0.1999999999782176</v>
      </c>
      <c r="AH18" s="45">
        <v>183.40969999999999</v>
      </c>
      <c r="AI18" s="46">
        <f>(AH18-AE18)*1000</f>
        <v>0.69999999999481588</v>
      </c>
      <c r="AJ18" s="46">
        <f>AG18+AI18</f>
        <v>0.89999999997303348</v>
      </c>
      <c r="AK18" s="45">
        <v>183.40960000000001</v>
      </c>
      <c r="AL18" s="46">
        <f>(AK18-AH18)*1000</f>
        <v>-9.9999999974897946E-2</v>
      </c>
      <c r="AM18" s="46">
        <f>AJ18+AL18</f>
        <v>0.79999999999813554</v>
      </c>
      <c r="AN18" s="45">
        <v>183.40969999999999</v>
      </c>
      <c r="AO18" s="46">
        <f>(AN18-AK18)*1000</f>
        <v>9.9999999974897946E-2</v>
      </c>
      <c r="AP18" s="46">
        <f>AM18+AO18</f>
        <v>0.89999999997303348</v>
      </c>
      <c r="AQ18" s="45">
        <v>183.40950000000001</v>
      </c>
      <c r="AR18" s="45">
        <f>(AQ18-AN18)*1000</f>
        <v>-0.1999999999782176</v>
      </c>
      <c r="AS18" s="45">
        <f>AP18+AR18</f>
        <v>0.69999999999481588</v>
      </c>
      <c r="AT18" s="45">
        <v>183.40950000000001</v>
      </c>
      <c r="AU18" s="45">
        <f>(AT18-AQ18)*1000</f>
        <v>0</v>
      </c>
      <c r="AV18" s="45">
        <f>AS18+AU18</f>
        <v>0.69999999999481588</v>
      </c>
      <c r="AW18" s="45">
        <v>183.4093</v>
      </c>
      <c r="AX18" s="45">
        <f>(AW18-AT18)*1000</f>
        <v>-0.20000000000663931</v>
      </c>
      <c r="AY18" s="45">
        <f>AV18+AX18</f>
        <v>0.49999999998817657</v>
      </c>
      <c r="AZ18" s="47">
        <v>183.4091</v>
      </c>
      <c r="BA18" s="45">
        <f t="shared" si="0"/>
        <v>-0.20000000000663931</v>
      </c>
      <c r="BB18" s="45">
        <f t="shared" si="1"/>
        <v>0.29999999998153726</v>
      </c>
      <c r="BC18" s="47">
        <v>183.4085</v>
      </c>
      <c r="BD18" s="45">
        <f t="shared" si="18"/>
        <v>-0.59999999999149622</v>
      </c>
      <c r="BE18" s="45">
        <f t="shared" si="19"/>
        <v>-0.30000000000995897</v>
      </c>
      <c r="BF18" s="47">
        <v>183.40860000000001</v>
      </c>
      <c r="BG18" s="45">
        <f t="shared" si="20"/>
        <v>0.10000000000331966</v>
      </c>
      <c r="BH18" s="45">
        <f t="shared" si="21"/>
        <v>-0.20000000000663931</v>
      </c>
      <c r="BI18" s="47">
        <v>183.4085</v>
      </c>
      <c r="BJ18" s="45">
        <f t="shared" si="22"/>
        <v>-0.10000000000331966</v>
      </c>
      <c r="BK18" s="45">
        <f t="shared" si="23"/>
        <v>-0.30000000000995897</v>
      </c>
      <c r="BL18" s="47">
        <v>183.4083</v>
      </c>
      <c r="BM18" s="45">
        <f t="shared" si="24"/>
        <v>-0.20000000000663931</v>
      </c>
      <c r="BN18" s="45">
        <f t="shared" si="25"/>
        <v>-0.50000000001659828</v>
      </c>
      <c r="BO18" s="47">
        <v>183.40780000000001</v>
      </c>
      <c r="BP18" s="45">
        <f t="shared" si="26"/>
        <v>-0.49999999998817657</v>
      </c>
      <c r="BQ18" s="46">
        <f t="shared" si="27"/>
        <v>-1.0000000000047748</v>
      </c>
      <c r="BR18" s="47">
        <v>183.40870000000001</v>
      </c>
      <c r="BS18" s="45">
        <f t="shared" si="28"/>
        <v>0.90000000000145519</v>
      </c>
      <c r="BT18" s="46">
        <f t="shared" si="29"/>
        <v>-0.10000000000331966</v>
      </c>
      <c r="BU18" s="47">
        <v>183.4085</v>
      </c>
      <c r="BV18" s="46">
        <f t="shared" si="14"/>
        <v>-0.20000000000663931</v>
      </c>
      <c r="BW18" s="46">
        <f t="shared" si="15"/>
        <v>-0.30000000000995897</v>
      </c>
      <c r="BX18" s="47">
        <v>183.40870000000001</v>
      </c>
      <c r="BY18" s="46">
        <f t="shared" si="30"/>
        <v>0.20000000000663931</v>
      </c>
      <c r="BZ18" s="46">
        <f t="shared" si="31"/>
        <v>-0.10000000000331966</v>
      </c>
      <c r="CA18" s="46" t="s">
        <v>58</v>
      </c>
      <c r="CB18" s="48">
        <v>4.51</v>
      </c>
      <c r="CC18" s="46">
        <v>4</v>
      </c>
      <c r="CD18" s="45" t="s">
        <v>15</v>
      </c>
    </row>
    <row r="19" spans="3:85" s="27" customFormat="1" x14ac:dyDescent="0.25">
      <c r="C19" s="89" t="s">
        <v>16</v>
      </c>
      <c r="D19" s="90" t="s">
        <v>79</v>
      </c>
      <c r="E19" s="89" t="s">
        <v>40</v>
      </c>
      <c r="F19" s="90" t="s">
        <v>40</v>
      </c>
      <c r="G19" s="90" t="s">
        <v>79</v>
      </c>
      <c r="H19" s="89" t="s">
        <v>40</v>
      </c>
      <c r="I19" s="90" t="s">
        <v>40</v>
      </c>
      <c r="J19" s="90" t="s">
        <v>79</v>
      </c>
      <c r="K19" s="89" t="s">
        <v>40</v>
      </c>
      <c r="L19" s="90" t="s">
        <v>40</v>
      </c>
      <c r="M19" s="90" t="s">
        <v>79</v>
      </c>
      <c r="N19" s="89" t="s">
        <v>40</v>
      </c>
      <c r="O19" s="90" t="s">
        <v>40</v>
      </c>
      <c r="P19" s="90" t="s">
        <v>79</v>
      </c>
      <c r="Q19" s="89" t="s">
        <v>40</v>
      </c>
      <c r="R19" s="90" t="s">
        <v>40</v>
      </c>
      <c r="S19" s="90" t="s">
        <v>79</v>
      </c>
      <c r="T19" s="89" t="s">
        <v>40</v>
      </c>
      <c r="U19" s="90" t="s">
        <v>40</v>
      </c>
      <c r="V19" s="90" t="s">
        <v>79</v>
      </c>
      <c r="W19" s="90" t="s">
        <v>40</v>
      </c>
      <c r="X19" s="90" t="s">
        <v>40</v>
      </c>
      <c r="Y19" s="90" t="s">
        <v>79</v>
      </c>
      <c r="Z19" s="90" t="s">
        <v>40</v>
      </c>
      <c r="AA19" s="90" t="s">
        <v>40</v>
      </c>
      <c r="AB19" s="90" t="s">
        <v>79</v>
      </c>
      <c r="AC19" s="90" t="s">
        <v>40</v>
      </c>
      <c r="AD19" s="90" t="s">
        <v>40</v>
      </c>
      <c r="AE19" s="90" t="s">
        <v>79</v>
      </c>
      <c r="AF19" s="90" t="s">
        <v>40</v>
      </c>
      <c r="AG19" s="90" t="s">
        <v>40</v>
      </c>
      <c r="AH19" s="90" t="s">
        <v>79</v>
      </c>
      <c r="AI19" s="90" t="s">
        <v>40</v>
      </c>
      <c r="AJ19" s="90" t="s">
        <v>40</v>
      </c>
      <c r="AK19" s="90" t="s">
        <v>41</v>
      </c>
      <c r="AL19" s="90" t="s">
        <v>40</v>
      </c>
      <c r="AM19" s="90" t="s">
        <v>40</v>
      </c>
      <c r="AN19" s="90" t="s">
        <v>41</v>
      </c>
      <c r="AO19" s="90" t="s">
        <v>40</v>
      </c>
      <c r="AP19" s="90" t="s">
        <v>40</v>
      </c>
      <c r="AQ19" s="90" t="s">
        <v>41</v>
      </c>
      <c r="AR19" s="89" t="s">
        <v>40</v>
      </c>
      <c r="AS19" s="90" t="s">
        <v>40</v>
      </c>
      <c r="AT19" s="90" t="s">
        <v>41</v>
      </c>
      <c r="AU19" s="89" t="s">
        <v>40</v>
      </c>
      <c r="AV19" s="90" t="s">
        <v>40</v>
      </c>
      <c r="AW19" s="90" t="s">
        <v>41</v>
      </c>
      <c r="AX19" s="89" t="s">
        <v>40</v>
      </c>
      <c r="AY19" s="90" t="s">
        <v>40</v>
      </c>
      <c r="AZ19" s="91" t="s">
        <v>41</v>
      </c>
      <c r="BA19" s="89" t="s">
        <v>80</v>
      </c>
      <c r="BB19" s="89" t="s">
        <v>80</v>
      </c>
      <c r="BC19" s="91" t="s">
        <v>41</v>
      </c>
      <c r="BD19" s="89" t="s">
        <v>80</v>
      </c>
      <c r="BE19" s="89" t="s">
        <v>80</v>
      </c>
      <c r="BF19" s="91" t="s">
        <v>41</v>
      </c>
      <c r="BG19" s="89" t="s">
        <v>80</v>
      </c>
      <c r="BH19" s="89" t="s">
        <v>80</v>
      </c>
      <c r="BI19" s="91" t="s">
        <v>41</v>
      </c>
      <c r="BJ19" s="89" t="s">
        <v>80</v>
      </c>
      <c r="BK19" s="89" t="s">
        <v>80</v>
      </c>
      <c r="BL19" s="91" t="s">
        <v>41</v>
      </c>
      <c r="BM19" s="89" t="s">
        <v>80</v>
      </c>
      <c r="BN19" s="89" t="s">
        <v>80</v>
      </c>
      <c r="BO19" s="91" t="s">
        <v>41</v>
      </c>
      <c r="BP19" s="89" t="s">
        <v>80</v>
      </c>
      <c r="BQ19" s="89" t="s">
        <v>80</v>
      </c>
      <c r="BR19" s="91" t="s">
        <v>41</v>
      </c>
      <c r="BS19" s="89" t="s">
        <v>80</v>
      </c>
      <c r="BT19" s="89" t="s">
        <v>80</v>
      </c>
      <c r="BU19" s="91" t="s">
        <v>41</v>
      </c>
      <c r="BV19" s="90" t="s">
        <v>80</v>
      </c>
      <c r="BW19" s="90" t="s">
        <v>80</v>
      </c>
      <c r="BX19" s="91" t="s">
        <v>41</v>
      </c>
      <c r="BY19" s="90" t="s">
        <v>80</v>
      </c>
      <c r="BZ19" s="90" t="s">
        <v>80</v>
      </c>
      <c r="CA19" s="90" t="s">
        <v>51</v>
      </c>
      <c r="CB19" s="92">
        <v>4.47</v>
      </c>
      <c r="CC19" s="90">
        <v>4</v>
      </c>
      <c r="CD19" s="89" t="s">
        <v>16</v>
      </c>
    </row>
    <row r="20" spans="3:85" s="19" customFormat="1" x14ac:dyDescent="0.25">
      <c r="C20" s="77" t="s">
        <v>17</v>
      </c>
      <c r="D20" s="78" t="s">
        <v>79</v>
      </c>
      <c r="E20" s="77" t="s">
        <v>40</v>
      </c>
      <c r="F20" s="78" t="s">
        <v>40</v>
      </c>
      <c r="G20" s="78" t="s">
        <v>79</v>
      </c>
      <c r="H20" s="77" t="s">
        <v>40</v>
      </c>
      <c r="I20" s="78" t="s">
        <v>40</v>
      </c>
      <c r="J20" s="78" t="s">
        <v>79</v>
      </c>
      <c r="K20" s="77" t="s">
        <v>40</v>
      </c>
      <c r="L20" s="78" t="s">
        <v>40</v>
      </c>
      <c r="M20" s="78" t="s">
        <v>79</v>
      </c>
      <c r="N20" s="77" t="s">
        <v>40</v>
      </c>
      <c r="O20" s="78" t="s">
        <v>40</v>
      </c>
      <c r="P20" s="78" t="s">
        <v>79</v>
      </c>
      <c r="Q20" s="77" t="s">
        <v>40</v>
      </c>
      <c r="R20" s="78" t="s">
        <v>40</v>
      </c>
      <c r="S20" s="78" t="s">
        <v>79</v>
      </c>
      <c r="T20" s="77" t="s">
        <v>40</v>
      </c>
      <c r="U20" s="78" t="s">
        <v>40</v>
      </c>
      <c r="V20" s="78" t="s">
        <v>79</v>
      </c>
      <c r="W20" s="78" t="s">
        <v>40</v>
      </c>
      <c r="X20" s="78" t="s">
        <v>40</v>
      </c>
      <c r="Y20" s="78" t="s">
        <v>79</v>
      </c>
      <c r="Z20" s="78" t="s">
        <v>40</v>
      </c>
      <c r="AA20" s="78" t="s">
        <v>40</v>
      </c>
      <c r="AB20" s="78" t="s">
        <v>79</v>
      </c>
      <c r="AC20" s="78" t="s">
        <v>40</v>
      </c>
      <c r="AD20" s="78" t="s">
        <v>40</v>
      </c>
      <c r="AE20" s="78" t="s">
        <v>79</v>
      </c>
      <c r="AF20" s="78" t="s">
        <v>40</v>
      </c>
      <c r="AG20" s="78" t="s">
        <v>40</v>
      </c>
      <c r="AH20" s="78" t="s">
        <v>79</v>
      </c>
      <c r="AI20" s="78" t="s">
        <v>40</v>
      </c>
      <c r="AJ20" s="78" t="s">
        <v>40</v>
      </c>
      <c r="AK20" s="78" t="s">
        <v>41</v>
      </c>
      <c r="AL20" s="78" t="s">
        <v>40</v>
      </c>
      <c r="AM20" s="78" t="s">
        <v>40</v>
      </c>
      <c r="AN20" s="78" t="s">
        <v>41</v>
      </c>
      <c r="AO20" s="78" t="s">
        <v>40</v>
      </c>
      <c r="AP20" s="78" t="s">
        <v>40</v>
      </c>
      <c r="AQ20" s="78" t="s">
        <v>41</v>
      </c>
      <c r="AR20" s="77" t="s">
        <v>40</v>
      </c>
      <c r="AS20" s="78" t="s">
        <v>40</v>
      </c>
      <c r="AT20" s="78" t="s">
        <v>41</v>
      </c>
      <c r="AU20" s="77" t="s">
        <v>40</v>
      </c>
      <c r="AV20" s="78" t="s">
        <v>40</v>
      </c>
      <c r="AW20" s="78" t="s">
        <v>41</v>
      </c>
      <c r="AX20" s="77" t="s">
        <v>40</v>
      </c>
      <c r="AY20" s="78" t="s">
        <v>40</v>
      </c>
      <c r="AZ20" s="79" t="s">
        <v>41</v>
      </c>
      <c r="BA20" s="77" t="s">
        <v>80</v>
      </c>
      <c r="BB20" s="77" t="s">
        <v>80</v>
      </c>
      <c r="BC20" s="79" t="s">
        <v>41</v>
      </c>
      <c r="BD20" s="77" t="s">
        <v>80</v>
      </c>
      <c r="BE20" s="77" t="s">
        <v>80</v>
      </c>
      <c r="BF20" s="79" t="s">
        <v>41</v>
      </c>
      <c r="BG20" s="77" t="s">
        <v>80</v>
      </c>
      <c r="BH20" s="77" t="s">
        <v>80</v>
      </c>
      <c r="BI20" s="79" t="s">
        <v>41</v>
      </c>
      <c r="BJ20" s="77" t="s">
        <v>80</v>
      </c>
      <c r="BK20" s="77" t="s">
        <v>80</v>
      </c>
      <c r="BL20" s="79" t="s">
        <v>41</v>
      </c>
      <c r="BM20" s="77" t="s">
        <v>80</v>
      </c>
      <c r="BN20" s="77" t="s">
        <v>80</v>
      </c>
      <c r="BO20" s="79" t="s">
        <v>41</v>
      </c>
      <c r="BP20" s="77" t="s">
        <v>80</v>
      </c>
      <c r="BQ20" s="77" t="s">
        <v>80</v>
      </c>
      <c r="BR20" s="79" t="s">
        <v>41</v>
      </c>
      <c r="BS20" s="77" t="s">
        <v>80</v>
      </c>
      <c r="BT20" s="77" t="s">
        <v>80</v>
      </c>
      <c r="BU20" s="79" t="s">
        <v>41</v>
      </c>
      <c r="BV20" s="78" t="s">
        <v>80</v>
      </c>
      <c r="BW20" s="78" t="s">
        <v>80</v>
      </c>
      <c r="BX20" s="79" t="s">
        <v>41</v>
      </c>
      <c r="BY20" s="78" t="s">
        <v>80</v>
      </c>
      <c r="BZ20" s="78" t="s">
        <v>80</v>
      </c>
      <c r="CA20" s="78" t="s">
        <v>53</v>
      </c>
      <c r="CB20" s="80">
        <v>18.05</v>
      </c>
      <c r="CC20" s="78">
        <v>10</v>
      </c>
      <c r="CD20" s="77" t="s">
        <v>17</v>
      </c>
    </row>
    <row r="21" spans="3:85" s="21" customFormat="1" x14ac:dyDescent="0.25">
      <c r="C21" s="69" t="s">
        <v>18</v>
      </c>
      <c r="D21" s="70" t="s">
        <v>41</v>
      </c>
      <c r="E21" s="69" t="s">
        <v>40</v>
      </c>
      <c r="F21" s="70" t="s">
        <v>40</v>
      </c>
      <c r="G21" s="70" t="s">
        <v>41</v>
      </c>
      <c r="H21" s="69" t="s">
        <v>40</v>
      </c>
      <c r="I21" s="70" t="s">
        <v>40</v>
      </c>
      <c r="J21" s="70" t="s">
        <v>41</v>
      </c>
      <c r="K21" s="69" t="s">
        <v>40</v>
      </c>
      <c r="L21" s="70" t="s">
        <v>40</v>
      </c>
      <c r="M21" s="70" t="s">
        <v>41</v>
      </c>
      <c r="N21" s="69" t="s">
        <v>40</v>
      </c>
      <c r="O21" s="70" t="s">
        <v>40</v>
      </c>
      <c r="P21" s="70" t="s">
        <v>41</v>
      </c>
      <c r="Q21" s="69" t="s">
        <v>40</v>
      </c>
      <c r="R21" s="70" t="s">
        <v>40</v>
      </c>
      <c r="S21" s="70" t="s">
        <v>41</v>
      </c>
      <c r="T21" s="69" t="s">
        <v>40</v>
      </c>
      <c r="U21" s="70" t="s">
        <v>40</v>
      </c>
      <c r="V21" s="70" t="s">
        <v>41</v>
      </c>
      <c r="W21" s="70" t="s">
        <v>40</v>
      </c>
      <c r="X21" s="70" t="s">
        <v>40</v>
      </c>
      <c r="Y21" s="70" t="s">
        <v>41</v>
      </c>
      <c r="Z21" s="70" t="s">
        <v>40</v>
      </c>
      <c r="AA21" s="70" t="s">
        <v>40</v>
      </c>
      <c r="AB21" s="70" t="s">
        <v>41</v>
      </c>
      <c r="AC21" s="70" t="s">
        <v>40</v>
      </c>
      <c r="AD21" s="70" t="s">
        <v>40</v>
      </c>
      <c r="AE21" s="70" t="s">
        <v>41</v>
      </c>
      <c r="AF21" s="70" t="s">
        <v>40</v>
      </c>
      <c r="AG21" s="70" t="s">
        <v>40</v>
      </c>
      <c r="AH21" s="70" t="s">
        <v>41</v>
      </c>
      <c r="AI21" s="70" t="s">
        <v>40</v>
      </c>
      <c r="AJ21" s="70" t="s">
        <v>40</v>
      </c>
      <c r="AK21" s="70" t="s">
        <v>41</v>
      </c>
      <c r="AL21" s="70" t="s">
        <v>40</v>
      </c>
      <c r="AM21" s="70" t="s">
        <v>40</v>
      </c>
      <c r="AN21" s="70" t="s">
        <v>41</v>
      </c>
      <c r="AO21" s="70" t="s">
        <v>40</v>
      </c>
      <c r="AP21" s="70" t="s">
        <v>40</v>
      </c>
      <c r="AQ21" s="70" t="s">
        <v>41</v>
      </c>
      <c r="AR21" s="69" t="s">
        <v>40</v>
      </c>
      <c r="AS21" s="70" t="s">
        <v>40</v>
      </c>
      <c r="AT21" s="70" t="s">
        <v>41</v>
      </c>
      <c r="AU21" s="69" t="s">
        <v>40</v>
      </c>
      <c r="AV21" s="70" t="s">
        <v>40</v>
      </c>
      <c r="AW21" s="70" t="s">
        <v>41</v>
      </c>
      <c r="AX21" s="69" t="s">
        <v>40</v>
      </c>
      <c r="AY21" s="70" t="s">
        <v>40</v>
      </c>
      <c r="AZ21" s="71" t="s">
        <v>41</v>
      </c>
      <c r="BA21" s="69" t="s">
        <v>80</v>
      </c>
      <c r="BB21" s="69" t="s">
        <v>80</v>
      </c>
      <c r="BC21" s="71" t="s">
        <v>41</v>
      </c>
      <c r="BD21" s="69" t="s">
        <v>80</v>
      </c>
      <c r="BE21" s="69" t="s">
        <v>80</v>
      </c>
      <c r="BF21" s="71" t="s">
        <v>41</v>
      </c>
      <c r="BG21" s="69" t="s">
        <v>80</v>
      </c>
      <c r="BH21" s="69" t="s">
        <v>80</v>
      </c>
      <c r="BI21" s="71" t="s">
        <v>41</v>
      </c>
      <c r="BJ21" s="69" t="s">
        <v>80</v>
      </c>
      <c r="BK21" s="69" t="s">
        <v>80</v>
      </c>
      <c r="BL21" s="71" t="s">
        <v>41</v>
      </c>
      <c r="BM21" s="69" t="s">
        <v>80</v>
      </c>
      <c r="BN21" s="69" t="s">
        <v>80</v>
      </c>
      <c r="BO21" s="71" t="s">
        <v>41</v>
      </c>
      <c r="BP21" s="69" t="s">
        <v>80</v>
      </c>
      <c r="BQ21" s="69" t="s">
        <v>80</v>
      </c>
      <c r="BR21" s="71" t="s">
        <v>41</v>
      </c>
      <c r="BS21" s="69" t="s">
        <v>80</v>
      </c>
      <c r="BT21" s="69" t="s">
        <v>80</v>
      </c>
      <c r="BU21" s="71" t="s">
        <v>41</v>
      </c>
      <c r="BV21" s="70" t="s">
        <v>80</v>
      </c>
      <c r="BW21" s="70" t="s">
        <v>80</v>
      </c>
      <c r="BX21" s="71" t="s">
        <v>41</v>
      </c>
      <c r="BY21" s="70" t="s">
        <v>80</v>
      </c>
      <c r="BZ21" s="70" t="s">
        <v>80</v>
      </c>
      <c r="CA21" s="70" t="s">
        <v>52</v>
      </c>
      <c r="CB21" s="72">
        <v>10.57</v>
      </c>
      <c r="CC21" s="70">
        <v>10</v>
      </c>
      <c r="CD21" s="69" t="s">
        <v>18</v>
      </c>
    </row>
    <row r="22" spans="3:85" s="28" customFormat="1" x14ac:dyDescent="0.25">
      <c r="C22" s="93" t="s">
        <v>19</v>
      </c>
      <c r="D22" s="94" t="s">
        <v>79</v>
      </c>
      <c r="E22" s="93" t="s">
        <v>40</v>
      </c>
      <c r="F22" s="94" t="s">
        <v>40</v>
      </c>
      <c r="G22" s="94" t="s">
        <v>79</v>
      </c>
      <c r="H22" s="93" t="s">
        <v>40</v>
      </c>
      <c r="I22" s="94" t="s">
        <v>40</v>
      </c>
      <c r="J22" s="94" t="s">
        <v>79</v>
      </c>
      <c r="K22" s="93" t="s">
        <v>40</v>
      </c>
      <c r="L22" s="94" t="s">
        <v>40</v>
      </c>
      <c r="M22" s="94" t="s">
        <v>79</v>
      </c>
      <c r="N22" s="93" t="s">
        <v>40</v>
      </c>
      <c r="O22" s="94" t="s">
        <v>40</v>
      </c>
      <c r="P22" s="94" t="s">
        <v>79</v>
      </c>
      <c r="Q22" s="93" t="s">
        <v>40</v>
      </c>
      <c r="R22" s="94" t="s">
        <v>40</v>
      </c>
      <c r="S22" s="94" t="s">
        <v>79</v>
      </c>
      <c r="T22" s="93" t="s">
        <v>40</v>
      </c>
      <c r="U22" s="94" t="s">
        <v>40</v>
      </c>
      <c r="V22" s="94" t="s">
        <v>79</v>
      </c>
      <c r="W22" s="94" t="s">
        <v>40</v>
      </c>
      <c r="X22" s="94" t="s">
        <v>40</v>
      </c>
      <c r="Y22" s="94" t="s">
        <v>79</v>
      </c>
      <c r="Z22" s="94" t="s">
        <v>40</v>
      </c>
      <c r="AA22" s="94" t="s">
        <v>40</v>
      </c>
      <c r="AB22" s="94" t="s">
        <v>79</v>
      </c>
      <c r="AC22" s="94" t="s">
        <v>40</v>
      </c>
      <c r="AD22" s="94" t="s">
        <v>40</v>
      </c>
      <c r="AE22" s="94" t="s">
        <v>79</v>
      </c>
      <c r="AF22" s="94" t="s">
        <v>40</v>
      </c>
      <c r="AG22" s="94" t="s">
        <v>40</v>
      </c>
      <c r="AH22" s="94" t="s">
        <v>79</v>
      </c>
      <c r="AI22" s="94" t="s">
        <v>40</v>
      </c>
      <c r="AJ22" s="94" t="s">
        <v>40</v>
      </c>
      <c r="AK22" s="94" t="s">
        <v>41</v>
      </c>
      <c r="AL22" s="94" t="s">
        <v>40</v>
      </c>
      <c r="AM22" s="94" t="s">
        <v>40</v>
      </c>
      <c r="AN22" s="94" t="s">
        <v>41</v>
      </c>
      <c r="AO22" s="94" t="s">
        <v>40</v>
      </c>
      <c r="AP22" s="94" t="s">
        <v>40</v>
      </c>
      <c r="AQ22" s="94" t="s">
        <v>41</v>
      </c>
      <c r="AR22" s="93" t="s">
        <v>40</v>
      </c>
      <c r="AS22" s="94" t="s">
        <v>40</v>
      </c>
      <c r="AT22" s="94" t="s">
        <v>41</v>
      </c>
      <c r="AU22" s="93" t="s">
        <v>40</v>
      </c>
      <c r="AV22" s="94" t="s">
        <v>40</v>
      </c>
      <c r="AW22" s="94" t="s">
        <v>41</v>
      </c>
      <c r="AX22" s="93" t="s">
        <v>40</v>
      </c>
      <c r="AY22" s="94" t="s">
        <v>40</v>
      </c>
      <c r="AZ22" s="95" t="s">
        <v>41</v>
      </c>
      <c r="BA22" s="93" t="s">
        <v>80</v>
      </c>
      <c r="BB22" s="93" t="s">
        <v>80</v>
      </c>
      <c r="BC22" s="95" t="s">
        <v>41</v>
      </c>
      <c r="BD22" s="93" t="s">
        <v>80</v>
      </c>
      <c r="BE22" s="93" t="s">
        <v>80</v>
      </c>
      <c r="BF22" s="95" t="s">
        <v>41</v>
      </c>
      <c r="BG22" s="93" t="s">
        <v>80</v>
      </c>
      <c r="BH22" s="93" t="s">
        <v>80</v>
      </c>
      <c r="BI22" s="95" t="s">
        <v>41</v>
      </c>
      <c r="BJ22" s="93" t="s">
        <v>80</v>
      </c>
      <c r="BK22" s="93" t="s">
        <v>80</v>
      </c>
      <c r="BL22" s="95" t="s">
        <v>41</v>
      </c>
      <c r="BM22" s="93" t="s">
        <v>80</v>
      </c>
      <c r="BN22" s="93" t="s">
        <v>80</v>
      </c>
      <c r="BO22" s="95" t="s">
        <v>41</v>
      </c>
      <c r="BP22" s="93" t="s">
        <v>80</v>
      </c>
      <c r="BQ22" s="93" t="s">
        <v>80</v>
      </c>
      <c r="BR22" s="95" t="s">
        <v>41</v>
      </c>
      <c r="BS22" s="93" t="s">
        <v>80</v>
      </c>
      <c r="BT22" s="93" t="s">
        <v>80</v>
      </c>
      <c r="BU22" s="95" t="s">
        <v>41</v>
      </c>
      <c r="BV22" s="94" t="s">
        <v>80</v>
      </c>
      <c r="BW22" s="94" t="s">
        <v>80</v>
      </c>
      <c r="BX22" s="95" t="s">
        <v>41</v>
      </c>
      <c r="BY22" s="94" t="s">
        <v>80</v>
      </c>
      <c r="BZ22" s="94" t="s">
        <v>80</v>
      </c>
      <c r="CA22" s="94" t="s">
        <v>54</v>
      </c>
      <c r="CB22" s="96">
        <v>8.7799999999999994</v>
      </c>
      <c r="CC22" s="94">
        <v>10</v>
      </c>
      <c r="CD22" s="93" t="s">
        <v>19</v>
      </c>
    </row>
    <row r="23" spans="3:85" s="19" customFormat="1" x14ac:dyDescent="0.25">
      <c r="C23" s="77" t="s">
        <v>20</v>
      </c>
      <c r="D23" s="78" t="s">
        <v>79</v>
      </c>
      <c r="E23" s="77" t="s">
        <v>40</v>
      </c>
      <c r="F23" s="78" t="s">
        <v>40</v>
      </c>
      <c r="G23" s="78" t="s">
        <v>79</v>
      </c>
      <c r="H23" s="77" t="s">
        <v>40</v>
      </c>
      <c r="I23" s="78" t="s">
        <v>40</v>
      </c>
      <c r="J23" s="78" t="s">
        <v>79</v>
      </c>
      <c r="K23" s="77" t="s">
        <v>40</v>
      </c>
      <c r="L23" s="78" t="s">
        <v>40</v>
      </c>
      <c r="M23" s="78" t="s">
        <v>79</v>
      </c>
      <c r="N23" s="77" t="s">
        <v>40</v>
      </c>
      <c r="O23" s="78" t="s">
        <v>40</v>
      </c>
      <c r="P23" s="78" t="s">
        <v>79</v>
      </c>
      <c r="Q23" s="77" t="s">
        <v>40</v>
      </c>
      <c r="R23" s="78" t="s">
        <v>40</v>
      </c>
      <c r="S23" s="78" t="s">
        <v>79</v>
      </c>
      <c r="T23" s="77" t="s">
        <v>40</v>
      </c>
      <c r="U23" s="78" t="s">
        <v>40</v>
      </c>
      <c r="V23" s="78" t="s">
        <v>79</v>
      </c>
      <c r="W23" s="78" t="s">
        <v>40</v>
      </c>
      <c r="X23" s="78" t="s">
        <v>40</v>
      </c>
      <c r="Y23" s="78" t="s">
        <v>79</v>
      </c>
      <c r="Z23" s="78" t="s">
        <v>40</v>
      </c>
      <c r="AA23" s="78" t="s">
        <v>40</v>
      </c>
      <c r="AB23" s="78" t="s">
        <v>79</v>
      </c>
      <c r="AC23" s="78" t="s">
        <v>40</v>
      </c>
      <c r="AD23" s="78" t="s">
        <v>40</v>
      </c>
      <c r="AE23" s="78" t="s">
        <v>79</v>
      </c>
      <c r="AF23" s="78" t="s">
        <v>40</v>
      </c>
      <c r="AG23" s="78" t="s">
        <v>40</v>
      </c>
      <c r="AH23" s="78" t="s">
        <v>79</v>
      </c>
      <c r="AI23" s="78" t="s">
        <v>40</v>
      </c>
      <c r="AJ23" s="78" t="s">
        <v>40</v>
      </c>
      <c r="AK23" s="78" t="s">
        <v>41</v>
      </c>
      <c r="AL23" s="78" t="s">
        <v>40</v>
      </c>
      <c r="AM23" s="78" t="s">
        <v>40</v>
      </c>
      <c r="AN23" s="78" t="s">
        <v>41</v>
      </c>
      <c r="AO23" s="78" t="s">
        <v>40</v>
      </c>
      <c r="AP23" s="78" t="s">
        <v>40</v>
      </c>
      <c r="AQ23" s="78" t="s">
        <v>41</v>
      </c>
      <c r="AR23" s="77" t="s">
        <v>40</v>
      </c>
      <c r="AS23" s="78" t="s">
        <v>40</v>
      </c>
      <c r="AT23" s="78" t="s">
        <v>41</v>
      </c>
      <c r="AU23" s="77" t="s">
        <v>40</v>
      </c>
      <c r="AV23" s="78" t="s">
        <v>40</v>
      </c>
      <c r="AW23" s="78" t="s">
        <v>41</v>
      </c>
      <c r="AX23" s="77" t="s">
        <v>40</v>
      </c>
      <c r="AY23" s="78" t="s">
        <v>40</v>
      </c>
      <c r="AZ23" s="79" t="s">
        <v>41</v>
      </c>
      <c r="BA23" s="77" t="s">
        <v>80</v>
      </c>
      <c r="BB23" s="77" t="s">
        <v>80</v>
      </c>
      <c r="BC23" s="79" t="s">
        <v>41</v>
      </c>
      <c r="BD23" s="77" t="s">
        <v>80</v>
      </c>
      <c r="BE23" s="77" t="s">
        <v>80</v>
      </c>
      <c r="BF23" s="79" t="s">
        <v>41</v>
      </c>
      <c r="BG23" s="77" t="s">
        <v>80</v>
      </c>
      <c r="BH23" s="77" t="s">
        <v>80</v>
      </c>
      <c r="BI23" s="79" t="s">
        <v>41</v>
      </c>
      <c r="BJ23" s="77" t="s">
        <v>80</v>
      </c>
      <c r="BK23" s="77" t="s">
        <v>80</v>
      </c>
      <c r="BL23" s="79" t="s">
        <v>41</v>
      </c>
      <c r="BM23" s="77" t="s">
        <v>80</v>
      </c>
      <c r="BN23" s="77" t="s">
        <v>80</v>
      </c>
      <c r="BO23" s="79" t="s">
        <v>41</v>
      </c>
      <c r="BP23" s="77" t="s">
        <v>80</v>
      </c>
      <c r="BQ23" s="77" t="s">
        <v>80</v>
      </c>
      <c r="BR23" s="79" t="s">
        <v>41</v>
      </c>
      <c r="BS23" s="77" t="s">
        <v>80</v>
      </c>
      <c r="BT23" s="77" t="s">
        <v>80</v>
      </c>
      <c r="BU23" s="79" t="s">
        <v>41</v>
      </c>
      <c r="BV23" s="78" t="s">
        <v>80</v>
      </c>
      <c r="BW23" s="78" t="s">
        <v>80</v>
      </c>
      <c r="BX23" s="79" t="s">
        <v>41</v>
      </c>
      <c r="BY23" s="78" t="s">
        <v>80</v>
      </c>
      <c r="BZ23" s="78" t="s">
        <v>80</v>
      </c>
      <c r="CA23" s="78" t="s">
        <v>53</v>
      </c>
      <c r="CB23" s="80">
        <v>18.05</v>
      </c>
      <c r="CC23" s="78">
        <v>10</v>
      </c>
      <c r="CD23" s="77" t="s">
        <v>20</v>
      </c>
    </row>
    <row r="24" spans="3:85" s="31" customFormat="1" ht="15.75" x14ac:dyDescent="0.25">
      <c r="C24" s="101" t="s">
        <v>21</v>
      </c>
      <c r="D24" s="101">
        <v>181.7252</v>
      </c>
      <c r="E24" s="101">
        <v>0</v>
      </c>
      <c r="F24" s="102">
        <v>0</v>
      </c>
      <c r="G24" s="101">
        <v>181.7253</v>
      </c>
      <c r="H24" s="101">
        <f>(G24-D24)*1000</f>
        <v>0.10000000000331966</v>
      </c>
      <c r="I24" s="102">
        <f>F24+H24</f>
        <v>0.10000000000331966</v>
      </c>
      <c r="J24" s="101">
        <v>181.72540000000001</v>
      </c>
      <c r="K24" s="101">
        <f>(J24-G24)*1000</f>
        <v>0.10000000000331966</v>
      </c>
      <c r="L24" s="102">
        <f>I24+K24</f>
        <v>0.20000000000663931</v>
      </c>
      <c r="M24" s="101">
        <v>181.72550000000001</v>
      </c>
      <c r="N24" s="101">
        <f>(M24-J24)*1000</f>
        <v>0.10000000000331966</v>
      </c>
      <c r="O24" s="102">
        <f>L24+N24</f>
        <v>0.30000000000995897</v>
      </c>
      <c r="P24" s="101">
        <v>181.7253</v>
      </c>
      <c r="Q24" s="102">
        <f>(P24-M24)*1000</f>
        <v>-0.20000000000663931</v>
      </c>
      <c r="R24" s="102">
        <f>O24+Q24</f>
        <v>0.10000000000331966</v>
      </c>
      <c r="S24" s="101">
        <v>181.72559999999999</v>
      </c>
      <c r="T24" s="102">
        <f t="shared" ref="T24" si="32">(S24-P24)*1000</f>
        <v>0.29999999998153726</v>
      </c>
      <c r="U24" s="102">
        <f t="shared" ref="U24" si="33">R24+T24</f>
        <v>0.39999999998485691</v>
      </c>
      <c r="V24" s="101">
        <v>181.72559999999999</v>
      </c>
      <c r="W24" s="102">
        <f t="shared" ref="W24" si="34">(V24-S24)*1000</f>
        <v>0</v>
      </c>
      <c r="X24" s="102">
        <f t="shared" ref="X24" si="35">U24+W24</f>
        <v>0.39999999998485691</v>
      </c>
      <c r="Y24" s="101">
        <v>181.72569999999999</v>
      </c>
      <c r="Z24" s="102">
        <f t="shared" ref="Z24" si="36">(Y24-V24)*1000</f>
        <v>0.10000000000331966</v>
      </c>
      <c r="AA24" s="102">
        <f t="shared" ref="AA24" si="37">X24+Z24</f>
        <v>0.49999999998817657</v>
      </c>
      <c r="AB24" s="101">
        <v>181.7259</v>
      </c>
      <c r="AC24" s="102">
        <f t="shared" ref="AC24" si="38">(AB24-Y24)*1000</f>
        <v>0.20000000000663931</v>
      </c>
      <c r="AD24" s="102">
        <f t="shared" ref="AD24" si="39">AA24+AC24</f>
        <v>0.69999999999481588</v>
      </c>
      <c r="AE24" s="101">
        <v>181.72579999999999</v>
      </c>
      <c r="AF24" s="102">
        <f t="shared" ref="AF24" si="40">(AE24-AB24)*1000</f>
        <v>-0.10000000000331966</v>
      </c>
      <c r="AG24" s="102">
        <f t="shared" ref="AG24" si="41">AD24+AF24</f>
        <v>0.59999999999149622</v>
      </c>
      <c r="AH24" s="101">
        <v>181.7259</v>
      </c>
      <c r="AI24" s="102">
        <f t="shared" ref="AI24" si="42">(AH24-AE24)*1000</f>
        <v>0.10000000000331966</v>
      </c>
      <c r="AJ24" s="102">
        <f t="shared" ref="AJ24" si="43">AG24+AI24</f>
        <v>0.69999999999481588</v>
      </c>
      <c r="AK24" s="101">
        <v>181.72569999999999</v>
      </c>
      <c r="AL24" s="102">
        <f t="shared" ref="AL24" si="44">(AK24-AH24)*1000</f>
        <v>-0.20000000000663931</v>
      </c>
      <c r="AM24" s="102">
        <f t="shared" ref="AM24" si="45">AJ24+AL24</f>
        <v>0.49999999998817657</v>
      </c>
      <c r="AN24" s="101">
        <v>181.7253</v>
      </c>
      <c r="AO24" s="102">
        <f t="shared" ref="AO24" si="46">(AN24-AK24)*1000</f>
        <v>-0.39999999998485691</v>
      </c>
      <c r="AP24" s="102">
        <f t="shared" ref="AP24" si="47">AM24+AO24</f>
        <v>0.10000000000331966</v>
      </c>
      <c r="AQ24" s="101">
        <v>181.72569999999999</v>
      </c>
      <c r="AR24" s="101">
        <f>(AQ24-AN24)*1000</f>
        <v>0.39999999998485691</v>
      </c>
      <c r="AS24" s="101">
        <f>AP24+AR24</f>
        <v>0.49999999998817657</v>
      </c>
      <c r="AT24" s="101">
        <v>181.72559999999999</v>
      </c>
      <c r="AU24" s="101">
        <f>(AT24-AQ24)*1000</f>
        <v>-0.10000000000331966</v>
      </c>
      <c r="AV24" s="101">
        <f>AS24+AU24</f>
        <v>0.39999999998485691</v>
      </c>
      <c r="AW24" s="101">
        <v>181.72579999999999</v>
      </c>
      <c r="AX24" s="101">
        <f>(AW24-AT24)*1000</f>
        <v>0.20000000000663931</v>
      </c>
      <c r="AY24" s="101">
        <f>AV24+AX24</f>
        <v>0.59999999999149622</v>
      </c>
      <c r="AZ24" s="103">
        <v>181.7259</v>
      </c>
      <c r="BA24" s="101">
        <f t="shared" si="0"/>
        <v>0.10000000000331966</v>
      </c>
      <c r="BB24" s="101">
        <f t="shared" si="1"/>
        <v>0.69999999999481588</v>
      </c>
      <c r="BC24" s="103">
        <v>181.72630000000001</v>
      </c>
      <c r="BD24" s="101">
        <f t="shared" ref="BD24" si="48">(BC24-AZ24)*1000</f>
        <v>0.40000000001327862</v>
      </c>
      <c r="BE24" s="101">
        <f t="shared" ref="BE24" si="49">BB24+BD24</f>
        <v>1.1000000000080945</v>
      </c>
      <c r="BF24" s="103">
        <v>181.726</v>
      </c>
      <c r="BG24" s="101">
        <f t="shared" ref="BG24" si="50">(BF24-BC24)*1000</f>
        <v>-0.30000000000995897</v>
      </c>
      <c r="BH24" s="101">
        <f t="shared" ref="BH24" si="51">BE24+BG24</f>
        <v>0.79999999999813554</v>
      </c>
      <c r="BI24" s="103">
        <v>181.72620000000001</v>
      </c>
      <c r="BJ24" s="101">
        <f t="shared" ref="BJ24" si="52">(BI24-BF24)*1000</f>
        <v>0.20000000000663931</v>
      </c>
      <c r="BK24" s="102">
        <f t="shared" ref="BK24" si="53">BH24+BJ24</f>
        <v>1.0000000000047748</v>
      </c>
      <c r="BL24" s="103">
        <v>181.726</v>
      </c>
      <c r="BM24" s="101">
        <f t="shared" ref="BM24" si="54">(BL24-BI24)*1000</f>
        <v>-0.20000000000663931</v>
      </c>
      <c r="BN24" s="102">
        <f t="shared" ref="BN24" si="55">BK24+BM24</f>
        <v>0.79999999999813554</v>
      </c>
      <c r="BO24" s="103">
        <v>181.72569999999999</v>
      </c>
      <c r="BP24" s="101">
        <f t="shared" ref="BP24" si="56">(BO24-BL24)*1000</f>
        <v>-0.30000000000995897</v>
      </c>
      <c r="BQ24" s="102">
        <f t="shared" ref="BQ24" si="57">BN24+BP24</f>
        <v>0.49999999998817657</v>
      </c>
      <c r="BR24" s="103">
        <v>181.72620000000001</v>
      </c>
      <c r="BS24" s="101">
        <f t="shared" ref="BS24" si="58">(BR24-BO24)*1000</f>
        <v>0.50000000001659828</v>
      </c>
      <c r="BT24" s="102">
        <f t="shared" ref="BT24" si="59">BQ24+BS24</f>
        <v>1.0000000000047748</v>
      </c>
      <c r="BU24" s="103">
        <v>181.7259</v>
      </c>
      <c r="BV24" s="102">
        <f t="shared" si="14"/>
        <v>-0.30000000000995897</v>
      </c>
      <c r="BW24" s="102">
        <f t="shared" si="15"/>
        <v>0.69999999999481588</v>
      </c>
      <c r="BX24" s="103">
        <v>181.726</v>
      </c>
      <c r="BY24" s="102">
        <f t="shared" ref="BY24" si="60">(BX24-BU24)*1000</f>
        <v>0.10000000000331966</v>
      </c>
      <c r="BZ24" s="102">
        <f t="shared" ref="BZ24" si="61">BW24+BY24</f>
        <v>0.79999999999813554</v>
      </c>
      <c r="CA24" s="102" t="s">
        <v>59</v>
      </c>
      <c r="CB24" s="104">
        <v>5.52</v>
      </c>
      <c r="CC24" s="102">
        <v>4</v>
      </c>
      <c r="CD24" s="101" t="s">
        <v>21</v>
      </c>
      <c r="CE24" s="29" t="s">
        <v>45</v>
      </c>
      <c r="CF24" s="30"/>
      <c r="CG24" s="30"/>
    </row>
    <row r="25" spans="3:85" s="33" customFormat="1" x14ac:dyDescent="0.25">
      <c r="C25" s="105" t="s">
        <v>78</v>
      </c>
      <c r="D25" s="105" t="s">
        <v>79</v>
      </c>
      <c r="E25" s="105" t="s">
        <v>80</v>
      </c>
      <c r="F25" s="106" t="s">
        <v>80</v>
      </c>
      <c r="G25" s="105" t="s">
        <v>79</v>
      </c>
      <c r="H25" s="105" t="s">
        <v>80</v>
      </c>
      <c r="I25" s="106" t="s">
        <v>80</v>
      </c>
      <c r="J25" s="105" t="s">
        <v>79</v>
      </c>
      <c r="K25" s="105" t="s">
        <v>80</v>
      </c>
      <c r="L25" s="106" t="s">
        <v>80</v>
      </c>
      <c r="M25" s="105" t="s">
        <v>79</v>
      </c>
      <c r="N25" s="105" t="s">
        <v>80</v>
      </c>
      <c r="O25" s="106" t="s">
        <v>80</v>
      </c>
      <c r="P25" s="105" t="s">
        <v>79</v>
      </c>
      <c r="Q25" s="105" t="s">
        <v>80</v>
      </c>
      <c r="R25" s="106" t="s">
        <v>80</v>
      </c>
      <c r="S25" s="105" t="s">
        <v>79</v>
      </c>
      <c r="T25" s="106" t="s">
        <v>80</v>
      </c>
      <c r="U25" s="106" t="s">
        <v>80</v>
      </c>
      <c r="V25" s="105" t="s">
        <v>79</v>
      </c>
      <c r="W25" s="106" t="s">
        <v>80</v>
      </c>
      <c r="X25" s="106" t="s">
        <v>80</v>
      </c>
      <c r="Y25" s="105" t="s">
        <v>79</v>
      </c>
      <c r="Z25" s="106" t="s">
        <v>80</v>
      </c>
      <c r="AA25" s="106" t="s">
        <v>80</v>
      </c>
      <c r="AB25" s="105" t="s">
        <v>79</v>
      </c>
      <c r="AC25" s="106" t="s">
        <v>80</v>
      </c>
      <c r="AD25" s="106" t="s">
        <v>80</v>
      </c>
      <c r="AE25" s="105" t="s">
        <v>79</v>
      </c>
      <c r="AF25" s="106" t="s">
        <v>80</v>
      </c>
      <c r="AG25" s="106" t="s">
        <v>80</v>
      </c>
      <c r="AH25" s="105" t="s">
        <v>79</v>
      </c>
      <c r="AI25" s="106" t="s">
        <v>80</v>
      </c>
      <c r="AJ25" s="106" t="s">
        <v>80</v>
      </c>
      <c r="AK25" s="105" t="s">
        <v>79</v>
      </c>
      <c r="AL25" s="106" t="s">
        <v>80</v>
      </c>
      <c r="AM25" s="106" t="s">
        <v>80</v>
      </c>
      <c r="AN25" s="105" t="s">
        <v>79</v>
      </c>
      <c r="AO25" s="106" t="s">
        <v>80</v>
      </c>
      <c r="AP25" s="106" t="s">
        <v>80</v>
      </c>
      <c r="AQ25" s="105" t="s">
        <v>79</v>
      </c>
      <c r="AR25" s="106" t="s">
        <v>80</v>
      </c>
      <c r="AS25" s="106" t="s">
        <v>80</v>
      </c>
      <c r="AT25" s="105" t="s">
        <v>79</v>
      </c>
      <c r="AU25" s="106" t="s">
        <v>80</v>
      </c>
      <c r="AV25" s="106" t="s">
        <v>80</v>
      </c>
      <c r="AW25" s="105" t="s">
        <v>79</v>
      </c>
      <c r="AX25" s="106" t="s">
        <v>80</v>
      </c>
      <c r="AY25" s="106" t="s">
        <v>80</v>
      </c>
      <c r="AZ25" s="107" t="s">
        <v>79</v>
      </c>
      <c r="BA25" s="106" t="s">
        <v>80</v>
      </c>
      <c r="BB25" s="106" t="s">
        <v>80</v>
      </c>
      <c r="BC25" s="107" t="s">
        <v>79</v>
      </c>
      <c r="BD25" s="106" t="s">
        <v>80</v>
      </c>
      <c r="BE25" s="106" t="s">
        <v>80</v>
      </c>
      <c r="BF25" s="107" t="s">
        <v>79</v>
      </c>
      <c r="BG25" s="106" t="s">
        <v>80</v>
      </c>
      <c r="BH25" s="106" t="s">
        <v>80</v>
      </c>
      <c r="BI25" s="107" t="s">
        <v>79</v>
      </c>
      <c r="BJ25" s="106" t="s">
        <v>80</v>
      </c>
      <c r="BK25" s="106" t="s">
        <v>80</v>
      </c>
      <c r="BL25" s="107" t="s">
        <v>79</v>
      </c>
      <c r="BM25" s="106" t="s">
        <v>80</v>
      </c>
      <c r="BN25" s="106" t="s">
        <v>80</v>
      </c>
      <c r="BO25" s="107" t="s">
        <v>79</v>
      </c>
      <c r="BP25" s="106" t="s">
        <v>80</v>
      </c>
      <c r="BQ25" s="106" t="s">
        <v>80</v>
      </c>
      <c r="BR25" s="107" t="s">
        <v>79</v>
      </c>
      <c r="BS25" s="106" t="s">
        <v>80</v>
      </c>
      <c r="BT25" s="106" t="s">
        <v>80</v>
      </c>
      <c r="BU25" s="107" t="s">
        <v>79</v>
      </c>
      <c r="BV25" s="106" t="s">
        <v>80</v>
      </c>
      <c r="BW25" s="106" t="s">
        <v>80</v>
      </c>
      <c r="BX25" s="107" t="s">
        <v>79</v>
      </c>
      <c r="BY25" s="106" t="s">
        <v>80</v>
      </c>
      <c r="BZ25" s="106" t="s">
        <v>80</v>
      </c>
      <c r="CA25" s="106" t="s">
        <v>55</v>
      </c>
      <c r="CB25" s="108">
        <v>7.85</v>
      </c>
      <c r="CC25" s="106">
        <v>4</v>
      </c>
      <c r="CD25" s="105" t="s">
        <v>78</v>
      </c>
    </row>
    <row r="26" spans="3:85" s="17" customFormat="1" x14ac:dyDescent="0.25">
      <c r="C26" s="57" t="s">
        <v>81</v>
      </c>
      <c r="D26" s="57" t="s">
        <v>79</v>
      </c>
      <c r="E26" s="57" t="s">
        <v>80</v>
      </c>
      <c r="F26" s="58" t="s">
        <v>80</v>
      </c>
      <c r="G26" s="57" t="s">
        <v>79</v>
      </c>
      <c r="H26" s="57" t="s">
        <v>80</v>
      </c>
      <c r="I26" s="58" t="s">
        <v>80</v>
      </c>
      <c r="J26" s="57" t="s">
        <v>79</v>
      </c>
      <c r="K26" s="57" t="s">
        <v>80</v>
      </c>
      <c r="L26" s="58" t="s">
        <v>80</v>
      </c>
      <c r="M26" s="57" t="s">
        <v>79</v>
      </c>
      <c r="N26" s="57" t="s">
        <v>80</v>
      </c>
      <c r="O26" s="58" t="s">
        <v>80</v>
      </c>
      <c r="P26" s="57" t="s">
        <v>79</v>
      </c>
      <c r="Q26" s="57" t="s">
        <v>80</v>
      </c>
      <c r="R26" s="58" t="s">
        <v>80</v>
      </c>
      <c r="S26" s="57" t="s">
        <v>79</v>
      </c>
      <c r="T26" s="58" t="s">
        <v>80</v>
      </c>
      <c r="U26" s="58" t="s">
        <v>80</v>
      </c>
      <c r="V26" s="57" t="s">
        <v>79</v>
      </c>
      <c r="W26" s="58" t="s">
        <v>80</v>
      </c>
      <c r="X26" s="58" t="s">
        <v>80</v>
      </c>
      <c r="Y26" s="57" t="s">
        <v>79</v>
      </c>
      <c r="Z26" s="58" t="s">
        <v>80</v>
      </c>
      <c r="AA26" s="58" t="s">
        <v>80</v>
      </c>
      <c r="AB26" s="57" t="s">
        <v>79</v>
      </c>
      <c r="AC26" s="58" t="s">
        <v>80</v>
      </c>
      <c r="AD26" s="58" t="s">
        <v>80</v>
      </c>
      <c r="AE26" s="57" t="s">
        <v>79</v>
      </c>
      <c r="AF26" s="58" t="s">
        <v>80</v>
      </c>
      <c r="AG26" s="58" t="s">
        <v>80</v>
      </c>
      <c r="AH26" s="57" t="s">
        <v>79</v>
      </c>
      <c r="AI26" s="58" t="s">
        <v>80</v>
      </c>
      <c r="AJ26" s="58" t="s">
        <v>80</v>
      </c>
      <c r="AK26" s="57" t="s">
        <v>79</v>
      </c>
      <c r="AL26" s="58" t="s">
        <v>80</v>
      </c>
      <c r="AM26" s="58" t="s">
        <v>80</v>
      </c>
      <c r="AN26" s="57" t="s">
        <v>79</v>
      </c>
      <c r="AO26" s="58" t="s">
        <v>80</v>
      </c>
      <c r="AP26" s="58" t="s">
        <v>80</v>
      </c>
      <c r="AQ26" s="57" t="s">
        <v>79</v>
      </c>
      <c r="AR26" s="58" t="s">
        <v>80</v>
      </c>
      <c r="AS26" s="58" t="s">
        <v>80</v>
      </c>
      <c r="AT26" s="57" t="s">
        <v>79</v>
      </c>
      <c r="AU26" s="58" t="s">
        <v>80</v>
      </c>
      <c r="AV26" s="58" t="s">
        <v>80</v>
      </c>
      <c r="AW26" s="57" t="s">
        <v>79</v>
      </c>
      <c r="AX26" s="58" t="s">
        <v>80</v>
      </c>
      <c r="AY26" s="58" t="s">
        <v>80</v>
      </c>
      <c r="AZ26" s="59" t="s">
        <v>79</v>
      </c>
      <c r="BA26" s="58" t="s">
        <v>80</v>
      </c>
      <c r="BB26" s="58" t="s">
        <v>80</v>
      </c>
      <c r="BC26" s="59" t="s">
        <v>79</v>
      </c>
      <c r="BD26" s="58" t="s">
        <v>80</v>
      </c>
      <c r="BE26" s="58" t="s">
        <v>80</v>
      </c>
      <c r="BF26" s="59" t="s">
        <v>79</v>
      </c>
      <c r="BG26" s="58" t="s">
        <v>80</v>
      </c>
      <c r="BH26" s="58" t="s">
        <v>80</v>
      </c>
      <c r="BI26" s="59" t="s">
        <v>79</v>
      </c>
      <c r="BJ26" s="58" t="s">
        <v>80</v>
      </c>
      <c r="BK26" s="58" t="s">
        <v>80</v>
      </c>
      <c r="BL26" s="59" t="s">
        <v>79</v>
      </c>
      <c r="BM26" s="58" t="s">
        <v>80</v>
      </c>
      <c r="BN26" s="58" t="s">
        <v>80</v>
      </c>
      <c r="BO26" s="59" t="s">
        <v>79</v>
      </c>
      <c r="BP26" s="58" t="s">
        <v>80</v>
      </c>
      <c r="BQ26" s="58" t="s">
        <v>80</v>
      </c>
      <c r="BR26" s="59" t="s">
        <v>79</v>
      </c>
      <c r="BS26" s="58" t="s">
        <v>80</v>
      </c>
      <c r="BT26" s="58" t="s">
        <v>80</v>
      </c>
      <c r="BU26" s="59" t="s">
        <v>79</v>
      </c>
      <c r="BV26" s="58" t="s">
        <v>80</v>
      </c>
      <c r="BW26" s="58" t="s">
        <v>80</v>
      </c>
      <c r="BX26" s="59" t="s">
        <v>79</v>
      </c>
      <c r="BY26" s="58" t="s">
        <v>80</v>
      </c>
      <c r="BZ26" s="58" t="s">
        <v>80</v>
      </c>
      <c r="CA26" s="58" t="s">
        <v>50</v>
      </c>
      <c r="CB26" s="60">
        <v>5.0599999999999996</v>
      </c>
      <c r="CC26" s="58">
        <v>10</v>
      </c>
      <c r="CD26" s="57" t="s">
        <v>81</v>
      </c>
    </row>
    <row r="27" spans="3:85" s="17" customFormat="1" x14ac:dyDescent="0.25">
      <c r="C27" s="57" t="s">
        <v>82</v>
      </c>
      <c r="D27" s="57" t="s">
        <v>79</v>
      </c>
      <c r="E27" s="57" t="s">
        <v>80</v>
      </c>
      <c r="F27" s="58" t="s">
        <v>80</v>
      </c>
      <c r="G27" s="57" t="s">
        <v>79</v>
      </c>
      <c r="H27" s="57" t="s">
        <v>80</v>
      </c>
      <c r="I27" s="58" t="s">
        <v>80</v>
      </c>
      <c r="J27" s="57" t="s">
        <v>79</v>
      </c>
      <c r="K27" s="57" t="s">
        <v>80</v>
      </c>
      <c r="L27" s="58" t="s">
        <v>80</v>
      </c>
      <c r="M27" s="57" t="s">
        <v>79</v>
      </c>
      <c r="N27" s="57" t="s">
        <v>80</v>
      </c>
      <c r="O27" s="58" t="s">
        <v>80</v>
      </c>
      <c r="P27" s="57" t="s">
        <v>79</v>
      </c>
      <c r="Q27" s="57" t="s">
        <v>80</v>
      </c>
      <c r="R27" s="58" t="s">
        <v>80</v>
      </c>
      <c r="S27" s="57" t="s">
        <v>79</v>
      </c>
      <c r="T27" s="58" t="s">
        <v>80</v>
      </c>
      <c r="U27" s="58" t="s">
        <v>80</v>
      </c>
      <c r="V27" s="57" t="s">
        <v>79</v>
      </c>
      <c r="W27" s="58" t="s">
        <v>80</v>
      </c>
      <c r="X27" s="58" t="s">
        <v>80</v>
      </c>
      <c r="Y27" s="57" t="s">
        <v>79</v>
      </c>
      <c r="Z27" s="58" t="s">
        <v>80</v>
      </c>
      <c r="AA27" s="58" t="s">
        <v>80</v>
      </c>
      <c r="AB27" s="57" t="s">
        <v>79</v>
      </c>
      <c r="AC27" s="58" t="s">
        <v>80</v>
      </c>
      <c r="AD27" s="58" t="s">
        <v>80</v>
      </c>
      <c r="AE27" s="57" t="s">
        <v>79</v>
      </c>
      <c r="AF27" s="58" t="s">
        <v>80</v>
      </c>
      <c r="AG27" s="58" t="s">
        <v>80</v>
      </c>
      <c r="AH27" s="57" t="s">
        <v>79</v>
      </c>
      <c r="AI27" s="58" t="s">
        <v>80</v>
      </c>
      <c r="AJ27" s="58" t="s">
        <v>80</v>
      </c>
      <c r="AK27" s="57" t="s">
        <v>79</v>
      </c>
      <c r="AL27" s="58" t="s">
        <v>80</v>
      </c>
      <c r="AM27" s="58" t="s">
        <v>80</v>
      </c>
      <c r="AN27" s="57" t="s">
        <v>79</v>
      </c>
      <c r="AO27" s="58" t="s">
        <v>80</v>
      </c>
      <c r="AP27" s="58" t="s">
        <v>80</v>
      </c>
      <c r="AQ27" s="57" t="s">
        <v>79</v>
      </c>
      <c r="AR27" s="58" t="s">
        <v>80</v>
      </c>
      <c r="AS27" s="58" t="s">
        <v>80</v>
      </c>
      <c r="AT27" s="57" t="s">
        <v>79</v>
      </c>
      <c r="AU27" s="58" t="s">
        <v>80</v>
      </c>
      <c r="AV27" s="58" t="s">
        <v>80</v>
      </c>
      <c r="AW27" s="57" t="s">
        <v>79</v>
      </c>
      <c r="AX27" s="58" t="s">
        <v>80</v>
      </c>
      <c r="AY27" s="58" t="s">
        <v>80</v>
      </c>
      <c r="AZ27" s="59" t="s">
        <v>79</v>
      </c>
      <c r="BA27" s="58" t="s">
        <v>80</v>
      </c>
      <c r="BB27" s="58" t="s">
        <v>80</v>
      </c>
      <c r="BC27" s="59" t="s">
        <v>79</v>
      </c>
      <c r="BD27" s="58" t="s">
        <v>80</v>
      </c>
      <c r="BE27" s="58" t="s">
        <v>80</v>
      </c>
      <c r="BF27" s="59" t="s">
        <v>79</v>
      </c>
      <c r="BG27" s="58" t="s">
        <v>80</v>
      </c>
      <c r="BH27" s="58" t="s">
        <v>80</v>
      </c>
      <c r="BI27" s="59" t="s">
        <v>79</v>
      </c>
      <c r="BJ27" s="58" t="s">
        <v>80</v>
      </c>
      <c r="BK27" s="58" t="s">
        <v>80</v>
      </c>
      <c r="BL27" s="59" t="s">
        <v>79</v>
      </c>
      <c r="BM27" s="58" t="s">
        <v>80</v>
      </c>
      <c r="BN27" s="58" t="s">
        <v>80</v>
      </c>
      <c r="BO27" s="59" t="s">
        <v>79</v>
      </c>
      <c r="BP27" s="58" t="s">
        <v>80</v>
      </c>
      <c r="BQ27" s="58" t="s">
        <v>80</v>
      </c>
      <c r="BR27" s="59" t="s">
        <v>79</v>
      </c>
      <c r="BS27" s="58" t="s">
        <v>80</v>
      </c>
      <c r="BT27" s="58" t="s">
        <v>80</v>
      </c>
      <c r="BU27" s="59" t="s">
        <v>79</v>
      </c>
      <c r="BV27" s="58" t="s">
        <v>80</v>
      </c>
      <c r="BW27" s="58" t="s">
        <v>80</v>
      </c>
      <c r="BX27" s="59" t="s">
        <v>79</v>
      </c>
      <c r="BY27" s="58" t="s">
        <v>80</v>
      </c>
      <c r="BZ27" s="58" t="s">
        <v>80</v>
      </c>
      <c r="CA27" s="58" t="s">
        <v>50</v>
      </c>
      <c r="CB27" s="60">
        <v>5.0599999999999996</v>
      </c>
      <c r="CC27" s="58">
        <v>10</v>
      </c>
      <c r="CD27" s="57" t="s">
        <v>82</v>
      </c>
    </row>
    <row r="28" spans="3:85" s="17" customFormat="1" x14ac:dyDescent="0.25">
      <c r="C28" s="57" t="s">
        <v>83</v>
      </c>
      <c r="D28" s="57" t="s">
        <v>41</v>
      </c>
      <c r="E28" s="57" t="s">
        <v>80</v>
      </c>
      <c r="F28" s="58" t="s">
        <v>80</v>
      </c>
      <c r="G28" s="57" t="s">
        <v>41</v>
      </c>
      <c r="H28" s="57" t="s">
        <v>80</v>
      </c>
      <c r="I28" s="58" t="s">
        <v>80</v>
      </c>
      <c r="J28" s="57" t="s">
        <v>41</v>
      </c>
      <c r="K28" s="57" t="s">
        <v>80</v>
      </c>
      <c r="L28" s="58" t="s">
        <v>80</v>
      </c>
      <c r="M28" s="57" t="s">
        <v>41</v>
      </c>
      <c r="N28" s="57" t="s">
        <v>80</v>
      </c>
      <c r="O28" s="58" t="s">
        <v>80</v>
      </c>
      <c r="P28" s="57" t="s">
        <v>41</v>
      </c>
      <c r="Q28" s="57" t="s">
        <v>80</v>
      </c>
      <c r="R28" s="58" t="s">
        <v>80</v>
      </c>
      <c r="S28" s="57" t="s">
        <v>41</v>
      </c>
      <c r="T28" s="58" t="s">
        <v>80</v>
      </c>
      <c r="U28" s="58" t="s">
        <v>80</v>
      </c>
      <c r="V28" s="57" t="s">
        <v>41</v>
      </c>
      <c r="W28" s="58" t="s">
        <v>80</v>
      </c>
      <c r="X28" s="58" t="s">
        <v>80</v>
      </c>
      <c r="Y28" s="57" t="s">
        <v>41</v>
      </c>
      <c r="Z28" s="58" t="s">
        <v>80</v>
      </c>
      <c r="AA28" s="58" t="s">
        <v>80</v>
      </c>
      <c r="AB28" s="57" t="s">
        <v>41</v>
      </c>
      <c r="AC28" s="58" t="s">
        <v>80</v>
      </c>
      <c r="AD28" s="58" t="s">
        <v>80</v>
      </c>
      <c r="AE28" s="57" t="s">
        <v>41</v>
      </c>
      <c r="AF28" s="58" t="s">
        <v>80</v>
      </c>
      <c r="AG28" s="58" t="s">
        <v>80</v>
      </c>
      <c r="AH28" s="57" t="s">
        <v>41</v>
      </c>
      <c r="AI28" s="58" t="s">
        <v>80</v>
      </c>
      <c r="AJ28" s="58" t="s">
        <v>80</v>
      </c>
      <c r="AK28" s="57" t="s">
        <v>41</v>
      </c>
      <c r="AL28" s="58" t="s">
        <v>80</v>
      </c>
      <c r="AM28" s="58" t="s">
        <v>80</v>
      </c>
      <c r="AN28" s="57" t="s">
        <v>41</v>
      </c>
      <c r="AO28" s="58" t="s">
        <v>80</v>
      </c>
      <c r="AP28" s="58" t="s">
        <v>80</v>
      </c>
      <c r="AQ28" s="57" t="s">
        <v>41</v>
      </c>
      <c r="AR28" s="58" t="s">
        <v>80</v>
      </c>
      <c r="AS28" s="58" t="s">
        <v>80</v>
      </c>
      <c r="AT28" s="57" t="s">
        <v>41</v>
      </c>
      <c r="AU28" s="58" t="s">
        <v>80</v>
      </c>
      <c r="AV28" s="58" t="s">
        <v>80</v>
      </c>
      <c r="AW28" s="57" t="s">
        <v>41</v>
      </c>
      <c r="AX28" s="58" t="s">
        <v>80</v>
      </c>
      <c r="AY28" s="58" t="s">
        <v>80</v>
      </c>
      <c r="AZ28" s="59" t="s">
        <v>41</v>
      </c>
      <c r="BA28" s="58" t="s">
        <v>80</v>
      </c>
      <c r="BB28" s="58" t="s">
        <v>80</v>
      </c>
      <c r="BC28" s="59" t="s">
        <v>41</v>
      </c>
      <c r="BD28" s="58" t="s">
        <v>80</v>
      </c>
      <c r="BE28" s="58" t="s">
        <v>80</v>
      </c>
      <c r="BF28" s="59" t="s">
        <v>41</v>
      </c>
      <c r="BG28" s="58" t="s">
        <v>80</v>
      </c>
      <c r="BH28" s="58" t="s">
        <v>80</v>
      </c>
      <c r="BI28" s="59" t="s">
        <v>41</v>
      </c>
      <c r="BJ28" s="58" t="s">
        <v>80</v>
      </c>
      <c r="BK28" s="58" t="s">
        <v>80</v>
      </c>
      <c r="BL28" s="59" t="s">
        <v>41</v>
      </c>
      <c r="BM28" s="58" t="s">
        <v>80</v>
      </c>
      <c r="BN28" s="58" t="s">
        <v>80</v>
      </c>
      <c r="BO28" s="59" t="s">
        <v>41</v>
      </c>
      <c r="BP28" s="58" t="s">
        <v>80</v>
      </c>
      <c r="BQ28" s="58" t="s">
        <v>80</v>
      </c>
      <c r="BR28" s="59" t="s">
        <v>41</v>
      </c>
      <c r="BS28" s="58" t="s">
        <v>80</v>
      </c>
      <c r="BT28" s="58" t="s">
        <v>80</v>
      </c>
      <c r="BU28" s="59" t="s">
        <v>41</v>
      </c>
      <c r="BV28" s="58" t="s">
        <v>80</v>
      </c>
      <c r="BW28" s="58" t="s">
        <v>80</v>
      </c>
      <c r="BX28" s="59" t="s">
        <v>41</v>
      </c>
      <c r="BY28" s="58" t="s">
        <v>80</v>
      </c>
      <c r="BZ28" s="58" t="s">
        <v>80</v>
      </c>
      <c r="CA28" s="58" t="s">
        <v>50</v>
      </c>
      <c r="CB28" s="60">
        <v>5.0599999999999996</v>
      </c>
      <c r="CC28" s="58">
        <v>10</v>
      </c>
      <c r="CD28" s="57" t="s">
        <v>83</v>
      </c>
    </row>
    <row r="29" spans="3:85" s="17" customFormat="1" x14ac:dyDescent="0.25">
      <c r="C29" s="57" t="s">
        <v>84</v>
      </c>
      <c r="D29" s="57" t="s">
        <v>79</v>
      </c>
      <c r="E29" s="57" t="s">
        <v>80</v>
      </c>
      <c r="F29" s="58" t="s">
        <v>80</v>
      </c>
      <c r="G29" s="57" t="s">
        <v>79</v>
      </c>
      <c r="H29" s="57" t="s">
        <v>80</v>
      </c>
      <c r="I29" s="58" t="s">
        <v>80</v>
      </c>
      <c r="J29" s="57" t="s">
        <v>79</v>
      </c>
      <c r="K29" s="57" t="s">
        <v>80</v>
      </c>
      <c r="L29" s="58" t="s">
        <v>80</v>
      </c>
      <c r="M29" s="57" t="s">
        <v>79</v>
      </c>
      <c r="N29" s="57" t="s">
        <v>80</v>
      </c>
      <c r="O29" s="58" t="s">
        <v>80</v>
      </c>
      <c r="P29" s="57" t="s">
        <v>79</v>
      </c>
      <c r="Q29" s="57" t="s">
        <v>80</v>
      </c>
      <c r="R29" s="58" t="s">
        <v>80</v>
      </c>
      <c r="S29" s="57" t="s">
        <v>79</v>
      </c>
      <c r="T29" s="58" t="s">
        <v>80</v>
      </c>
      <c r="U29" s="58" t="s">
        <v>80</v>
      </c>
      <c r="V29" s="57" t="s">
        <v>79</v>
      </c>
      <c r="W29" s="58" t="s">
        <v>80</v>
      </c>
      <c r="X29" s="58" t="s">
        <v>80</v>
      </c>
      <c r="Y29" s="57" t="s">
        <v>79</v>
      </c>
      <c r="Z29" s="58" t="s">
        <v>80</v>
      </c>
      <c r="AA29" s="58" t="s">
        <v>80</v>
      </c>
      <c r="AB29" s="57" t="s">
        <v>79</v>
      </c>
      <c r="AC29" s="58" t="s">
        <v>80</v>
      </c>
      <c r="AD29" s="58" t="s">
        <v>80</v>
      </c>
      <c r="AE29" s="57" t="s">
        <v>79</v>
      </c>
      <c r="AF29" s="58" t="s">
        <v>80</v>
      </c>
      <c r="AG29" s="58" t="s">
        <v>80</v>
      </c>
      <c r="AH29" s="57" t="s">
        <v>79</v>
      </c>
      <c r="AI29" s="58" t="s">
        <v>80</v>
      </c>
      <c r="AJ29" s="58" t="s">
        <v>80</v>
      </c>
      <c r="AK29" s="57" t="s">
        <v>79</v>
      </c>
      <c r="AL29" s="58" t="s">
        <v>80</v>
      </c>
      <c r="AM29" s="58" t="s">
        <v>80</v>
      </c>
      <c r="AN29" s="57" t="s">
        <v>79</v>
      </c>
      <c r="AO29" s="58" t="s">
        <v>80</v>
      </c>
      <c r="AP29" s="58" t="s">
        <v>80</v>
      </c>
      <c r="AQ29" s="57" t="s">
        <v>79</v>
      </c>
      <c r="AR29" s="58" t="s">
        <v>80</v>
      </c>
      <c r="AS29" s="58" t="s">
        <v>80</v>
      </c>
      <c r="AT29" s="57" t="s">
        <v>79</v>
      </c>
      <c r="AU29" s="58" t="s">
        <v>80</v>
      </c>
      <c r="AV29" s="58" t="s">
        <v>80</v>
      </c>
      <c r="AW29" s="57" t="s">
        <v>79</v>
      </c>
      <c r="AX29" s="58" t="s">
        <v>80</v>
      </c>
      <c r="AY29" s="58" t="s">
        <v>80</v>
      </c>
      <c r="AZ29" s="59" t="s">
        <v>79</v>
      </c>
      <c r="BA29" s="58" t="s">
        <v>80</v>
      </c>
      <c r="BB29" s="58" t="s">
        <v>80</v>
      </c>
      <c r="BC29" s="59" t="s">
        <v>79</v>
      </c>
      <c r="BD29" s="58" t="s">
        <v>80</v>
      </c>
      <c r="BE29" s="58" t="s">
        <v>80</v>
      </c>
      <c r="BF29" s="59" t="s">
        <v>79</v>
      </c>
      <c r="BG29" s="58" t="s">
        <v>80</v>
      </c>
      <c r="BH29" s="58" t="s">
        <v>80</v>
      </c>
      <c r="BI29" s="59" t="s">
        <v>79</v>
      </c>
      <c r="BJ29" s="58" t="s">
        <v>80</v>
      </c>
      <c r="BK29" s="58" t="s">
        <v>80</v>
      </c>
      <c r="BL29" s="59" t="s">
        <v>79</v>
      </c>
      <c r="BM29" s="58" t="s">
        <v>80</v>
      </c>
      <c r="BN29" s="58" t="s">
        <v>80</v>
      </c>
      <c r="BO29" s="59" t="s">
        <v>79</v>
      </c>
      <c r="BP29" s="58" t="s">
        <v>80</v>
      </c>
      <c r="BQ29" s="58" t="s">
        <v>80</v>
      </c>
      <c r="BR29" s="59" t="s">
        <v>79</v>
      </c>
      <c r="BS29" s="58" t="s">
        <v>80</v>
      </c>
      <c r="BT29" s="58" t="s">
        <v>80</v>
      </c>
      <c r="BU29" s="59" t="s">
        <v>79</v>
      </c>
      <c r="BV29" s="58" t="s">
        <v>80</v>
      </c>
      <c r="BW29" s="58" t="s">
        <v>80</v>
      </c>
      <c r="BX29" s="59" t="s">
        <v>79</v>
      </c>
      <c r="BY29" s="58" t="s">
        <v>80</v>
      </c>
      <c r="BZ29" s="58" t="s">
        <v>80</v>
      </c>
      <c r="CA29" s="58" t="s">
        <v>50</v>
      </c>
      <c r="CB29" s="60">
        <v>5.0599999999999996</v>
      </c>
      <c r="CC29" s="58">
        <v>10</v>
      </c>
      <c r="CD29" s="57" t="s">
        <v>84</v>
      </c>
    </row>
    <row r="30" spans="3:85" s="22" customFormat="1" x14ac:dyDescent="0.25">
      <c r="C30" s="61" t="s">
        <v>85</v>
      </c>
      <c r="D30" s="61" t="s">
        <v>79</v>
      </c>
      <c r="E30" s="61" t="s">
        <v>80</v>
      </c>
      <c r="F30" s="62" t="s">
        <v>80</v>
      </c>
      <c r="G30" s="61" t="s">
        <v>79</v>
      </c>
      <c r="H30" s="61" t="s">
        <v>80</v>
      </c>
      <c r="I30" s="62" t="s">
        <v>80</v>
      </c>
      <c r="J30" s="61" t="s">
        <v>79</v>
      </c>
      <c r="K30" s="61" t="s">
        <v>80</v>
      </c>
      <c r="L30" s="62" t="s">
        <v>80</v>
      </c>
      <c r="M30" s="61" t="s">
        <v>79</v>
      </c>
      <c r="N30" s="61" t="s">
        <v>80</v>
      </c>
      <c r="O30" s="62" t="s">
        <v>80</v>
      </c>
      <c r="P30" s="61" t="s">
        <v>79</v>
      </c>
      <c r="Q30" s="61" t="s">
        <v>80</v>
      </c>
      <c r="R30" s="62" t="s">
        <v>80</v>
      </c>
      <c r="S30" s="61" t="s">
        <v>79</v>
      </c>
      <c r="T30" s="62" t="s">
        <v>80</v>
      </c>
      <c r="U30" s="62" t="s">
        <v>80</v>
      </c>
      <c r="V30" s="61" t="s">
        <v>79</v>
      </c>
      <c r="W30" s="62" t="s">
        <v>80</v>
      </c>
      <c r="X30" s="62" t="s">
        <v>80</v>
      </c>
      <c r="Y30" s="61" t="s">
        <v>79</v>
      </c>
      <c r="Z30" s="62" t="s">
        <v>80</v>
      </c>
      <c r="AA30" s="62" t="s">
        <v>80</v>
      </c>
      <c r="AB30" s="61" t="s">
        <v>79</v>
      </c>
      <c r="AC30" s="62" t="s">
        <v>80</v>
      </c>
      <c r="AD30" s="62" t="s">
        <v>80</v>
      </c>
      <c r="AE30" s="61" t="s">
        <v>79</v>
      </c>
      <c r="AF30" s="62" t="s">
        <v>80</v>
      </c>
      <c r="AG30" s="62" t="s">
        <v>80</v>
      </c>
      <c r="AH30" s="61" t="s">
        <v>79</v>
      </c>
      <c r="AI30" s="62" t="s">
        <v>80</v>
      </c>
      <c r="AJ30" s="62" t="s">
        <v>80</v>
      </c>
      <c r="AK30" s="61" t="s">
        <v>79</v>
      </c>
      <c r="AL30" s="62" t="s">
        <v>80</v>
      </c>
      <c r="AM30" s="62" t="s">
        <v>80</v>
      </c>
      <c r="AN30" s="61" t="s">
        <v>79</v>
      </c>
      <c r="AO30" s="62" t="s">
        <v>80</v>
      </c>
      <c r="AP30" s="62" t="s">
        <v>80</v>
      </c>
      <c r="AQ30" s="61" t="s">
        <v>79</v>
      </c>
      <c r="AR30" s="62" t="s">
        <v>80</v>
      </c>
      <c r="AS30" s="62" t="s">
        <v>80</v>
      </c>
      <c r="AT30" s="61" t="s">
        <v>79</v>
      </c>
      <c r="AU30" s="62" t="s">
        <v>80</v>
      </c>
      <c r="AV30" s="62" t="s">
        <v>80</v>
      </c>
      <c r="AW30" s="61" t="s">
        <v>79</v>
      </c>
      <c r="AX30" s="62" t="s">
        <v>80</v>
      </c>
      <c r="AY30" s="62" t="s">
        <v>80</v>
      </c>
      <c r="AZ30" s="63" t="s">
        <v>79</v>
      </c>
      <c r="BA30" s="62" t="s">
        <v>80</v>
      </c>
      <c r="BB30" s="62" t="s">
        <v>80</v>
      </c>
      <c r="BC30" s="63" t="s">
        <v>79</v>
      </c>
      <c r="BD30" s="62" t="s">
        <v>80</v>
      </c>
      <c r="BE30" s="62" t="s">
        <v>80</v>
      </c>
      <c r="BF30" s="63" t="s">
        <v>79</v>
      </c>
      <c r="BG30" s="62" t="s">
        <v>80</v>
      </c>
      <c r="BH30" s="62" t="s">
        <v>80</v>
      </c>
      <c r="BI30" s="63" t="s">
        <v>79</v>
      </c>
      <c r="BJ30" s="62" t="s">
        <v>80</v>
      </c>
      <c r="BK30" s="62" t="s">
        <v>80</v>
      </c>
      <c r="BL30" s="63" t="s">
        <v>79</v>
      </c>
      <c r="BM30" s="62" t="s">
        <v>80</v>
      </c>
      <c r="BN30" s="62" t="s">
        <v>80</v>
      </c>
      <c r="BO30" s="63" t="s">
        <v>79</v>
      </c>
      <c r="BP30" s="62" t="s">
        <v>80</v>
      </c>
      <c r="BQ30" s="62" t="s">
        <v>80</v>
      </c>
      <c r="BR30" s="63" t="s">
        <v>79</v>
      </c>
      <c r="BS30" s="62" t="s">
        <v>80</v>
      </c>
      <c r="BT30" s="62" t="s">
        <v>80</v>
      </c>
      <c r="BU30" s="63" t="s">
        <v>79</v>
      </c>
      <c r="BV30" s="62" t="s">
        <v>80</v>
      </c>
      <c r="BW30" s="62" t="s">
        <v>80</v>
      </c>
      <c r="BX30" s="63" t="s">
        <v>79</v>
      </c>
      <c r="BY30" s="62" t="s">
        <v>80</v>
      </c>
      <c r="BZ30" s="62" t="s">
        <v>80</v>
      </c>
      <c r="CA30" s="62" t="s">
        <v>56</v>
      </c>
      <c r="CB30" s="64">
        <v>1.27</v>
      </c>
      <c r="CC30" s="62">
        <v>10</v>
      </c>
      <c r="CD30" s="61" t="s">
        <v>85</v>
      </c>
    </row>
    <row r="31" spans="3:85" s="22" customFormat="1" x14ac:dyDescent="0.25">
      <c r="C31" s="61" t="s">
        <v>86</v>
      </c>
      <c r="D31" s="61" t="s">
        <v>79</v>
      </c>
      <c r="E31" s="61" t="s">
        <v>80</v>
      </c>
      <c r="F31" s="62" t="s">
        <v>80</v>
      </c>
      <c r="G31" s="61" t="s">
        <v>79</v>
      </c>
      <c r="H31" s="61" t="s">
        <v>80</v>
      </c>
      <c r="I31" s="62" t="s">
        <v>80</v>
      </c>
      <c r="J31" s="61" t="s">
        <v>79</v>
      </c>
      <c r="K31" s="61" t="s">
        <v>80</v>
      </c>
      <c r="L31" s="62" t="s">
        <v>80</v>
      </c>
      <c r="M31" s="61" t="s">
        <v>79</v>
      </c>
      <c r="N31" s="61" t="s">
        <v>80</v>
      </c>
      <c r="O31" s="62" t="s">
        <v>80</v>
      </c>
      <c r="P31" s="61" t="s">
        <v>79</v>
      </c>
      <c r="Q31" s="61" t="s">
        <v>80</v>
      </c>
      <c r="R31" s="62" t="s">
        <v>80</v>
      </c>
      <c r="S31" s="61" t="s">
        <v>79</v>
      </c>
      <c r="T31" s="62" t="s">
        <v>80</v>
      </c>
      <c r="U31" s="62" t="s">
        <v>80</v>
      </c>
      <c r="V31" s="61" t="s">
        <v>79</v>
      </c>
      <c r="W31" s="62" t="s">
        <v>80</v>
      </c>
      <c r="X31" s="62" t="s">
        <v>80</v>
      </c>
      <c r="Y31" s="61" t="s">
        <v>79</v>
      </c>
      <c r="Z31" s="62" t="s">
        <v>80</v>
      </c>
      <c r="AA31" s="62" t="s">
        <v>80</v>
      </c>
      <c r="AB31" s="61" t="s">
        <v>79</v>
      </c>
      <c r="AC31" s="62" t="s">
        <v>80</v>
      </c>
      <c r="AD31" s="62" t="s">
        <v>80</v>
      </c>
      <c r="AE31" s="61" t="s">
        <v>79</v>
      </c>
      <c r="AF31" s="62" t="s">
        <v>80</v>
      </c>
      <c r="AG31" s="62" t="s">
        <v>80</v>
      </c>
      <c r="AH31" s="61" t="s">
        <v>79</v>
      </c>
      <c r="AI31" s="62" t="s">
        <v>80</v>
      </c>
      <c r="AJ31" s="62" t="s">
        <v>80</v>
      </c>
      <c r="AK31" s="61" t="s">
        <v>79</v>
      </c>
      <c r="AL31" s="62" t="s">
        <v>80</v>
      </c>
      <c r="AM31" s="62" t="s">
        <v>80</v>
      </c>
      <c r="AN31" s="61" t="s">
        <v>79</v>
      </c>
      <c r="AO31" s="62" t="s">
        <v>80</v>
      </c>
      <c r="AP31" s="62" t="s">
        <v>80</v>
      </c>
      <c r="AQ31" s="61" t="s">
        <v>79</v>
      </c>
      <c r="AR31" s="62" t="s">
        <v>80</v>
      </c>
      <c r="AS31" s="62" t="s">
        <v>80</v>
      </c>
      <c r="AT31" s="61" t="s">
        <v>79</v>
      </c>
      <c r="AU31" s="62" t="s">
        <v>80</v>
      </c>
      <c r="AV31" s="62" t="s">
        <v>80</v>
      </c>
      <c r="AW31" s="61" t="s">
        <v>79</v>
      </c>
      <c r="AX31" s="62" t="s">
        <v>80</v>
      </c>
      <c r="AY31" s="62" t="s">
        <v>80</v>
      </c>
      <c r="AZ31" s="63" t="s">
        <v>79</v>
      </c>
      <c r="BA31" s="62" t="s">
        <v>80</v>
      </c>
      <c r="BB31" s="62" t="s">
        <v>80</v>
      </c>
      <c r="BC31" s="63" t="s">
        <v>79</v>
      </c>
      <c r="BD31" s="62" t="s">
        <v>80</v>
      </c>
      <c r="BE31" s="62" t="s">
        <v>80</v>
      </c>
      <c r="BF31" s="63" t="s">
        <v>79</v>
      </c>
      <c r="BG31" s="62" t="s">
        <v>80</v>
      </c>
      <c r="BH31" s="62" t="s">
        <v>80</v>
      </c>
      <c r="BI31" s="63" t="s">
        <v>79</v>
      </c>
      <c r="BJ31" s="62" t="s">
        <v>80</v>
      </c>
      <c r="BK31" s="62" t="s">
        <v>80</v>
      </c>
      <c r="BL31" s="63" t="s">
        <v>79</v>
      </c>
      <c r="BM31" s="62" t="s">
        <v>80</v>
      </c>
      <c r="BN31" s="62" t="s">
        <v>80</v>
      </c>
      <c r="BO31" s="63" t="s">
        <v>79</v>
      </c>
      <c r="BP31" s="62" t="s">
        <v>80</v>
      </c>
      <c r="BQ31" s="62" t="s">
        <v>80</v>
      </c>
      <c r="BR31" s="63" t="s">
        <v>79</v>
      </c>
      <c r="BS31" s="62" t="s">
        <v>80</v>
      </c>
      <c r="BT31" s="62" t="s">
        <v>80</v>
      </c>
      <c r="BU31" s="63" t="s">
        <v>79</v>
      </c>
      <c r="BV31" s="62" t="s">
        <v>80</v>
      </c>
      <c r="BW31" s="62" t="s">
        <v>80</v>
      </c>
      <c r="BX31" s="63" t="s">
        <v>79</v>
      </c>
      <c r="BY31" s="62" t="s">
        <v>80</v>
      </c>
      <c r="BZ31" s="62" t="s">
        <v>80</v>
      </c>
      <c r="CA31" s="62" t="s">
        <v>56</v>
      </c>
      <c r="CB31" s="64">
        <v>1.27</v>
      </c>
      <c r="CC31" s="62">
        <v>10</v>
      </c>
      <c r="CD31" s="61" t="s">
        <v>86</v>
      </c>
    </row>
    <row r="32" spans="3:85" s="22" customFormat="1" x14ac:dyDescent="0.25">
      <c r="C32" s="61" t="s">
        <v>87</v>
      </c>
      <c r="D32" s="61" t="s">
        <v>79</v>
      </c>
      <c r="E32" s="61" t="s">
        <v>80</v>
      </c>
      <c r="F32" s="62" t="s">
        <v>80</v>
      </c>
      <c r="G32" s="61" t="s">
        <v>79</v>
      </c>
      <c r="H32" s="61" t="s">
        <v>80</v>
      </c>
      <c r="I32" s="62" t="s">
        <v>80</v>
      </c>
      <c r="J32" s="61" t="s">
        <v>79</v>
      </c>
      <c r="K32" s="61" t="s">
        <v>80</v>
      </c>
      <c r="L32" s="62" t="s">
        <v>80</v>
      </c>
      <c r="M32" s="61" t="s">
        <v>79</v>
      </c>
      <c r="N32" s="61" t="s">
        <v>80</v>
      </c>
      <c r="O32" s="62" t="s">
        <v>80</v>
      </c>
      <c r="P32" s="61" t="s">
        <v>79</v>
      </c>
      <c r="Q32" s="61" t="s">
        <v>80</v>
      </c>
      <c r="R32" s="62" t="s">
        <v>80</v>
      </c>
      <c r="S32" s="61" t="s">
        <v>79</v>
      </c>
      <c r="T32" s="62" t="s">
        <v>80</v>
      </c>
      <c r="U32" s="62" t="s">
        <v>80</v>
      </c>
      <c r="V32" s="61" t="s">
        <v>79</v>
      </c>
      <c r="W32" s="62" t="s">
        <v>80</v>
      </c>
      <c r="X32" s="62" t="s">
        <v>80</v>
      </c>
      <c r="Y32" s="61" t="s">
        <v>79</v>
      </c>
      <c r="Z32" s="62" t="s">
        <v>80</v>
      </c>
      <c r="AA32" s="62" t="s">
        <v>80</v>
      </c>
      <c r="AB32" s="61" t="s">
        <v>79</v>
      </c>
      <c r="AC32" s="62" t="s">
        <v>80</v>
      </c>
      <c r="AD32" s="62" t="s">
        <v>80</v>
      </c>
      <c r="AE32" s="61" t="s">
        <v>79</v>
      </c>
      <c r="AF32" s="62" t="s">
        <v>80</v>
      </c>
      <c r="AG32" s="62" t="s">
        <v>80</v>
      </c>
      <c r="AH32" s="61" t="s">
        <v>79</v>
      </c>
      <c r="AI32" s="62" t="s">
        <v>80</v>
      </c>
      <c r="AJ32" s="62" t="s">
        <v>80</v>
      </c>
      <c r="AK32" s="61" t="s">
        <v>79</v>
      </c>
      <c r="AL32" s="62" t="s">
        <v>80</v>
      </c>
      <c r="AM32" s="62" t="s">
        <v>80</v>
      </c>
      <c r="AN32" s="61" t="s">
        <v>79</v>
      </c>
      <c r="AO32" s="62" t="s">
        <v>80</v>
      </c>
      <c r="AP32" s="62" t="s">
        <v>80</v>
      </c>
      <c r="AQ32" s="61" t="s">
        <v>79</v>
      </c>
      <c r="AR32" s="62" t="s">
        <v>80</v>
      </c>
      <c r="AS32" s="62" t="s">
        <v>80</v>
      </c>
      <c r="AT32" s="61" t="s">
        <v>79</v>
      </c>
      <c r="AU32" s="62" t="s">
        <v>80</v>
      </c>
      <c r="AV32" s="62" t="s">
        <v>80</v>
      </c>
      <c r="AW32" s="61" t="s">
        <v>79</v>
      </c>
      <c r="AX32" s="62" t="s">
        <v>80</v>
      </c>
      <c r="AY32" s="62" t="s">
        <v>80</v>
      </c>
      <c r="AZ32" s="63" t="s">
        <v>79</v>
      </c>
      <c r="BA32" s="62" t="s">
        <v>80</v>
      </c>
      <c r="BB32" s="62" t="s">
        <v>80</v>
      </c>
      <c r="BC32" s="63" t="s">
        <v>79</v>
      </c>
      <c r="BD32" s="62" t="s">
        <v>80</v>
      </c>
      <c r="BE32" s="62" t="s">
        <v>80</v>
      </c>
      <c r="BF32" s="63" t="s">
        <v>79</v>
      </c>
      <c r="BG32" s="62" t="s">
        <v>80</v>
      </c>
      <c r="BH32" s="62" t="s">
        <v>80</v>
      </c>
      <c r="BI32" s="63" t="s">
        <v>79</v>
      </c>
      <c r="BJ32" s="62" t="s">
        <v>80</v>
      </c>
      <c r="BK32" s="62" t="s">
        <v>80</v>
      </c>
      <c r="BL32" s="63" t="s">
        <v>79</v>
      </c>
      <c r="BM32" s="62" t="s">
        <v>80</v>
      </c>
      <c r="BN32" s="62" t="s">
        <v>80</v>
      </c>
      <c r="BO32" s="63" t="s">
        <v>79</v>
      </c>
      <c r="BP32" s="62" t="s">
        <v>80</v>
      </c>
      <c r="BQ32" s="62" t="s">
        <v>80</v>
      </c>
      <c r="BR32" s="63" t="s">
        <v>79</v>
      </c>
      <c r="BS32" s="62" t="s">
        <v>80</v>
      </c>
      <c r="BT32" s="62" t="s">
        <v>80</v>
      </c>
      <c r="BU32" s="63" t="s">
        <v>79</v>
      </c>
      <c r="BV32" s="62" t="s">
        <v>80</v>
      </c>
      <c r="BW32" s="62" t="s">
        <v>80</v>
      </c>
      <c r="BX32" s="63" t="s">
        <v>79</v>
      </c>
      <c r="BY32" s="62" t="s">
        <v>80</v>
      </c>
      <c r="BZ32" s="62" t="s">
        <v>80</v>
      </c>
      <c r="CA32" s="62" t="s">
        <v>56</v>
      </c>
      <c r="CB32" s="64">
        <v>1.27</v>
      </c>
      <c r="CC32" s="62">
        <v>10</v>
      </c>
      <c r="CD32" s="61" t="s">
        <v>87</v>
      </c>
    </row>
    <row r="33" spans="3:82" s="19" customFormat="1" x14ac:dyDescent="0.25">
      <c r="C33" s="77" t="s">
        <v>88</v>
      </c>
      <c r="D33" s="77" t="s">
        <v>79</v>
      </c>
      <c r="E33" s="77" t="s">
        <v>80</v>
      </c>
      <c r="F33" s="78" t="s">
        <v>80</v>
      </c>
      <c r="G33" s="77" t="s">
        <v>79</v>
      </c>
      <c r="H33" s="77" t="s">
        <v>80</v>
      </c>
      <c r="I33" s="78" t="s">
        <v>80</v>
      </c>
      <c r="J33" s="77" t="s">
        <v>79</v>
      </c>
      <c r="K33" s="77" t="s">
        <v>80</v>
      </c>
      <c r="L33" s="78" t="s">
        <v>80</v>
      </c>
      <c r="M33" s="77" t="s">
        <v>79</v>
      </c>
      <c r="N33" s="77" t="s">
        <v>80</v>
      </c>
      <c r="O33" s="78" t="s">
        <v>80</v>
      </c>
      <c r="P33" s="77" t="s">
        <v>79</v>
      </c>
      <c r="Q33" s="77" t="s">
        <v>80</v>
      </c>
      <c r="R33" s="78" t="s">
        <v>80</v>
      </c>
      <c r="S33" s="77" t="s">
        <v>79</v>
      </c>
      <c r="T33" s="78" t="s">
        <v>80</v>
      </c>
      <c r="U33" s="78" t="s">
        <v>80</v>
      </c>
      <c r="V33" s="77" t="s">
        <v>79</v>
      </c>
      <c r="W33" s="78" t="s">
        <v>80</v>
      </c>
      <c r="X33" s="78" t="s">
        <v>80</v>
      </c>
      <c r="Y33" s="77" t="s">
        <v>79</v>
      </c>
      <c r="Z33" s="78" t="s">
        <v>80</v>
      </c>
      <c r="AA33" s="78" t="s">
        <v>80</v>
      </c>
      <c r="AB33" s="77" t="s">
        <v>79</v>
      </c>
      <c r="AC33" s="78" t="s">
        <v>80</v>
      </c>
      <c r="AD33" s="78" t="s">
        <v>80</v>
      </c>
      <c r="AE33" s="77" t="s">
        <v>79</v>
      </c>
      <c r="AF33" s="78" t="s">
        <v>80</v>
      </c>
      <c r="AG33" s="78" t="s">
        <v>80</v>
      </c>
      <c r="AH33" s="77" t="s">
        <v>79</v>
      </c>
      <c r="AI33" s="78" t="s">
        <v>80</v>
      </c>
      <c r="AJ33" s="78" t="s">
        <v>80</v>
      </c>
      <c r="AK33" s="77" t="s">
        <v>79</v>
      </c>
      <c r="AL33" s="78" t="s">
        <v>80</v>
      </c>
      <c r="AM33" s="78" t="s">
        <v>80</v>
      </c>
      <c r="AN33" s="77" t="s">
        <v>79</v>
      </c>
      <c r="AO33" s="78" t="s">
        <v>80</v>
      </c>
      <c r="AP33" s="78" t="s">
        <v>80</v>
      </c>
      <c r="AQ33" s="77" t="s">
        <v>79</v>
      </c>
      <c r="AR33" s="78" t="s">
        <v>80</v>
      </c>
      <c r="AS33" s="78" t="s">
        <v>80</v>
      </c>
      <c r="AT33" s="77" t="s">
        <v>79</v>
      </c>
      <c r="AU33" s="78" t="s">
        <v>80</v>
      </c>
      <c r="AV33" s="78" t="s">
        <v>80</v>
      </c>
      <c r="AW33" s="77" t="s">
        <v>79</v>
      </c>
      <c r="AX33" s="78" t="s">
        <v>80</v>
      </c>
      <c r="AY33" s="78" t="s">
        <v>80</v>
      </c>
      <c r="AZ33" s="79" t="s">
        <v>79</v>
      </c>
      <c r="BA33" s="78" t="s">
        <v>80</v>
      </c>
      <c r="BB33" s="78" t="s">
        <v>80</v>
      </c>
      <c r="BC33" s="79" t="s">
        <v>79</v>
      </c>
      <c r="BD33" s="78" t="s">
        <v>80</v>
      </c>
      <c r="BE33" s="78" t="s">
        <v>80</v>
      </c>
      <c r="BF33" s="79" t="s">
        <v>79</v>
      </c>
      <c r="BG33" s="78" t="s">
        <v>80</v>
      </c>
      <c r="BH33" s="78" t="s">
        <v>80</v>
      </c>
      <c r="BI33" s="79" t="s">
        <v>79</v>
      </c>
      <c r="BJ33" s="78" t="s">
        <v>80</v>
      </c>
      <c r="BK33" s="78" t="s">
        <v>80</v>
      </c>
      <c r="BL33" s="79" t="s">
        <v>79</v>
      </c>
      <c r="BM33" s="78" t="s">
        <v>80</v>
      </c>
      <c r="BN33" s="78" t="s">
        <v>80</v>
      </c>
      <c r="BO33" s="79" t="s">
        <v>79</v>
      </c>
      <c r="BP33" s="78" t="s">
        <v>80</v>
      </c>
      <c r="BQ33" s="78" t="s">
        <v>80</v>
      </c>
      <c r="BR33" s="79" t="s">
        <v>79</v>
      </c>
      <c r="BS33" s="78" t="s">
        <v>80</v>
      </c>
      <c r="BT33" s="78" t="s">
        <v>80</v>
      </c>
      <c r="BU33" s="79" t="s">
        <v>79</v>
      </c>
      <c r="BV33" s="78" t="s">
        <v>80</v>
      </c>
      <c r="BW33" s="78" t="s">
        <v>80</v>
      </c>
      <c r="BX33" s="79" t="s">
        <v>79</v>
      </c>
      <c r="BY33" s="78" t="s">
        <v>80</v>
      </c>
      <c r="BZ33" s="78" t="s">
        <v>80</v>
      </c>
      <c r="CA33" s="78" t="s">
        <v>53</v>
      </c>
      <c r="CB33" s="80">
        <v>18.05</v>
      </c>
      <c r="CC33" s="78">
        <v>10</v>
      </c>
      <c r="CD33" s="77" t="s">
        <v>88</v>
      </c>
    </row>
    <row r="34" spans="3:82" s="19" customFormat="1" x14ac:dyDescent="0.25">
      <c r="C34" s="77" t="s">
        <v>89</v>
      </c>
      <c r="D34" s="77" t="s">
        <v>79</v>
      </c>
      <c r="E34" s="77" t="s">
        <v>80</v>
      </c>
      <c r="F34" s="78" t="s">
        <v>80</v>
      </c>
      <c r="G34" s="77" t="s">
        <v>79</v>
      </c>
      <c r="H34" s="77" t="s">
        <v>80</v>
      </c>
      <c r="I34" s="78" t="s">
        <v>80</v>
      </c>
      <c r="J34" s="77" t="s">
        <v>79</v>
      </c>
      <c r="K34" s="77" t="s">
        <v>80</v>
      </c>
      <c r="L34" s="78" t="s">
        <v>80</v>
      </c>
      <c r="M34" s="77" t="s">
        <v>79</v>
      </c>
      <c r="N34" s="77" t="s">
        <v>80</v>
      </c>
      <c r="O34" s="78" t="s">
        <v>80</v>
      </c>
      <c r="P34" s="77" t="s">
        <v>79</v>
      </c>
      <c r="Q34" s="77" t="s">
        <v>80</v>
      </c>
      <c r="R34" s="78" t="s">
        <v>80</v>
      </c>
      <c r="S34" s="77" t="s">
        <v>79</v>
      </c>
      <c r="T34" s="78" t="s">
        <v>80</v>
      </c>
      <c r="U34" s="78" t="s">
        <v>80</v>
      </c>
      <c r="V34" s="77" t="s">
        <v>79</v>
      </c>
      <c r="W34" s="78" t="s">
        <v>80</v>
      </c>
      <c r="X34" s="78" t="s">
        <v>80</v>
      </c>
      <c r="Y34" s="77" t="s">
        <v>79</v>
      </c>
      <c r="Z34" s="78" t="s">
        <v>80</v>
      </c>
      <c r="AA34" s="78" t="s">
        <v>80</v>
      </c>
      <c r="AB34" s="77" t="s">
        <v>79</v>
      </c>
      <c r="AC34" s="78" t="s">
        <v>80</v>
      </c>
      <c r="AD34" s="78" t="s">
        <v>80</v>
      </c>
      <c r="AE34" s="77" t="s">
        <v>79</v>
      </c>
      <c r="AF34" s="78" t="s">
        <v>80</v>
      </c>
      <c r="AG34" s="78" t="s">
        <v>80</v>
      </c>
      <c r="AH34" s="77" t="s">
        <v>79</v>
      </c>
      <c r="AI34" s="78" t="s">
        <v>80</v>
      </c>
      <c r="AJ34" s="78" t="s">
        <v>80</v>
      </c>
      <c r="AK34" s="77" t="s">
        <v>79</v>
      </c>
      <c r="AL34" s="78" t="s">
        <v>80</v>
      </c>
      <c r="AM34" s="78" t="s">
        <v>80</v>
      </c>
      <c r="AN34" s="77" t="s">
        <v>79</v>
      </c>
      <c r="AO34" s="78" t="s">
        <v>80</v>
      </c>
      <c r="AP34" s="78" t="s">
        <v>80</v>
      </c>
      <c r="AQ34" s="77" t="s">
        <v>79</v>
      </c>
      <c r="AR34" s="78" t="s">
        <v>80</v>
      </c>
      <c r="AS34" s="78" t="s">
        <v>80</v>
      </c>
      <c r="AT34" s="77" t="s">
        <v>79</v>
      </c>
      <c r="AU34" s="78" t="s">
        <v>80</v>
      </c>
      <c r="AV34" s="78" t="s">
        <v>80</v>
      </c>
      <c r="AW34" s="77" t="s">
        <v>79</v>
      </c>
      <c r="AX34" s="78" t="s">
        <v>80</v>
      </c>
      <c r="AY34" s="78" t="s">
        <v>80</v>
      </c>
      <c r="AZ34" s="79" t="s">
        <v>79</v>
      </c>
      <c r="BA34" s="78" t="s">
        <v>80</v>
      </c>
      <c r="BB34" s="78" t="s">
        <v>80</v>
      </c>
      <c r="BC34" s="79" t="s">
        <v>79</v>
      </c>
      <c r="BD34" s="78" t="s">
        <v>80</v>
      </c>
      <c r="BE34" s="78" t="s">
        <v>80</v>
      </c>
      <c r="BF34" s="79" t="s">
        <v>79</v>
      </c>
      <c r="BG34" s="78" t="s">
        <v>80</v>
      </c>
      <c r="BH34" s="78" t="s">
        <v>80</v>
      </c>
      <c r="BI34" s="79" t="s">
        <v>79</v>
      </c>
      <c r="BJ34" s="78" t="s">
        <v>80</v>
      </c>
      <c r="BK34" s="78" t="s">
        <v>80</v>
      </c>
      <c r="BL34" s="79" t="s">
        <v>79</v>
      </c>
      <c r="BM34" s="78" t="s">
        <v>80</v>
      </c>
      <c r="BN34" s="78" t="s">
        <v>80</v>
      </c>
      <c r="BO34" s="79" t="s">
        <v>79</v>
      </c>
      <c r="BP34" s="78" t="s">
        <v>80</v>
      </c>
      <c r="BQ34" s="78" t="s">
        <v>80</v>
      </c>
      <c r="BR34" s="79" t="s">
        <v>79</v>
      </c>
      <c r="BS34" s="78" t="s">
        <v>80</v>
      </c>
      <c r="BT34" s="78" t="s">
        <v>80</v>
      </c>
      <c r="BU34" s="79" t="s">
        <v>79</v>
      </c>
      <c r="BV34" s="78" t="s">
        <v>80</v>
      </c>
      <c r="BW34" s="78" t="s">
        <v>80</v>
      </c>
      <c r="BX34" s="79" t="s">
        <v>79</v>
      </c>
      <c r="BY34" s="78" t="s">
        <v>80</v>
      </c>
      <c r="BZ34" s="78" t="s">
        <v>80</v>
      </c>
      <c r="CA34" s="78" t="s">
        <v>53</v>
      </c>
      <c r="CB34" s="80">
        <v>18.05</v>
      </c>
      <c r="CC34" s="78">
        <v>10</v>
      </c>
      <c r="CD34" s="77" t="s">
        <v>89</v>
      </c>
    </row>
    <row r="35" spans="3:82" s="19" customFormat="1" x14ac:dyDescent="0.25">
      <c r="C35" s="77" t="s">
        <v>90</v>
      </c>
      <c r="D35" s="77" t="s">
        <v>79</v>
      </c>
      <c r="E35" s="77" t="s">
        <v>80</v>
      </c>
      <c r="F35" s="78" t="s">
        <v>80</v>
      </c>
      <c r="G35" s="77" t="s">
        <v>79</v>
      </c>
      <c r="H35" s="77" t="s">
        <v>80</v>
      </c>
      <c r="I35" s="78" t="s">
        <v>80</v>
      </c>
      <c r="J35" s="77" t="s">
        <v>79</v>
      </c>
      <c r="K35" s="77" t="s">
        <v>80</v>
      </c>
      <c r="L35" s="78" t="s">
        <v>80</v>
      </c>
      <c r="M35" s="77" t="s">
        <v>79</v>
      </c>
      <c r="N35" s="77" t="s">
        <v>80</v>
      </c>
      <c r="O35" s="78" t="s">
        <v>80</v>
      </c>
      <c r="P35" s="77" t="s">
        <v>79</v>
      </c>
      <c r="Q35" s="77" t="s">
        <v>80</v>
      </c>
      <c r="R35" s="78" t="s">
        <v>80</v>
      </c>
      <c r="S35" s="77" t="s">
        <v>79</v>
      </c>
      <c r="T35" s="78" t="s">
        <v>80</v>
      </c>
      <c r="U35" s="78" t="s">
        <v>80</v>
      </c>
      <c r="V35" s="77" t="s">
        <v>79</v>
      </c>
      <c r="W35" s="78" t="s">
        <v>80</v>
      </c>
      <c r="X35" s="78" t="s">
        <v>80</v>
      </c>
      <c r="Y35" s="77" t="s">
        <v>79</v>
      </c>
      <c r="Z35" s="78" t="s">
        <v>80</v>
      </c>
      <c r="AA35" s="78" t="s">
        <v>80</v>
      </c>
      <c r="AB35" s="77" t="s">
        <v>79</v>
      </c>
      <c r="AC35" s="78" t="s">
        <v>80</v>
      </c>
      <c r="AD35" s="78" t="s">
        <v>80</v>
      </c>
      <c r="AE35" s="77" t="s">
        <v>79</v>
      </c>
      <c r="AF35" s="78" t="s">
        <v>80</v>
      </c>
      <c r="AG35" s="78" t="s">
        <v>80</v>
      </c>
      <c r="AH35" s="77" t="s">
        <v>79</v>
      </c>
      <c r="AI35" s="78" t="s">
        <v>80</v>
      </c>
      <c r="AJ35" s="78" t="s">
        <v>80</v>
      </c>
      <c r="AK35" s="77" t="s">
        <v>79</v>
      </c>
      <c r="AL35" s="78" t="s">
        <v>80</v>
      </c>
      <c r="AM35" s="78" t="s">
        <v>80</v>
      </c>
      <c r="AN35" s="77" t="s">
        <v>79</v>
      </c>
      <c r="AO35" s="78" t="s">
        <v>80</v>
      </c>
      <c r="AP35" s="78" t="s">
        <v>80</v>
      </c>
      <c r="AQ35" s="77" t="s">
        <v>79</v>
      </c>
      <c r="AR35" s="78" t="s">
        <v>80</v>
      </c>
      <c r="AS35" s="78" t="s">
        <v>80</v>
      </c>
      <c r="AT35" s="77" t="s">
        <v>79</v>
      </c>
      <c r="AU35" s="78" t="s">
        <v>80</v>
      </c>
      <c r="AV35" s="78" t="s">
        <v>80</v>
      </c>
      <c r="AW35" s="77" t="s">
        <v>79</v>
      </c>
      <c r="AX35" s="78" t="s">
        <v>80</v>
      </c>
      <c r="AY35" s="78" t="s">
        <v>80</v>
      </c>
      <c r="AZ35" s="79" t="s">
        <v>79</v>
      </c>
      <c r="BA35" s="78" t="s">
        <v>80</v>
      </c>
      <c r="BB35" s="78" t="s">
        <v>80</v>
      </c>
      <c r="BC35" s="79" t="s">
        <v>79</v>
      </c>
      <c r="BD35" s="78" t="s">
        <v>80</v>
      </c>
      <c r="BE35" s="78" t="s">
        <v>80</v>
      </c>
      <c r="BF35" s="79" t="s">
        <v>79</v>
      </c>
      <c r="BG35" s="78" t="s">
        <v>80</v>
      </c>
      <c r="BH35" s="78" t="s">
        <v>80</v>
      </c>
      <c r="BI35" s="79" t="s">
        <v>79</v>
      </c>
      <c r="BJ35" s="78" t="s">
        <v>80</v>
      </c>
      <c r="BK35" s="78" t="s">
        <v>80</v>
      </c>
      <c r="BL35" s="79" t="s">
        <v>79</v>
      </c>
      <c r="BM35" s="78" t="s">
        <v>80</v>
      </c>
      <c r="BN35" s="78" t="s">
        <v>80</v>
      </c>
      <c r="BO35" s="79" t="s">
        <v>79</v>
      </c>
      <c r="BP35" s="78" t="s">
        <v>80</v>
      </c>
      <c r="BQ35" s="78" t="s">
        <v>80</v>
      </c>
      <c r="BR35" s="79" t="s">
        <v>79</v>
      </c>
      <c r="BS35" s="78" t="s">
        <v>80</v>
      </c>
      <c r="BT35" s="78" t="s">
        <v>80</v>
      </c>
      <c r="BU35" s="79" t="s">
        <v>79</v>
      </c>
      <c r="BV35" s="78" t="s">
        <v>80</v>
      </c>
      <c r="BW35" s="78" t="s">
        <v>80</v>
      </c>
      <c r="BX35" s="79" t="s">
        <v>79</v>
      </c>
      <c r="BY35" s="78" t="s">
        <v>80</v>
      </c>
      <c r="BZ35" s="78" t="s">
        <v>80</v>
      </c>
      <c r="CA35" s="78" t="s">
        <v>53</v>
      </c>
      <c r="CB35" s="80">
        <v>18.05</v>
      </c>
      <c r="CC35" s="78">
        <v>10</v>
      </c>
      <c r="CD35" s="77" t="s">
        <v>90</v>
      </c>
    </row>
    <row r="36" spans="3:82" s="24" customFormat="1" x14ac:dyDescent="0.25">
      <c r="C36" s="81" t="s">
        <v>91</v>
      </c>
      <c r="D36" s="81" t="s">
        <v>79</v>
      </c>
      <c r="E36" s="81" t="s">
        <v>80</v>
      </c>
      <c r="F36" s="82" t="s">
        <v>80</v>
      </c>
      <c r="G36" s="81" t="s">
        <v>79</v>
      </c>
      <c r="H36" s="81" t="s">
        <v>80</v>
      </c>
      <c r="I36" s="82" t="s">
        <v>80</v>
      </c>
      <c r="J36" s="81" t="s">
        <v>79</v>
      </c>
      <c r="K36" s="81" t="s">
        <v>80</v>
      </c>
      <c r="L36" s="82" t="s">
        <v>80</v>
      </c>
      <c r="M36" s="81" t="s">
        <v>79</v>
      </c>
      <c r="N36" s="81" t="s">
        <v>80</v>
      </c>
      <c r="O36" s="82" t="s">
        <v>80</v>
      </c>
      <c r="P36" s="81" t="s">
        <v>79</v>
      </c>
      <c r="Q36" s="81" t="s">
        <v>80</v>
      </c>
      <c r="R36" s="82" t="s">
        <v>80</v>
      </c>
      <c r="S36" s="81" t="s">
        <v>79</v>
      </c>
      <c r="T36" s="82" t="s">
        <v>80</v>
      </c>
      <c r="U36" s="82" t="s">
        <v>80</v>
      </c>
      <c r="V36" s="81" t="s">
        <v>79</v>
      </c>
      <c r="W36" s="82" t="s">
        <v>80</v>
      </c>
      <c r="X36" s="82" t="s">
        <v>80</v>
      </c>
      <c r="Y36" s="81" t="s">
        <v>79</v>
      </c>
      <c r="Z36" s="82" t="s">
        <v>80</v>
      </c>
      <c r="AA36" s="82" t="s">
        <v>80</v>
      </c>
      <c r="AB36" s="81" t="s">
        <v>79</v>
      </c>
      <c r="AC36" s="82" t="s">
        <v>80</v>
      </c>
      <c r="AD36" s="82" t="s">
        <v>80</v>
      </c>
      <c r="AE36" s="81" t="s">
        <v>79</v>
      </c>
      <c r="AF36" s="82" t="s">
        <v>80</v>
      </c>
      <c r="AG36" s="82" t="s">
        <v>80</v>
      </c>
      <c r="AH36" s="81" t="s">
        <v>79</v>
      </c>
      <c r="AI36" s="82" t="s">
        <v>80</v>
      </c>
      <c r="AJ36" s="82" t="s">
        <v>80</v>
      </c>
      <c r="AK36" s="81" t="s">
        <v>79</v>
      </c>
      <c r="AL36" s="82" t="s">
        <v>80</v>
      </c>
      <c r="AM36" s="82" t="s">
        <v>80</v>
      </c>
      <c r="AN36" s="81" t="s">
        <v>79</v>
      </c>
      <c r="AO36" s="82" t="s">
        <v>80</v>
      </c>
      <c r="AP36" s="82" t="s">
        <v>80</v>
      </c>
      <c r="AQ36" s="81" t="s">
        <v>79</v>
      </c>
      <c r="AR36" s="82" t="s">
        <v>80</v>
      </c>
      <c r="AS36" s="82" t="s">
        <v>80</v>
      </c>
      <c r="AT36" s="81" t="s">
        <v>79</v>
      </c>
      <c r="AU36" s="82" t="s">
        <v>80</v>
      </c>
      <c r="AV36" s="82" t="s">
        <v>80</v>
      </c>
      <c r="AW36" s="81" t="s">
        <v>79</v>
      </c>
      <c r="AX36" s="82" t="s">
        <v>80</v>
      </c>
      <c r="AY36" s="82" t="s">
        <v>80</v>
      </c>
      <c r="AZ36" s="83" t="s">
        <v>79</v>
      </c>
      <c r="BA36" s="82" t="s">
        <v>80</v>
      </c>
      <c r="BB36" s="82" t="s">
        <v>80</v>
      </c>
      <c r="BC36" s="83" t="s">
        <v>79</v>
      </c>
      <c r="BD36" s="82" t="s">
        <v>80</v>
      </c>
      <c r="BE36" s="82" t="s">
        <v>80</v>
      </c>
      <c r="BF36" s="83" t="s">
        <v>79</v>
      </c>
      <c r="BG36" s="82" t="s">
        <v>80</v>
      </c>
      <c r="BH36" s="82" t="s">
        <v>80</v>
      </c>
      <c r="BI36" s="83" t="s">
        <v>79</v>
      </c>
      <c r="BJ36" s="82" t="s">
        <v>80</v>
      </c>
      <c r="BK36" s="82" t="s">
        <v>80</v>
      </c>
      <c r="BL36" s="83" t="s">
        <v>79</v>
      </c>
      <c r="BM36" s="82" t="s">
        <v>80</v>
      </c>
      <c r="BN36" s="82" t="s">
        <v>80</v>
      </c>
      <c r="BO36" s="83" t="s">
        <v>79</v>
      </c>
      <c r="BP36" s="82" t="s">
        <v>80</v>
      </c>
      <c r="BQ36" s="82" t="s">
        <v>80</v>
      </c>
      <c r="BR36" s="83" t="s">
        <v>79</v>
      </c>
      <c r="BS36" s="82" t="s">
        <v>80</v>
      </c>
      <c r="BT36" s="82" t="s">
        <v>80</v>
      </c>
      <c r="BU36" s="83" t="s">
        <v>79</v>
      </c>
      <c r="BV36" s="82" t="s">
        <v>80</v>
      </c>
      <c r="BW36" s="82" t="s">
        <v>80</v>
      </c>
      <c r="BX36" s="83" t="s">
        <v>79</v>
      </c>
      <c r="BY36" s="82" t="s">
        <v>80</v>
      </c>
      <c r="BZ36" s="82" t="s">
        <v>80</v>
      </c>
      <c r="CA36" s="82" t="s">
        <v>57</v>
      </c>
      <c r="CB36" s="84">
        <v>3.64</v>
      </c>
      <c r="CC36" s="82">
        <v>4</v>
      </c>
      <c r="CD36" s="81" t="s">
        <v>91</v>
      </c>
    </row>
    <row r="37" spans="3:82" s="21" customFormat="1" x14ac:dyDescent="0.25">
      <c r="C37" s="69" t="s">
        <v>92</v>
      </c>
      <c r="D37" s="69" t="s">
        <v>41</v>
      </c>
      <c r="E37" s="69" t="s">
        <v>80</v>
      </c>
      <c r="F37" s="70" t="s">
        <v>80</v>
      </c>
      <c r="G37" s="69" t="s">
        <v>41</v>
      </c>
      <c r="H37" s="69" t="s">
        <v>80</v>
      </c>
      <c r="I37" s="70" t="s">
        <v>80</v>
      </c>
      <c r="J37" s="69" t="s">
        <v>41</v>
      </c>
      <c r="K37" s="69" t="s">
        <v>80</v>
      </c>
      <c r="L37" s="70" t="s">
        <v>80</v>
      </c>
      <c r="M37" s="69" t="s">
        <v>41</v>
      </c>
      <c r="N37" s="69" t="s">
        <v>80</v>
      </c>
      <c r="O37" s="70" t="s">
        <v>80</v>
      </c>
      <c r="P37" s="69" t="s">
        <v>41</v>
      </c>
      <c r="Q37" s="69" t="s">
        <v>80</v>
      </c>
      <c r="R37" s="70" t="s">
        <v>80</v>
      </c>
      <c r="S37" s="69" t="s">
        <v>41</v>
      </c>
      <c r="T37" s="70" t="s">
        <v>80</v>
      </c>
      <c r="U37" s="70" t="s">
        <v>80</v>
      </c>
      <c r="V37" s="69" t="s">
        <v>41</v>
      </c>
      <c r="W37" s="70" t="s">
        <v>80</v>
      </c>
      <c r="X37" s="70" t="s">
        <v>80</v>
      </c>
      <c r="Y37" s="69" t="s">
        <v>41</v>
      </c>
      <c r="Z37" s="70" t="s">
        <v>80</v>
      </c>
      <c r="AA37" s="70" t="s">
        <v>80</v>
      </c>
      <c r="AB37" s="69" t="s">
        <v>41</v>
      </c>
      <c r="AC37" s="70" t="s">
        <v>80</v>
      </c>
      <c r="AD37" s="70" t="s">
        <v>80</v>
      </c>
      <c r="AE37" s="69" t="s">
        <v>41</v>
      </c>
      <c r="AF37" s="70" t="s">
        <v>80</v>
      </c>
      <c r="AG37" s="70" t="s">
        <v>80</v>
      </c>
      <c r="AH37" s="69" t="s">
        <v>41</v>
      </c>
      <c r="AI37" s="70" t="s">
        <v>80</v>
      </c>
      <c r="AJ37" s="70" t="s">
        <v>80</v>
      </c>
      <c r="AK37" s="69" t="s">
        <v>41</v>
      </c>
      <c r="AL37" s="70" t="s">
        <v>80</v>
      </c>
      <c r="AM37" s="70" t="s">
        <v>80</v>
      </c>
      <c r="AN37" s="69" t="s">
        <v>41</v>
      </c>
      <c r="AO37" s="70" t="s">
        <v>80</v>
      </c>
      <c r="AP37" s="70" t="s">
        <v>80</v>
      </c>
      <c r="AQ37" s="69" t="s">
        <v>41</v>
      </c>
      <c r="AR37" s="70" t="s">
        <v>80</v>
      </c>
      <c r="AS37" s="70" t="s">
        <v>80</v>
      </c>
      <c r="AT37" s="69" t="s">
        <v>41</v>
      </c>
      <c r="AU37" s="70" t="s">
        <v>80</v>
      </c>
      <c r="AV37" s="70" t="s">
        <v>80</v>
      </c>
      <c r="AW37" s="69" t="s">
        <v>41</v>
      </c>
      <c r="AX37" s="70" t="s">
        <v>80</v>
      </c>
      <c r="AY37" s="70" t="s">
        <v>80</v>
      </c>
      <c r="AZ37" s="71" t="s">
        <v>41</v>
      </c>
      <c r="BA37" s="70" t="s">
        <v>80</v>
      </c>
      <c r="BB37" s="70" t="s">
        <v>80</v>
      </c>
      <c r="BC37" s="71" t="s">
        <v>41</v>
      </c>
      <c r="BD37" s="70" t="s">
        <v>80</v>
      </c>
      <c r="BE37" s="70" t="s">
        <v>80</v>
      </c>
      <c r="BF37" s="71" t="s">
        <v>41</v>
      </c>
      <c r="BG37" s="70" t="s">
        <v>80</v>
      </c>
      <c r="BH37" s="70" t="s">
        <v>80</v>
      </c>
      <c r="BI37" s="71" t="s">
        <v>41</v>
      </c>
      <c r="BJ37" s="70" t="s">
        <v>80</v>
      </c>
      <c r="BK37" s="70" t="s">
        <v>80</v>
      </c>
      <c r="BL37" s="71" t="s">
        <v>41</v>
      </c>
      <c r="BM37" s="70" t="s">
        <v>80</v>
      </c>
      <c r="BN37" s="70" t="s">
        <v>80</v>
      </c>
      <c r="BO37" s="71" t="s">
        <v>41</v>
      </c>
      <c r="BP37" s="70" t="s">
        <v>80</v>
      </c>
      <c r="BQ37" s="70" t="s">
        <v>80</v>
      </c>
      <c r="BR37" s="71" t="s">
        <v>41</v>
      </c>
      <c r="BS37" s="70" t="s">
        <v>80</v>
      </c>
      <c r="BT37" s="70" t="s">
        <v>80</v>
      </c>
      <c r="BU37" s="71" t="s">
        <v>41</v>
      </c>
      <c r="BV37" s="70" t="s">
        <v>80</v>
      </c>
      <c r="BW37" s="70" t="s">
        <v>80</v>
      </c>
      <c r="BX37" s="71" t="s">
        <v>41</v>
      </c>
      <c r="BY37" s="70" t="s">
        <v>80</v>
      </c>
      <c r="BZ37" s="70" t="s">
        <v>80</v>
      </c>
      <c r="CA37" s="70" t="s">
        <v>52</v>
      </c>
      <c r="CB37" s="72">
        <v>10.57</v>
      </c>
      <c r="CC37" s="70">
        <v>10</v>
      </c>
      <c r="CD37" s="69" t="s">
        <v>92</v>
      </c>
    </row>
    <row r="38" spans="3:82" s="26" customFormat="1" x14ac:dyDescent="0.25">
      <c r="C38" s="45" t="s">
        <v>93</v>
      </c>
      <c r="D38" s="45" t="s">
        <v>79</v>
      </c>
      <c r="E38" s="45" t="s">
        <v>80</v>
      </c>
      <c r="F38" s="46" t="s">
        <v>80</v>
      </c>
      <c r="G38" s="45" t="s">
        <v>79</v>
      </c>
      <c r="H38" s="45" t="s">
        <v>80</v>
      </c>
      <c r="I38" s="46" t="s">
        <v>80</v>
      </c>
      <c r="J38" s="45" t="s">
        <v>79</v>
      </c>
      <c r="K38" s="45" t="s">
        <v>80</v>
      </c>
      <c r="L38" s="46" t="s">
        <v>80</v>
      </c>
      <c r="M38" s="45" t="s">
        <v>79</v>
      </c>
      <c r="N38" s="45" t="s">
        <v>80</v>
      </c>
      <c r="O38" s="46" t="s">
        <v>80</v>
      </c>
      <c r="P38" s="45" t="s">
        <v>79</v>
      </c>
      <c r="Q38" s="45" t="s">
        <v>80</v>
      </c>
      <c r="R38" s="46" t="s">
        <v>80</v>
      </c>
      <c r="S38" s="45" t="s">
        <v>79</v>
      </c>
      <c r="T38" s="46" t="s">
        <v>80</v>
      </c>
      <c r="U38" s="46" t="s">
        <v>80</v>
      </c>
      <c r="V38" s="45" t="s">
        <v>79</v>
      </c>
      <c r="W38" s="46" t="s">
        <v>80</v>
      </c>
      <c r="X38" s="46" t="s">
        <v>80</v>
      </c>
      <c r="Y38" s="45" t="s">
        <v>79</v>
      </c>
      <c r="Z38" s="46" t="s">
        <v>80</v>
      </c>
      <c r="AA38" s="46" t="s">
        <v>80</v>
      </c>
      <c r="AB38" s="45" t="s">
        <v>79</v>
      </c>
      <c r="AC38" s="46" t="s">
        <v>80</v>
      </c>
      <c r="AD38" s="46" t="s">
        <v>80</v>
      </c>
      <c r="AE38" s="45" t="s">
        <v>79</v>
      </c>
      <c r="AF38" s="46" t="s">
        <v>80</v>
      </c>
      <c r="AG38" s="46" t="s">
        <v>80</v>
      </c>
      <c r="AH38" s="45" t="s">
        <v>79</v>
      </c>
      <c r="AI38" s="46" t="s">
        <v>80</v>
      </c>
      <c r="AJ38" s="46" t="s">
        <v>80</v>
      </c>
      <c r="AK38" s="45" t="s">
        <v>79</v>
      </c>
      <c r="AL38" s="46" t="s">
        <v>80</v>
      </c>
      <c r="AM38" s="46" t="s">
        <v>80</v>
      </c>
      <c r="AN38" s="45" t="s">
        <v>79</v>
      </c>
      <c r="AO38" s="46" t="s">
        <v>80</v>
      </c>
      <c r="AP38" s="46" t="s">
        <v>80</v>
      </c>
      <c r="AQ38" s="45" t="s">
        <v>79</v>
      </c>
      <c r="AR38" s="46" t="s">
        <v>80</v>
      </c>
      <c r="AS38" s="46" t="s">
        <v>80</v>
      </c>
      <c r="AT38" s="45" t="s">
        <v>79</v>
      </c>
      <c r="AU38" s="46" t="s">
        <v>80</v>
      </c>
      <c r="AV38" s="46" t="s">
        <v>80</v>
      </c>
      <c r="AW38" s="45" t="s">
        <v>79</v>
      </c>
      <c r="AX38" s="46" t="s">
        <v>80</v>
      </c>
      <c r="AY38" s="46" t="s">
        <v>80</v>
      </c>
      <c r="AZ38" s="47" t="s">
        <v>79</v>
      </c>
      <c r="BA38" s="46" t="s">
        <v>80</v>
      </c>
      <c r="BB38" s="46" t="s">
        <v>80</v>
      </c>
      <c r="BC38" s="47" t="s">
        <v>79</v>
      </c>
      <c r="BD38" s="46" t="s">
        <v>80</v>
      </c>
      <c r="BE38" s="46" t="s">
        <v>80</v>
      </c>
      <c r="BF38" s="47" t="s">
        <v>79</v>
      </c>
      <c r="BG38" s="46" t="s">
        <v>80</v>
      </c>
      <c r="BH38" s="46" t="s">
        <v>80</v>
      </c>
      <c r="BI38" s="47" t="s">
        <v>79</v>
      </c>
      <c r="BJ38" s="46" t="s">
        <v>80</v>
      </c>
      <c r="BK38" s="46" t="s">
        <v>80</v>
      </c>
      <c r="BL38" s="47" t="s">
        <v>79</v>
      </c>
      <c r="BM38" s="46" t="s">
        <v>80</v>
      </c>
      <c r="BN38" s="46" t="s">
        <v>80</v>
      </c>
      <c r="BO38" s="47" t="s">
        <v>79</v>
      </c>
      <c r="BP38" s="46" t="s">
        <v>80</v>
      </c>
      <c r="BQ38" s="46" t="s">
        <v>80</v>
      </c>
      <c r="BR38" s="47" t="s">
        <v>79</v>
      </c>
      <c r="BS38" s="46" t="s">
        <v>80</v>
      </c>
      <c r="BT38" s="46" t="s">
        <v>80</v>
      </c>
      <c r="BU38" s="47" t="s">
        <v>79</v>
      </c>
      <c r="BV38" s="46" t="s">
        <v>80</v>
      </c>
      <c r="BW38" s="46" t="s">
        <v>80</v>
      </c>
      <c r="BX38" s="47" t="s">
        <v>79</v>
      </c>
      <c r="BY38" s="46" t="s">
        <v>80</v>
      </c>
      <c r="BZ38" s="46" t="s">
        <v>80</v>
      </c>
      <c r="CA38" s="46" t="s">
        <v>58</v>
      </c>
      <c r="CB38" s="48">
        <v>4.51</v>
      </c>
      <c r="CC38" s="46">
        <v>4</v>
      </c>
      <c r="CD38" s="45" t="s">
        <v>93</v>
      </c>
    </row>
    <row r="39" spans="3:82" s="26" customFormat="1" x14ac:dyDescent="0.25">
      <c r="C39" s="45" t="s">
        <v>94</v>
      </c>
      <c r="D39" s="45" t="s">
        <v>79</v>
      </c>
      <c r="E39" s="45" t="s">
        <v>80</v>
      </c>
      <c r="F39" s="46" t="s">
        <v>80</v>
      </c>
      <c r="G39" s="45" t="s">
        <v>79</v>
      </c>
      <c r="H39" s="45" t="s">
        <v>80</v>
      </c>
      <c r="I39" s="46" t="s">
        <v>80</v>
      </c>
      <c r="J39" s="45" t="s">
        <v>79</v>
      </c>
      <c r="K39" s="45" t="s">
        <v>80</v>
      </c>
      <c r="L39" s="46" t="s">
        <v>80</v>
      </c>
      <c r="M39" s="45" t="s">
        <v>79</v>
      </c>
      <c r="N39" s="45" t="s">
        <v>80</v>
      </c>
      <c r="O39" s="46" t="s">
        <v>80</v>
      </c>
      <c r="P39" s="45" t="s">
        <v>79</v>
      </c>
      <c r="Q39" s="45" t="s">
        <v>80</v>
      </c>
      <c r="R39" s="46" t="s">
        <v>80</v>
      </c>
      <c r="S39" s="45" t="s">
        <v>79</v>
      </c>
      <c r="T39" s="46" t="s">
        <v>80</v>
      </c>
      <c r="U39" s="46" t="s">
        <v>80</v>
      </c>
      <c r="V39" s="45" t="s">
        <v>79</v>
      </c>
      <c r="W39" s="46" t="s">
        <v>80</v>
      </c>
      <c r="X39" s="46" t="s">
        <v>80</v>
      </c>
      <c r="Y39" s="45" t="s">
        <v>79</v>
      </c>
      <c r="Z39" s="46" t="s">
        <v>80</v>
      </c>
      <c r="AA39" s="46" t="s">
        <v>80</v>
      </c>
      <c r="AB39" s="45" t="s">
        <v>79</v>
      </c>
      <c r="AC39" s="46" t="s">
        <v>80</v>
      </c>
      <c r="AD39" s="46" t="s">
        <v>80</v>
      </c>
      <c r="AE39" s="45" t="s">
        <v>79</v>
      </c>
      <c r="AF39" s="46" t="s">
        <v>80</v>
      </c>
      <c r="AG39" s="46" t="s">
        <v>80</v>
      </c>
      <c r="AH39" s="45" t="s">
        <v>79</v>
      </c>
      <c r="AI39" s="46" t="s">
        <v>80</v>
      </c>
      <c r="AJ39" s="46" t="s">
        <v>80</v>
      </c>
      <c r="AK39" s="45" t="s">
        <v>79</v>
      </c>
      <c r="AL39" s="46" t="s">
        <v>80</v>
      </c>
      <c r="AM39" s="46" t="s">
        <v>80</v>
      </c>
      <c r="AN39" s="45" t="s">
        <v>79</v>
      </c>
      <c r="AO39" s="46" t="s">
        <v>80</v>
      </c>
      <c r="AP39" s="46" t="s">
        <v>80</v>
      </c>
      <c r="AQ39" s="45" t="s">
        <v>79</v>
      </c>
      <c r="AR39" s="46" t="s">
        <v>80</v>
      </c>
      <c r="AS39" s="46" t="s">
        <v>80</v>
      </c>
      <c r="AT39" s="45" t="s">
        <v>79</v>
      </c>
      <c r="AU39" s="46" t="s">
        <v>80</v>
      </c>
      <c r="AV39" s="46" t="s">
        <v>80</v>
      </c>
      <c r="AW39" s="45" t="s">
        <v>79</v>
      </c>
      <c r="AX39" s="46" t="s">
        <v>80</v>
      </c>
      <c r="AY39" s="46" t="s">
        <v>80</v>
      </c>
      <c r="AZ39" s="47" t="s">
        <v>79</v>
      </c>
      <c r="BA39" s="46" t="s">
        <v>80</v>
      </c>
      <c r="BB39" s="46" t="s">
        <v>80</v>
      </c>
      <c r="BC39" s="47" t="s">
        <v>79</v>
      </c>
      <c r="BD39" s="46" t="s">
        <v>80</v>
      </c>
      <c r="BE39" s="46" t="s">
        <v>80</v>
      </c>
      <c r="BF39" s="47" t="s">
        <v>79</v>
      </c>
      <c r="BG39" s="46" t="s">
        <v>80</v>
      </c>
      <c r="BH39" s="46" t="s">
        <v>80</v>
      </c>
      <c r="BI39" s="47" t="s">
        <v>79</v>
      </c>
      <c r="BJ39" s="46" t="s">
        <v>80</v>
      </c>
      <c r="BK39" s="46" t="s">
        <v>80</v>
      </c>
      <c r="BL39" s="47" t="s">
        <v>79</v>
      </c>
      <c r="BM39" s="46" t="s">
        <v>80</v>
      </c>
      <c r="BN39" s="46" t="s">
        <v>80</v>
      </c>
      <c r="BO39" s="47" t="s">
        <v>79</v>
      </c>
      <c r="BP39" s="46" t="s">
        <v>80</v>
      </c>
      <c r="BQ39" s="46" t="s">
        <v>80</v>
      </c>
      <c r="BR39" s="47" t="s">
        <v>79</v>
      </c>
      <c r="BS39" s="46" t="s">
        <v>80</v>
      </c>
      <c r="BT39" s="46" t="s">
        <v>80</v>
      </c>
      <c r="BU39" s="47" t="s">
        <v>79</v>
      </c>
      <c r="BV39" s="46" t="s">
        <v>80</v>
      </c>
      <c r="BW39" s="46" t="s">
        <v>80</v>
      </c>
      <c r="BX39" s="47" t="s">
        <v>79</v>
      </c>
      <c r="BY39" s="46" t="s">
        <v>80</v>
      </c>
      <c r="BZ39" s="46" t="s">
        <v>80</v>
      </c>
      <c r="CA39" s="46" t="s">
        <v>58</v>
      </c>
      <c r="CB39" s="48">
        <v>4.51</v>
      </c>
      <c r="CC39" s="46">
        <v>4</v>
      </c>
      <c r="CD39" s="45" t="s">
        <v>94</v>
      </c>
    </row>
    <row r="40" spans="3:82" s="26" customFormat="1" x14ac:dyDescent="0.25">
      <c r="C40" s="45" t="s">
        <v>95</v>
      </c>
      <c r="D40" s="45" t="s">
        <v>79</v>
      </c>
      <c r="E40" s="45" t="s">
        <v>80</v>
      </c>
      <c r="F40" s="46" t="s">
        <v>80</v>
      </c>
      <c r="G40" s="45" t="s">
        <v>79</v>
      </c>
      <c r="H40" s="45" t="s">
        <v>80</v>
      </c>
      <c r="I40" s="46" t="s">
        <v>80</v>
      </c>
      <c r="J40" s="45" t="s">
        <v>79</v>
      </c>
      <c r="K40" s="45" t="s">
        <v>80</v>
      </c>
      <c r="L40" s="46" t="s">
        <v>80</v>
      </c>
      <c r="M40" s="45" t="s">
        <v>79</v>
      </c>
      <c r="N40" s="45" t="s">
        <v>80</v>
      </c>
      <c r="O40" s="46" t="s">
        <v>80</v>
      </c>
      <c r="P40" s="45" t="s">
        <v>79</v>
      </c>
      <c r="Q40" s="45" t="s">
        <v>80</v>
      </c>
      <c r="R40" s="46" t="s">
        <v>80</v>
      </c>
      <c r="S40" s="45" t="s">
        <v>79</v>
      </c>
      <c r="T40" s="46" t="s">
        <v>80</v>
      </c>
      <c r="U40" s="46" t="s">
        <v>80</v>
      </c>
      <c r="V40" s="45" t="s">
        <v>79</v>
      </c>
      <c r="W40" s="46" t="s">
        <v>80</v>
      </c>
      <c r="X40" s="46" t="s">
        <v>80</v>
      </c>
      <c r="Y40" s="45" t="s">
        <v>79</v>
      </c>
      <c r="Z40" s="46" t="s">
        <v>80</v>
      </c>
      <c r="AA40" s="46" t="s">
        <v>80</v>
      </c>
      <c r="AB40" s="45" t="s">
        <v>79</v>
      </c>
      <c r="AC40" s="46" t="s">
        <v>80</v>
      </c>
      <c r="AD40" s="46" t="s">
        <v>80</v>
      </c>
      <c r="AE40" s="45" t="s">
        <v>79</v>
      </c>
      <c r="AF40" s="46" t="s">
        <v>80</v>
      </c>
      <c r="AG40" s="46" t="s">
        <v>80</v>
      </c>
      <c r="AH40" s="45" t="s">
        <v>79</v>
      </c>
      <c r="AI40" s="46" t="s">
        <v>80</v>
      </c>
      <c r="AJ40" s="46" t="s">
        <v>80</v>
      </c>
      <c r="AK40" s="45" t="s">
        <v>79</v>
      </c>
      <c r="AL40" s="46" t="s">
        <v>80</v>
      </c>
      <c r="AM40" s="46" t="s">
        <v>80</v>
      </c>
      <c r="AN40" s="45" t="s">
        <v>79</v>
      </c>
      <c r="AO40" s="46" t="s">
        <v>80</v>
      </c>
      <c r="AP40" s="46" t="s">
        <v>80</v>
      </c>
      <c r="AQ40" s="45" t="s">
        <v>79</v>
      </c>
      <c r="AR40" s="46" t="s">
        <v>80</v>
      </c>
      <c r="AS40" s="46" t="s">
        <v>80</v>
      </c>
      <c r="AT40" s="45" t="s">
        <v>79</v>
      </c>
      <c r="AU40" s="46" t="s">
        <v>80</v>
      </c>
      <c r="AV40" s="46" t="s">
        <v>80</v>
      </c>
      <c r="AW40" s="45" t="s">
        <v>79</v>
      </c>
      <c r="AX40" s="46" t="s">
        <v>80</v>
      </c>
      <c r="AY40" s="46" t="s">
        <v>80</v>
      </c>
      <c r="AZ40" s="47" t="s">
        <v>79</v>
      </c>
      <c r="BA40" s="46" t="s">
        <v>80</v>
      </c>
      <c r="BB40" s="46" t="s">
        <v>80</v>
      </c>
      <c r="BC40" s="47" t="s">
        <v>79</v>
      </c>
      <c r="BD40" s="46" t="s">
        <v>80</v>
      </c>
      <c r="BE40" s="46" t="s">
        <v>80</v>
      </c>
      <c r="BF40" s="47" t="s">
        <v>79</v>
      </c>
      <c r="BG40" s="46" t="s">
        <v>80</v>
      </c>
      <c r="BH40" s="46" t="s">
        <v>80</v>
      </c>
      <c r="BI40" s="47" t="s">
        <v>79</v>
      </c>
      <c r="BJ40" s="46" t="s">
        <v>80</v>
      </c>
      <c r="BK40" s="46" t="s">
        <v>80</v>
      </c>
      <c r="BL40" s="47" t="s">
        <v>79</v>
      </c>
      <c r="BM40" s="46" t="s">
        <v>80</v>
      </c>
      <c r="BN40" s="46" t="s">
        <v>80</v>
      </c>
      <c r="BO40" s="47" t="s">
        <v>79</v>
      </c>
      <c r="BP40" s="46" t="s">
        <v>80</v>
      </c>
      <c r="BQ40" s="46" t="s">
        <v>80</v>
      </c>
      <c r="BR40" s="47" t="s">
        <v>79</v>
      </c>
      <c r="BS40" s="46" t="s">
        <v>80</v>
      </c>
      <c r="BT40" s="46" t="s">
        <v>80</v>
      </c>
      <c r="BU40" s="47" t="s">
        <v>79</v>
      </c>
      <c r="BV40" s="46" t="s">
        <v>80</v>
      </c>
      <c r="BW40" s="46" t="s">
        <v>80</v>
      </c>
      <c r="BX40" s="47" t="s">
        <v>79</v>
      </c>
      <c r="BY40" s="46" t="s">
        <v>80</v>
      </c>
      <c r="BZ40" s="46" t="s">
        <v>80</v>
      </c>
      <c r="CA40" s="46" t="s">
        <v>58</v>
      </c>
      <c r="CB40" s="48">
        <v>4.51</v>
      </c>
      <c r="CC40" s="46">
        <v>4</v>
      </c>
      <c r="CD40" s="45" t="s">
        <v>95</v>
      </c>
    </row>
    <row r="41" spans="3:82" s="26" customFormat="1" x14ac:dyDescent="0.25">
      <c r="C41" s="45" t="s">
        <v>96</v>
      </c>
      <c r="D41" s="45" t="s">
        <v>79</v>
      </c>
      <c r="E41" s="45" t="s">
        <v>80</v>
      </c>
      <c r="F41" s="46" t="s">
        <v>80</v>
      </c>
      <c r="G41" s="45" t="s">
        <v>79</v>
      </c>
      <c r="H41" s="45" t="s">
        <v>80</v>
      </c>
      <c r="I41" s="46" t="s">
        <v>80</v>
      </c>
      <c r="J41" s="45" t="s">
        <v>79</v>
      </c>
      <c r="K41" s="45" t="s">
        <v>80</v>
      </c>
      <c r="L41" s="46" t="s">
        <v>80</v>
      </c>
      <c r="M41" s="45" t="s">
        <v>79</v>
      </c>
      <c r="N41" s="45" t="s">
        <v>80</v>
      </c>
      <c r="O41" s="46" t="s">
        <v>80</v>
      </c>
      <c r="P41" s="45" t="s">
        <v>79</v>
      </c>
      <c r="Q41" s="45" t="s">
        <v>80</v>
      </c>
      <c r="R41" s="46" t="s">
        <v>80</v>
      </c>
      <c r="S41" s="45" t="s">
        <v>79</v>
      </c>
      <c r="T41" s="46" t="s">
        <v>80</v>
      </c>
      <c r="U41" s="46" t="s">
        <v>80</v>
      </c>
      <c r="V41" s="45" t="s">
        <v>79</v>
      </c>
      <c r="W41" s="46" t="s">
        <v>80</v>
      </c>
      <c r="X41" s="46" t="s">
        <v>80</v>
      </c>
      <c r="Y41" s="45" t="s">
        <v>79</v>
      </c>
      <c r="Z41" s="46" t="s">
        <v>80</v>
      </c>
      <c r="AA41" s="46" t="s">
        <v>80</v>
      </c>
      <c r="AB41" s="45" t="s">
        <v>79</v>
      </c>
      <c r="AC41" s="46" t="s">
        <v>80</v>
      </c>
      <c r="AD41" s="46" t="s">
        <v>80</v>
      </c>
      <c r="AE41" s="45" t="s">
        <v>79</v>
      </c>
      <c r="AF41" s="46" t="s">
        <v>80</v>
      </c>
      <c r="AG41" s="46" t="s">
        <v>80</v>
      </c>
      <c r="AH41" s="45" t="s">
        <v>79</v>
      </c>
      <c r="AI41" s="46" t="s">
        <v>80</v>
      </c>
      <c r="AJ41" s="46" t="s">
        <v>80</v>
      </c>
      <c r="AK41" s="45" t="s">
        <v>79</v>
      </c>
      <c r="AL41" s="46" t="s">
        <v>80</v>
      </c>
      <c r="AM41" s="46" t="s">
        <v>80</v>
      </c>
      <c r="AN41" s="45" t="s">
        <v>79</v>
      </c>
      <c r="AO41" s="46" t="s">
        <v>80</v>
      </c>
      <c r="AP41" s="46" t="s">
        <v>80</v>
      </c>
      <c r="AQ41" s="45" t="s">
        <v>79</v>
      </c>
      <c r="AR41" s="46" t="s">
        <v>80</v>
      </c>
      <c r="AS41" s="46" t="s">
        <v>80</v>
      </c>
      <c r="AT41" s="45" t="s">
        <v>79</v>
      </c>
      <c r="AU41" s="46" t="s">
        <v>80</v>
      </c>
      <c r="AV41" s="46" t="s">
        <v>80</v>
      </c>
      <c r="AW41" s="45" t="s">
        <v>79</v>
      </c>
      <c r="AX41" s="46" t="s">
        <v>80</v>
      </c>
      <c r="AY41" s="46" t="s">
        <v>80</v>
      </c>
      <c r="AZ41" s="47" t="s">
        <v>79</v>
      </c>
      <c r="BA41" s="46" t="s">
        <v>80</v>
      </c>
      <c r="BB41" s="46" t="s">
        <v>80</v>
      </c>
      <c r="BC41" s="47" t="s">
        <v>79</v>
      </c>
      <c r="BD41" s="46" t="s">
        <v>80</v>
      </c>
      <c r="BE41" s="46" t="s">
        <v>80</v>
      </c>
      <c r="BF41" s="47" t="s">
        <v>79</v>
      </c>
      <c r="BG41" s="46" t="s">
        <v>80</v>
      </c>
      <c r="BH41" s="46" t="s">
        <v>80</v>
      </c>
      <c r="BI41" s="47" t="s">
        <v>79</v>
      </c>
      <c r="BJ41" s="46" t="s">
        <v>80</v>
      </c>
      <c r="BK41" s="46" t="s">
        <v>80</v>
      </c>
      <c r="BL41" s="47" t="s">
        <v>79</v>
      </c>
      <c r="BM41" s="46" t="s">
        <v>80</v>
      </c>
      <c r="BN41" s="46" t="s">
        <v>80</v>
      </c>
      <c r="BO41" s="47" t="s">
        <v>79</v>
      </c>
      <c r="BP41" s="46" t="s">
        <v>80</v>
      </c>
      <c r="BQ41" s="46" t="s">
        <v>80</v>
      </c>
      <c r="BR41" s="47" t="s">
        <v>79</v>
      </c>
      <c r="BS41" s="46" t="s">
        <v>80</v>
      </c>
      <c r="BT41" s="46" t="s">
        <v>80</v>
      </c>
      <c r="BU41" s="47" t="s">
        <v>79</v>
      </c>
      <c r="BV41" s="46" t="s">
        <v>80</v>
      </c>
      <c r="BW41" s="46" t="s">
        <v>80</v>
      </c>
      <c r="BX41" s="47" t="s">
        <v>79</v>
      </c>
      <c r="BY41" s="46" t="s">
        <v>80</v>
      </c>
      <c r="BZ41" s="46" t="s">
        <v>80</v>
      </c>
      <c r="CA41" s="46" t="s">
        <v>58</v>
      </c>
      <c r="CB41" s="48">
        <v>4.51</v>
      </c>
      <c r="CC41" s="46">
        <v>4</v>
      </c>
      <c r="CD41" s="45" t="s">
        <v>96</v>
      </c>
    </row>
    <row r="42" spans="3:82" s="27" customFormat="1" x14ac:dyDescent="0.25">
      <c r="C42" s="89" t="s">
        <v>97</v>
      </c>
      <c r="D42" s="89" t="s">
        <v>79</v>
      </c>
      <c r="E42" s="89" t="s">
        <v>80</v>
      </c>
      <c r="F42" s="90" t="s">
        <v>80</v>
      </c>
      <c r="G42" s="89" t="s">
        <v>79</v>
      </c>
      <c r="H42" s="89" t="s">
        <v>80</v>
      </c>
      <c r="I42" s="90" t="s">
        <v>80</v>
      </c>
      <c r="J42" s="89" t="s">
        <v>79</v>
      </c>
      <c r="K42" s="89" t="s">
        <v>80</v>
      </c>
      <c r="L42" s="90" t="s">
        <v>80</v>
      </c>
      <c r="M42" s="89" t="s">
        <v>79</v>
      </c>
      <c r="N42" s="89" t="s">
        <v>80</v>
      </c>
      <c r="O42" s="90" t="s">
        <v>80</v>
      </c>
      <c r="P42" s="89" t="s">
        <v>79</v>
      </c>
      <c r="Q42" s="89" t="s">
        <v>80</v>
      </c>
      <c r="R42" s="90" t="s">
        <v>80</v>
      </c>
      <c r="S42" s="89" t="s">
        <v>79</v>
      </c>
      <c r="T42" s="90" t="s">
        <v>80</v>
      </c>
      <c r="U42" s="90" t="s">
        <v>80</v>
      </c>
      <c r="V42" s="89" t="s">
        <v>79</v>
      </c>
      <c r="W42" s="90" t="s">
        <v>80</v>
      </c>
      <c r="X42" s="90" t="s">
        <v>80</v>
      </c>
      <c r="Y42" s="89" t="s">
        <v>79</v>
      </c>
      <c r="Z42" s="90" t="s">
        <v>80</v>
      </c>
      <c r="AA42" s="90" t="s">
        <v>80</v>
      </c>
      <c r="AB42" s="89" t="s">
        <v>79</v>
      </c>
      <c r="AC42" s="90" t="s">
        <v>80</v>
      </c>
      <c r="AD42" s="90" t="s">
        <v>80</v>
      </c>
      <c r="AE42" s="89" t="s">
        <v>79</v>
      </c>
      <c r="AF42" s="90" t="s">
        <v>80</v>
      </c>
      <c r="AG42" s="90" t="s">
        <v>80</v>
      </c>
      <c r="AH42" s="89" t="s">
        <v>79</v>
      </c>
      <c r="AI42" s="90" t="s">
        <v>80</v>
      </c>
      <c r="AJ42" s="90" t="s">
        <v>80</v>
      </c>
      <c r="AK42" s="89" t="s">
        <v>79</v>
      </c>
      <c r="AL42" s="90" t="s">
        <v>80</v>
      </c>
      <c r="AM42" s="90" t="s">
        <v>80</v>
      </c>
      <c r="AN42" s="89" t="s">
        <v>79</v>
      </c>
      <c r="AO42" s="90" t="s">
        <v>80</v>
      </c>
      <c r="AP42" s="90" t="s">
        <v>80</v>
      </c>
      <c r="AQ42" s="89" t="s">
        <v>79</v>
      </c>
      <c r="AR42" s="90" t="s">
        <v>80</v>
      </c>
      <c r="AS42" s="90" t="s">
        <v>80</v>
      </c>
      <c r="AT42" s="89" t="s">
        <v>79</v>
      </c>
      <c r="AU42" s="90" t="s">
        <v>80</v>
      </c>
      <c r="AV42" s="90" t="s">
        <v>80</v>
      </c>
      <c r="AW42" s="89" t="s">
        <v>79</v>
      </c>
      <c r="AX42" s="90" t="s">
        <v>80</v>
      </c>
      <c r="AY42" s="90" t="s">
        <v>80</v>
      </c>
      <c r="AZ42" s="91" t="s">
        <v>79</v>
      </c>
      <c r="BA42" s="90" t="s">
        <v>80</v>
      </c>
      <c r="BB42" s="90" t="s">
        <v>80</v>
      </c>
      <c r="BC42" s="91" t="s">
        <v>79</v>
      </c>
      <c r="BD42" s="90" t="s">
        <v>80</v>
      </c>
      <c r="BE42" s="90" t="s">
        <v>80</v>
      </c>
      <c r="BF42" s="91" t="s">
        <v>79</v>
      </c>
      <c r="BG42" s="90" t="s">
        <v>80</v>
      </c>
      <c r="BH42" s="90" t="s">
        <v>80</v>
      </c>
      <c r="BI42" s="91" t="s">
        <v>79</v>
      </c>
      <c r="BJ42" s="90" t="s">
        <v>80</v>
      </c>
      <c r="BK42" s="90" t="s">
        <v>80</v>
      </c>
      <c r="BL42" s="91" t="s">
        <v>79</v>
      </c>
      <c r="BM42" s="90" t="s">
        <v>80</v>
      </c>
      <c r="BN42" s="90" t="s">
        <v>80</v>
      </c>
      <c r="BO42" s="91" t="s">
        <v>79</v>
      </c>
      <c r="BP42" s="90" t="s">
        <v>80</v>
      </c>
      <c r="BQ42" s="90" t="s">
        <v>80</v>
      </c>
      <c r="BR42" s="91" t="s">
        <v>79</v>
      </c>
      <c r="BS42" s="90" t="s">
        <v>80</v>
      </c>
      <c r="BT42" s="90" t="s">
        <v>80</v>
      </c>
      <c r="BU42" s="91" t="s">
        <v>79</v>
      </c>
      <c r="BV42" s="90" t="s">
        <v>80</v>
      </c>
      <c r="BW42" s="90" t="s">
        <v>80</v>
      </c>
      <c r="BX42" s="91" t="s">
        <v>79</v>
      </c>
      <c r="BY42" s="90" t="s">
        <v>80</v>
      </c>
      <c r="BZ42" s="90" t="s">
        <v>80</v>
      </c>
      <c r="CA42" s="90" t="s">
        <v>51</v>
      </c>
      <c r="CB42" s="92">
        <v>4.47</v>
      </c>
      <c r="CC42" s="90">
        <v>4</v>
      </c>
      <c r="CD42" s="89" t="s">
        <v>97</v>
      </c>
    </row>
    <row r="43" spans="3:82" s="27" customFormat="1" x14ac:dyDescent="0.25">
      <c r="C43" s="89" t="s">
        <v>98</v>
      </c>
      <c r="D43" s="89" t="s">
        <v>79</v>
      </c>
      <c r="E43" s="89" t="s">
        <v>80</v>
      </c>
      <c r="F43" s="90" t="s">
        <v>80</v>
      </c>
      <c r="G43" s="89" t="s">
        <v>79</v>
      </c>
      <c r="H43" s="89" t="s">
        <v>80</v>
      </c>
      <c r="I43" s="90" t="s">
        <v>80</v>
      </c>
      <c r="J43" s="89" t="s">
        <v>79</v>
      </c>
      <c r="K43" s="89" t="s">
        <v>80</v>
      </c>
      <c r="L43" s="90" t="s">
        <v>80</v>
      </c>
      <c r="M43" s="89" t="s">
        <v>79</v>
      </c>
      <c r="N43" s="89" t="s">
        <v>80</v>
      </c>
      <c r="O43" s="90" t="s">
        <v>80</v>
      </c>
      <c r="P43" s="89" t="s">
        <v>79</v>
      </c>
      <c r="Q43" s="89" t="s">
        <v>80</v>
      </c>
      <c r="R43" s="90" t="s">
        <v>80</v>
      </c>
      <c r="S43" s="89" t="s">
        <v>79</v>
      </c>
      <c r="T43" s="90" t="s">
        <v>80</v>
      </c>
      <c r="U43" s="90" t="s">
        <v>80</v>
      </c>
      <c r="V43" s="89" t="s">
        <v>79</v>
      </c>
      <c r="W43" s="90" t="s">
        <v>80</v>
      </c>
      <c r="X43" s="90" t="s">
        <v>80</v>
      </c>
      <c r="Y43" s="89" t="s">
        <v>79</v>
      </c>
      <c r="Z43" s="90" t="s">
        <v>80</v>
      </c>
      <c r="AA43" s="90" t="s">
        <v>80</v>
      </c>
      <c r="AB43" s="89" t="s">
        <v>79</v>
      </c>
      <c r="AC43" s="90" t="s">
        <v>80</v>
      </c>
      <c r="AD43" s="90" t="s">
        <v>80</v>
      </c>
      <c r="AE43" s="89" t="s">
        <v>79</v>
      </c>
      <c r="AF43" s="90" t="s">
        <v>80</v>
      </c>
      <c r="AG43" s="90" t="s">
        <v>80</v>
      </c>
      <c r="AH43" s="89" t="s">
        <v>79</v>
      </c>
      <c r="AI43" s="90" t="s">
        <v>80</v>
      </c>
      <c r="AJ43" s="90" t="s">
        <v>80</v>
      </c>
      <c r="AK43" s="89" t="s">
        <v>79</v>
      </c>
      <c r="AL43" s="90" t="s">
        <v>80</v>
      </c>
      <c r="AM43" s="90" t="s">
        <v>80</v>
      </c>
      <c r="AN43" s="89" t="s">
        <v>79</v>
      </c>
      <c r="AO43" s="90" t="s">
        <v>80</v>
      </c>
      <c r="AP43" s="90" t="s">
        <v>80</v>
      </c>
      <c r="AQ43" s="89" t="s">
        <v>79</v>
      </c>
      <c r="AR43" s="90" t="s">
        <v>80</v>
      </c>
      <c r="AS43" s="90" t="s">
        <v>80</v>
      </c>
      <c r="AT43" s="89" t="s">
        <v>79</v>
      </c>
      <c r="AU43" s="90" t="s">
        <v>80</v>
      </c>
      <c r="AV43" s="90" t="s">
        <v>80</v>
      </c>
      <c r="AW43" s="89" t="s">
        <v>79</v>
      </c>
      <c r="AX43" s="90" t="s">
        <v>80</v>
      </c>
      <c r="AY43" s="90" t="s">
        <v>80</v>
      </c>
      <c r="AZ43" s="91" t="s">
        <v>79</v>
      </c>
      <c r="BA43" s="90" t="s">
        <v>80</v>
      </c>
      <c r="BB43" s="90" t="s">
        <v>80</v>
      </c>
      <c r="BC43" s="91" t="s">
        <v>79</v>
      </c>
      <c r="BD43" s="90" t="s">
        <v>80</v>
      </c>
      <c r="BE43" s="90" t="s">
        <v>80</v>
      </c>
      <c r="BF43" s="91" t="s">
        <v>79</v>
      </c>
      <c r="BG43" s="90" t="s">
        <v>80</v>
      </c>
      <c r="BH43" s="90" t="s">
        <v>80</v>
      </c>
      <c r="BI43" s="91" t="s">
        <v>79</v>
      </c>
      <c r="BJ43" s="90" t="s">
        <v>80</v>
      </c>
      <c r="BK43" s="90" t="s">
        <v>80</v>
      </c>
      <c r="BL43" s="91" t="s">
        <v>79</v>
      </c>
      <c r="BM43" s="90" t="s">
        <v>80</v>
      </c>
      <c r="BN43" s="90" t="s">
        <v>80</v>
      </c>
      <c r="BO43" s="91" t="s">
        <v>79</v>
      </c>
      <c r="BP43" s="90" t="s">
        <v>80</v>
      </c>
      <c r="BQ43" s="90" t="s">
        <v>80</v>
      </c>
      <c r="BR43" s="91" t="s">
        <v>79</v>
      </c>
      <c r="BS43" s="90" t="s">
        <v>80</v>
      </c>
      <c r="BT43" s="90" t="s">
        <v>80</v>
      </c>
      <c r="BU43" s="91" t="s">
        <v>79</v>
      </c>
      <c r="BV43" s="90" t="s">
        <v>80</v>
      </c>
      <c r="BW43" s="90" t="s">
        <v>80</v>
      </c>
      <c r="BX43" s="91" t="s">
        <v>79</v>
      </c>
      <c r="BY43" s="90" t="s">
        <v>80</v>
      </c>
      <c r="BZ43" s="90" t="s">
        <v>80</v>
      </c>
      <c r="CA43" s="90" t="s">
        <v>51</v>
      </c>
      <c r="CB43" s="92">
        <v>4.47</v>
      </c>
      <c r="CC43" s="90">
        <v>4</v>
      </c>
      <c r="CD43" s="89" t="s">
        <v>98</v>
      </c>
    </row>
    <row r="44" spans="3:82" s="27" customFormat="1" x14ac:dyDescent="0.25">
      <c r="C44" s="89" t="s">
        <v>99</v>
      </c>
      <c r="D44" s="89" t="s">
        <v>79</v>
      </c>
      <c r="E44" s="89" t="s">
        <v>80</v>
      </c>
      <c r="F44" s="90" t="s">
        <v>80</v>
      </c>
      <c r="G44" s="89" t="s">
        <v>79</v>
      </c>
      <c r="H44" s="89" t="s">
        <v>80</v>
      </c>
      <c r="I44" s="90" t="s">
        <v>80</v>
      </c>
      <c r="J44" s="89" t="s">
        <v>79</v>
      </c>
      <c r="K44" s="89" t="s">
        <v>80</v>
      </c>
      <c r="L44" s="90" t="s">
        <v>80</v>
      </c>
      <c r="M44" s="89" t="s">
        <v>79</v>
      </c>
      <c r="N44" s="89" t="s">
        <v>80</v>
      </c>
      <c r="O44" s="90" t="s">
        <v>80</v>
      </c>
      <c r="P44" s="89" t="s">
        <v>79</v>
      </c>
      <c r="Q44" s="89" t="s">
        <v>80</v>
      </c>
      <c r="R44" s="90" t="s">
        <v>80</v>
      </c>
      <c r="S44" s="89" t="s">
        <v>79</v>
      </c>
      <c r="T44" s="90" t="s">
        <v>80</v>
      </c>
      <c r="U44" s="90" t="s">
        <v>80</v>
      </c>
      <c r="V44" s="89" t="s">
        <v>79</v>
      </c>
      <c r="W44" s="90" t="s">
        <v>80</v>
      </c>
      <c r="X44" s="90" t="s">
        <v>80</v>
      </c>
      <c r="Y44" s="89" t="s">
        <v>79</v>
      </c>
      <c r="Z44" s="90" t="s">
        <v>80</v>
      </c>
      <c r="AA44" s="90" t="s">
        <v>80</v>
      </c>
      <c r="AB44" s="89" t="s">
        <v>79</v>
      </c>
      <c r="AC44" s="90" t="s">
        <v>80</v>
      </c>
      <c r="AD44" s="90" t="s">
        <v>80</v>
      </c>
      <c r="AE44" s="89" t="s">
        <v>79</v>
      </c>
      <c r="AF44" s="90" t="s">
        <v>80</v>
      </c>
      <c r="AG44" s="90" t="s">
        <v>80</v>
      </c>
      <c r="AH44" s="89" t="s">
        <v>79</v>
      </c>
      <c r="AI44" s="90" t="s">
        <v>80</v>
      </c>
      <c r="AJ44" s="90" t="s">
        <v>80</v>
      </c>
      <c r="AK44" s="89" t="s">
        <v>79</v>
      </c>
      <c r="AL44" s="90" t="s">
        <v>80</v>
      </c>
      <c r="AM44" s="90" t="s">
        <v>80</v>
      </c>
      <c r="AN44" s="89" t="s">
        <v>79</v>
      </c>
      <c r="AO44" s="90" t="s">
        <v>80</v>
      </c>
      <c r="AP44" s="90" t="s">
        <v>80</v>
      </c>
      <c r="AQ44" s="89" t="s">
        <v>79</v>
      </c>
      <c r="AR44" s="90" t="s">
        <v>80</v>
      </c>
      <c r="AS44" s="90" t="s">
        <v>80</v>
      </c>
      <c r="AT44" s="89" t="s">
        <v>79</v>
      </c>
      <c r="AU44" s="90" t="s">
        <v>80</v>
      </c>
      <c r="AV44" s="90" t="s">
        <v>80</v>
      </c>
      <c r="AW44" s="89" t="s">
        <v>79</v>
      </c>
      <c r="AX44" s="90" t="s">
        <v>80</v>
      </c>
      <c r="AY44" s="90" t="s">
        <v>80</v>
      </c>
      <c r="AZ44" s="91" t="s">
        <v>79</v>
      </c>
      <c r="BA44" s="90" t="s">
        <v>80</v>
      </c>
      <c r="BB44" s="90" t="s">
        <v>80</v>
      </c>
      <c r="BC44" s="91" t="s">
        <v>79</v>
      </c>
      <c r="BD44" s="90" t="s">
        <v>80</v>
      </c>
      <c r="BE44" s="90" t="s">
        <v>80</v>
      </c>
      <c r="BF44" s="91" t="s">
        <v>79</v>
      </c>
      <c r="BG44" s="90" t="s">
        <v>80</v>
      </c>
      <c r="BH44" s="90" t="s">
        <v>80</v>
      </c>
      <c r="BI44" s="91" t="s">
        <v>79</v>
      </c>
      <c r="BJ44" s="90" t="s">
        <v>80</v>
      </c>
      <c r="BK44" s="90" t="s">
        <v>80</v>
      </c>
      <c r="BL44" s="91" t="s">
        <v>79</v>
      </c>
      <c r="BM44" s="90" t="s">
        <v>80</v>
      </c>
      <c r="BN44" s="90" t="s">
        <v>80</v>
      </c>
      <c r="BO44" s="91" t="s">
        <v>79</v>
      </c>
      <c r="BP44" s="90" t="s">
        <v>80</v>
      </c>
      <c r="BQ44" s="90" t="s">
        <v>80</v>
      </c>
      <c r="BR44" s="91" t="s">
        <v>79</v>
      </c>
      <c r="BS44" s="90" t="s">
        <v>80</v>
      </c>
      <c r="BT44" s="90" t="s">
        <v>80</v>
      </c>
      <c r="BU44" s="91" t="s">
        <v>79</v>
      </c>
      <c r="BV44" s="90" t="s">
        <v>80</v>
      </c>
      <c r="BW44" s="90" t="s">
        <v>80</v>
      </c>
      <c r="BX44" s="91" t="s">
        <v>79</v>
      </c>
      <c r="BY44" s="90" t="s">
        <v>80</v>
      </c>
      <c r="BZ44" s="90" t="s">
        <v>80</v>
      </c>
      <c r="CA44" s="90" t="s">
        <v>51</v>
      </c>
      <c r="CB44" s="92">
        <v>4.47</v>
      </c>
      <c r="CC44" s="90">
        <v>4</v>
      </c>
      <c r="CD44" s="89" t="s">
        <v>99</v>
      </c>
    </row>
    <row r="45" spans="3:82" s="28" customFormat="1" x14ac:dyDescent="0.25">
      <c r="C45" s="93" t="s">
        <v>100</v>
      </c>
      <c r="D45" s="93" t="s">
        <v>79</v>
      </c>
      <c r="E45" s="93" t="s">
        <v>80</v>
      </c>
      <c r="F45" s="94" t="s">
        <v>80</v>
      </c>
      <c r="G45" s="93" t="s">
        <v>79</v>
      </c>
      <c r="H45" s="93" t="s">
        <v>80</v>
      </c>
      <c r="I45" s="94" t="s">
        <v>80</v>
      </c>
      <c r="J45" s="93" t="s">
        <v>79</v>
      </c>
      <c r="K45" s="93" t="s">
        <v>80</v>
      </c>
      <c r="L45" s="94" t="s">
        <v>80</v>
      </c>
      <c r="M45" s="93" t="s">
        <v>79</v>
      </c>
      <c r="N45" s="93" t="s">
        <v>80</v>
      </c>
      <c r="O45" s="94" t="s">
        <v>80</v>
      </c>
      <c r="P45" s="93" t="s">
        <v>79</v>
      </c>
      <c r="Q45" s="93" t="s">
        <v>80</v>
      </c>
      <c r="R45" s="94" t="s">
        <v>80</v>
      </c>
      <c r="S45" s="93" t="s">
        <v>79</v>
      </c>
      <c r="T45" s="94" t="s">
        <v>80</v>
      </c>
      <c r="U45" s="94" t="s">
        <v>80</v>
      </c>
      <c r="V45" s="93" t="s">
        <v>79</v>
      </c>
      <c r="W45" s="94" t="s">
        <v>80</v>
      </c>
      <c r="X45" s="94" t="s">
        <v>80</v>
      </c>
      <c r="Y45" s="93" t="s">
        <v>79</v>
      </c>
      <c r="Z45" s="94" t="s">
        <v>80</v>
      </c>
      <c r="AA45" s="94" t="s">
        <v>80</v>
      </c>
      <c r="AB45" s="93" t="s">
        <v>79</v>
      </c>
      <c r="AC45" s="94" t="s">
        <v>80</v>
      </c>
      <c r="AD45" s="94" t="s">
        <v>80</v>
      </c>
      <c r="AE45" s="93" t="s">
        <v>79</v>
      </c>
      <c r="AF45" s="94" t="s">
        <v>80</v>
      </c>
      <c r="AG45" s="94" t="s">
        <v>80</v>
      </c>
      <c r="AH45" s="93" t="s">
        <v>79</v>
      </c>
      <c r="AI45" s="94" t="s">
        <v>80</v>
      </c>
      <c r="AJ45" s="94" t="s">
        <v>80</v>
      </c>
      <c r="AK45" s="93" t="s">
        <v>79</v>
      </c>
      <c r="AL45" s="94" t="s">
        <v>80</v>
      </c>
      <c r="AM45" s="94" t="s">
        <v>80</v>
      </c>
      <c r="AN45" s="93" t="s">
        <v>79</v>
      </c>
      <c r="AO45" s="94" t="s">
        <v>80</v>
      </c>
      <c r="AP45" s="94" t="s">
        <v>80</v>
      </c>
      <c r="AQ45" s="93" t="s">
        <v>79</v>
      </c>
      <c r="AR45" s="94" t="s">
        <v>80</v>
      </c>
      <c r="AS45" s="94" t="s">
        <v>80</v>
      </c>
      <c r="AT45" s="93" t="s">
        <v>79</v>
      </c>
      <c r="AU45" s="94" t="s">
        <v>80</v>
      </c>
      <c r="AV45" s="94" t="s">
        <v>80</v>
      </c>
      <c r="AW45" s="93" t="s">
        <v>79</v>
      </c>
      <c r="AX45" s="94" t="s">
        <v>80</v>
      </c>
      <c r="AY45" s="94" t="s">
        <v>80</v>
      </c>
      <c r="AZ45" s="95" t="s">
        <v>79</v>
      </c>
      <c r="BA45" s="94" t="s">
        <v>80</v>
      </c>
      <c r="BB45" s="94" t="s">
        <v>80</v>
      </c>
      <c r="BC45" s="95" t="s">
        <v>79</v>
      </c>
      <c r="BD45" s="94" t="s">
        <v>80</v>
      </c>
      <c r="BE45" s="94" t="s">
        <v>80</v>
      </c>
      <c r="BF45" s="95" t="s">
        <v>79</v>
      </c>
      <c r="BG45" s="94" t="s">
        <v>80</v>
      </c>
      <c r="BH45" s="94" t="s">
        <v>80</v>
      </c>
      <c r="BI45" s="95" t="s">
        <v>79</v>
      </c>
      <c r="BJ45" s="94" t="s">
        <v>80</v>
      </c>
      <c r="BK45" s="94" t="s">
        <v>80</v>
      </c>
      <c r="BL45" s="95" t="s">
        <v>79</v>
      </c>
      <c r="BM45" s="94" t="s">
        <v>80</v>
      </c>
      <c r="BN45" s="94" t="s">
        <v>80</v>
      </c>
      <c r="BO45" s="95" t="s">
        <v>79</v>
      </c>
      <c r="BP45" s="94" t="s">
        <v>80</v>
      </c>
      <c r="BQ45" s="94" t="s">
        <v>80</v>
      </c>
      <c r="BR45" s="95" t="s">
        <v>79</v>
      </c>
      <c r="BS45" s="94" t="s">
        <v>80</v>
      </c>
      <c r="BT45" s="94" t="s">
        <v>80</v>
      </c>
      <c r="BU45" s="95" t="s">
        <v>79</v>
      </c>
      <c r="BV45" s="94" t="s">
        <v>80</v>
      </c>
      <c r="BW45" s="94" t="s">
        <v>80</v>
      </c>
      <c r="BX45" s="95" t="s">
        <v>79</v>
      </c>
      <c r="BY45" s="94" t="s">
        <v>80</v>
      </c>
      <c r="BZ45" s="94" t="s">
        <v>80</v>
      </c>
      <c r="CA45" s="94" t="s">
        <v>54</v>
      </c>
      <c r="CB45" s="96">
        <v>8.7799999999999994</v>
      </c>
      <c r="CC45" s="94">
        <v>10</v>
      </c>
      <c r="CD45" s="93" t="s">
        <v>100</v>
      </c>
    </row>
    <row r="46" spans="3:82" s="28" customFormat="1" x14ac:dyDescent="0.25">
      <c r="C46" s="93" t="s">
        <v>101</v>
      </c>
      <c r="D46" s="93" t="s">
        <v>79</v>
      </c>
      <c r="E46" s="93" t="s">
        <v>80</v>
      </c>
      <c r="F46" s="94" t="s">
        <v>80</v>
      </c>
      <c r="G46" s="93" t="s">
        <v>79</v>
      </c>
      <c r="H46" s="93" t="s">
        <v>80</v>
      </c>
      <c r="I46" s="94" t="s">
        <v>80</v>
      </c>
      <c r="J46" s="93" t="s">
        <v>79</v>
      </c>
      <c r="K46" s="93" t="s">
        <v>80</v>
      </c>
      <c r="L46" s="94" t="s">
        <v>80</v>
      </c>
      <c r="M46" s="93" t="s">
        <v>79</v>
      </c>
      <c r="N46" s="93" t="s">
        <v>80</v>
      </c>
      <c r="O46" s="94" t="s">
        <v>80</v>
      </c>
      <c r="P46" s="93" t="s">
        <v>79</v>
      </c>
      <c r="Q46" s="93" t="s">
        <v>80</v>
      </c>
      <c r="R46" s="94" t="s">
        <v>80</v>
      </c>
      <c r="S46" s="93" t="s">
        <v>79</v>
      </c>
      <c r="T46" s="94" t="s">
        <v>80</v>
      </c>
      <c r="U46" s="94" t="s">
        <v>80</v>
      </c>
      <c r="V46" s="93" t="s">
        <v>79</v>
      </c>
      <c r="W46" s="94" t="s">
        <v>80</v>
      </c>
      <c r="X46" s="94" t="s">
        <v>80</v>
      </c>
      <c r="Y46" s="93" t="s">
        <v>79</v>
      </c>
      <c r="Z46" s="94" t="s">
        <v>80</v>
      </c>
      <c r="AA46" s="94" t="s">
        <v>80</v>
      </c>
      <c r="AB46" s="93" t="s">
        <v>79</v>
      </c>
      <c r="AC46" s="94" t="s">
        <v>80</v>
      </c>
      <c r="AD46" s="94" t="s">
        <v>80</v>
      </c>
      <c r="AE46" s="93" t="s">
        <v>79</v>
      </c>
      <c r="AF46" s="94" t="s">
        <v>80</v>
      </c>
      <c r="AG46" s="94" t="s">
        <v>80</v>
      </c>
      <c r="AH46" s="93" t="s">
        <v>79</v>
      </c>
      <c r="AI46" s="94" t="s">
        <v>80</v>
      </c>
      <c r="AJ46" s="94" t="s">
        <v>80</v>
      </c>
      <c r="AK46" s="93" t="s">
        <v>79</v>
      </c>
      <c r="AL46" s="94" t="s">
        <v>80</v>
      </c>
      <c r="AM46" s="94" t="s">
        <v>80</v>
      </c>
      <c r="AN46" s="93" t="s">
        <v>79</v>
      </c>
      <c r="AO46" s="94" t="s">
        <v>80</v>
      </c>
      <c r="AP46" s="94" t="s">
        <v>80</v>
      </c>
      <c r="AQ46" s="93" t="s">
        <v>79</v>
      </c>
      <c r="AR46" s="94" t="s">
        <v>80</v>
      </c>
      <c r="AS46" s="94" t="s">
        <v>80</v>
      </c>
      <c r="AT46" s="93" t="s">
        <v>79</v>
      </c>
      <c r="AU46" s="94" t="s">
        <v>80</v>
      </c>
      <c r="AV46" s="94" t="s">
        <v>80</v>
      </c>
      <c r="AW46" s="93" t="s">
        <v>79</v>
      </c>
      <c r="AX46" s="94" t="s">
        <v>80</v>
      </c>
      <c r="AY46" s="94" t="s">
        <v>80</v>
      </c>
      <c r="AZ46" s="95" t="s">
        <v>79</v>
      </c>
      <c r="BA46" s="94" t="s">
        <v>80</v>
      </c>
      <c r="BB46" s="94" t="s">
        <v>80</v>
      </c>
      <c r="BC46" s="95" t="s">
        <v>79</v>
      </c>
      <c r="BD46" s="94" t="s">
        <v>80</v>
      </c>
      <c r="BE46" s="94" t="s">
        <v>80</v>
      </c>
      <c r="BF46" s="95" t="s">
        <v>79</v>
      </c>
      <c r="BG46" s="94" t="s">
        <v>80</v>
      </c>
      <c r="BH46" s="94" t="s">
        <v>80</v>
      </c>
      <c r="BI46" s="95" t="s">
        <v>79</v>
      </c>
      <c r="BJ46" s="94" t="s">
        <v>80</v>
      </c>
      <c r="BK46" s="94" t="s">
        <v>80</v>
      </c>
      <c r="BL46" s="95" t="s">
        <v>79</v>
      </c>
      <c r="BM46" s="94" t="s">
        <v>80</v>
      </c>
      <c r="BN46" s="94" t="s">
        <v>80</v>
      </c>
      <c r="BO46" s="95" t="s">
        <v>79</v>
      </c>
      <c r="BP46" s="94" t="s">
        <v>80</v>
      </c>
      <c r="BQ46" s="94" t="s">
        <v>80</v>
      </c>
      <c r="BR46" s="95" t="s">
        <v>79</v>
      </c>
      <c r="BS46" s="94" t="s">
        <v>80</v>
      </c>
      <c r="BT46" s="94" t="s">
        <v>80</v>
      </c>
      <c r="BU46" s="95" t="s">
        <v>79</v>
      </c>
      <c r="BV46" s="94" t="s">
        <v>80</v>
      </c>
      <c r="BW46" s="94" t="s">
        <v>80</v>
      </c>
      <c r="BX46" s="95" t="s">
        <v>79</v>
      </c>
      <c r="BY46" s="94" t="s">
        <v>80</v>
      </c>
      <c r="BZ46" s="94" t="s">
        <v>80</v>
      </c>
      <c r="CA46" s="94" t="s">
        <v>54</v>
      </c>
      <c r="CB46" s="96">
        <v>8.7799999999999994</v>
      </c>
      <c r="CC46" s="94">
        <v>10</v>
      </c>
      <c r="CD46" s="93" t="s">
        <v>101</v>
      </c>
    </row>
    <row r="47" spans="3:82" s="31" customFormat="1" x14ac:dyDescent="0.25">
      <c r="C47" s="101" t="s">
        <v>102</v>
      </c>
      <c r="D47" s="101" t="s">
        <v>79</v>
      </c>
      <c r="E47" s="101" t="s">
        <v>80</v>
      </c>
      <c r="F47" s="102" t="s">
        <v>80</v>
      </c>
      <c r="G47" s="101" t="s">
        <v>79</v>
      </c>
      <c r="H47" s="101" t="s">
        <v>80</v>
      </c>
      <c r="I47" s="102" t="s">
        <v>80</v>
      </c>
      <c r="J47" s="101" t="s">
        <v>79</v>
      </c>
      <c r="K47" s="101" t="s">
        <v>80</v>
      </c>
      <c r="L47" s="102" t="s">
        <v>80</v>
      </c>
      <c r="M47" s="101" t="s">
        <v>79</v>
      </c>
      <c r="N47" s="101" t="s">
        <v>80</v>
      </c>
      <c r="O47" s="102" t="s">
        <v>80</v>
      </c>
      <c r="P47" s="101" t="s">
        <v>79</v>
      </c>
      <c r="Q47" s="101" t="s">
        <v>80</v>
      </c>
      <c r="R47" s="102" t="s">
        <v>80</v>
      </c>
      <c r="S47" s="101" t="s">
        <v>79</v>
      </c>
      <c r="T47" s="102" t="s">
        <v>80</v>
      </c>
      <c r="U47" s="102" t="s">
        <v>80</v>
      </c>
      <c r="V47" s="101" t="s">
        <v>79</v>
      </c>
      <c r="W47" s="102" t="s">
        <v>80</v>
      </c>
      <c r="X47" s="102" t="s">
        <v>80</v>
      </c>
      <c r="Y47" s="101" t="s">
        <v>79</v>
      </c>
      <c r="Z47" s="102" t="s">
        <v>80</v>
      </c>
      <c r="AA47" s="102" t="s">
        <v>80</v>
      </c>
      <c r="AB47" s="101" t="s">
        <v>79</v>
      </c>
      <c r="AC47" s="102" t="s">
        <v>80</v>
      </c>
      <c r="AD47" s="102" t="s">
        <v>80</v>
      </c>
      <c r="AE47" s="101" t="s">
        <v>79</v>
      </c>
      <c r="AF47" s="102" t="s">
        <v>80</v>
      </c>
      <c r="AG47" s="102" t="s">
        <v>80</v>
      </c>
      <c r="AH47" s="101" t="s">
        <v>79</v>
      </c>
      <c r="AI47" s="102" t="s">
        <v>80</v>
      </c>
      <c r="AJ47" s="102" t="s">
        <v>80</v>
      </c>
      <c r="AK47" s="101" t="s">
        <v>79</v>
      </c>
      <c r="AL47" s="102" t="s">
        <v>80</v>
      </c>
      <c r="AM47" s="102" t="s">
        <v>80</v>
      </c>
      <c r="AN47" s="101" t="s">
        <v>79</v>
      </c>
      <c r="AO47" s="102" t="s">
        <v>80</v>
      </c>
      <c r="AP47" s="102" t="s">
        <v>80</v>
      </c>
      <c r="AQ47" s="101" t="s">
        <v>79</v>
      </c>
      <c r="AR47" s="102" t="s">
        <v>80</v>
      </c>
      <c r="AS47" s="102" t="s">
        <v>80</v>
      </c>
      <c r="AT47" s="101" t="s">
        <v>79</v>
      </c>
      <c r="AU47" s="102" t="s">
        <v>80</v>
      </c>
      <c r="AV47" s="102" t="s">
        <v>80</v>
      </c>
      <c r="AW47" s="101" t="s">
        <v>79</v>
      </c>
      <c r="AX47" s="102" t="s">
        <v>80</v>
      </c>
      <c r="AY47" s="102" t="s">
        <v>80</v>
      </c>
      <c r="AZ47" s="103" t="s">
        <v>79</v>
      </c>
      <c r="BA47" s="102" t="s">
        <v>80</v>
      </c>
      <c r="BB47" s="102" t="s">
        <v>80</v>
      </c>
      <c r="BC47" s="103" t="s">
        <v>79</v>
      </c>
      <c r="BD47" s="102" t="s">
        <v>80</v>
      </c>
      <c r="BE47" s="102" t="s">
        <v>80</v>
      </c>
      <c r="BF47" s="103" t="s">
        <v>79</v>
      </c>
      <c r="BG47" s="102" t="s">
        <v>80</v>
      </c>
      <c r="BH47" s="102" t="s">
        <v>80</v>
      </c>
      <c r="BI47" s="103" t="s">
        <v>79</v>
      </c>
      <c r="BJ47" s="102" t="s">
        <v>80</v>
      </c>
      <c r="BK47" s="102" t="s">
        <v>80</v>
      </c>
      <c r="BL47" s="103" t="s">
        <v>79</v>
      </c>
      <c r="BM47" s="102" t="s">
        <v>80</v>
      </c>
      <c r="BN47" s="102" t="s">
        <v>80</v>
      </c>
      <c r="BO47" s="103" t="s">
        <v>79</v>
      </c>
      <c r="BP47" s="102" t="s">
        <v>80</v>
      </c>
      <c r="BQ47" s="102" t="s">
        <v>80</v>
      </c>
      <c r="BR47" s="103" t="s">
        <v>79</v>
      </c>
      <c r="BS47" s="102" t="s">
        <v>80</v>
      </c>
      <c r="BT47" s="102" t="s">
        <v>80</v>
      </c>
      <c r="BU47" s="103" t="s">
        <v>79</v>
      </c>
      <c r="BV47" s="102" t="s">
        <v>80</v>
      </c>
      <c r="BW47" s="102" t="s">
        <v>80</v>
      </c>
      <c r="BX47" s="103" t="s">
        <v>79</v>
      </c>
      <c r="BY47" s="102" t="s">
        <v>80</v>
      </c>
      <c r="BZ47" s="102" t="s">
        <v>80</v>
      </c>
      <c r="CA47" s="102" t="s">
        <v>59</v>
      </c>
      <c r="CB47" s="104">
        <v>5.52</v>
      </c>
      <c r="CC47" s="102">
        <v>4</v>
      </c>
      <c r="CD47" s="101" t="s">
        <v>102</v>
      </c>
    </row>
    <row r="48" spans="3:82" s="31" customFormat="1" x14ac:dyDescent="0.25">
      <c r="C48" s="101" t="s">
        <v>103</v>
      </c>
      <c r="D48" s="101" t="s">
        <v>79</v>
      </c>
      <c r="E48" s="101" t="s">
        <v>80</v>
      </c>
      <c r="F48" s="102" t="s">
        <v>80</v>
      </c>
      <c r="G48" s="101" t="s">
        <v>79</v>
      </c>
      <c r="H48" s="101" t="s">
        <v>80</v>
      </c>
      <c r="I48" s="102" t="s">
        <v>80</v>
      </c>
      <c r="J48" s="101" t="s">
        <v>79</v>
      </c>
      <c r="K48" s="101" t="s">
        <v>80</v>
      </c>
      <c r="L48" s="102" t="s">
        <v>80</v>
      </c>
      <c r="M48" s="101" t="s">
        <v>79</v>
      </c>
      <c r="N48" s="101" t="s">
        <v>80</v>
      </c>
      <c r="O48" s="102" t="s">
        <v>80</v>
      </c>
      <c r="P48" s="101" t="s">
        <v>79</v>
      </c>
      <c r="Q48" s="101" t="s">
        <v>80</v>
      </c>
      <c r="R48" s="102" t="s">
        <v>80</v>
      </c>
      <c r="S48" s="101" t="s">
        <v>79</v>
      </c>
      <c r="T48" s="102" t="s">
        <v>80</v>
      </c>
      <c r="U48" s="102" t="s">
        <v>80</v>
      </c>
      <c r="V48" s="101" t="s">
        <v>79</v>
      </c>
      <c r="W48" s="102" t="s">
        <v>80</v>
      </c>
      <c r="X48" s="102" t="s">
        <v>80</v>
      </c>
      <c r="Y48" s="101" t="s">
        <v>79</v>
      </c>
      <c r="Z48" s="102" t="s">
        <v>80</v>
      </c>
      <c r="AA48" s="102" t="s">
        <v>80</v>
      </c>
      <c r="AB48" s="101" t="s">
        <v>79</v>
      </c>
      <c r="AC48" s="102" t="s">
        <v>80</v>
      </c>
      <c r="AD48" s="102" t="s">
        <v>80</v>
      </c>
      <c r="AE48" s="101" t="s">
        <v>79</v>
      </c>
      <c r="AF48" s="102" t="s">
        <v>80</v>
      </c>
      <c r="AG48" s="102" t="s">
        <v>80</v>
      </c>
      <c r="AH48" s="101" t="s">
        <v>79</v>
      </c>
      <c r="AI48" s="102" t="s">
        <v>80</v>
      </c>
      <c r="AJ48" s="102" t="s">
        <v>80</v>
      </c>
      <c r="AK48" s="101" t="s">
        <v>79</v>
      </c>
      <c r="AL48" s="102" t="s">
        <v>80</v>
      </c>
      <c r="AM48" s="102" t="s">
        <v>80</v>
      </c>
      <c r="AN48" s="101" t="s">
        <v>79</v>
      </c>
      <c r="AO48" s="102" t="s">
        <v>80</v>
      </c>
      <c r="AP48" s="102" t="s">
        <v>80</v>
      </c>
      <c r="AQ48" s="101" t="s">
        <v>79</v>
      </c>
      <c r="AR48" s="102" t="s">
        <v>80</v>
      </c>
      <c r="AS48" s="102" t="s">
        <v>80</v>
      </c>
      <c r="AT48" s="101" t="s">
        <v>79</v>
      </c>
      <c r="AU48" s="102" t="s">
        <v>80</v>
      </c>
      <c r="AV48" s="102" t="s">
        <v>80</v>
      </c>
      <c r="AW48" s="101" t="s">
        <v>79</v>
      </c>
      <c r="AX48" s="102" t="s">
        <v>80</v>
      </c>
      <c r="AY48" s="102" t="s">
        <v>80</v>
      </c>
      <c r="AZ48" s="103" t="s">
        <v>79</v>
      </c>
      <c r="BA48" s="102" t="s">
        <v>80</v>
      </c>
      <c r="BB48" s="102" t="s">
        <v>80</v>
      </c>
      <c r="BC48" s="103" t="s">
        <v>79</v>
      </c>
      <c r="BD48" s="102" t="s">
        <v>80</v>
      </c>
      <c r="BE48" s="102" t="s">
        <v>80</v>
      </c>
      <c r="BF48" s="103" t="s">
        <v>79</v>
      </c>
      <c r="BG48" s="102" t="s">
        <v>80</v>
      </c>
      <c r="BH48" s="102" t="s">
        <v>80</v>
      </c>
      <c r="BI48" s="103" t="s">
        <v>79</v>
      </c>
      <c r="BJ48" s="102" t="s">
        <v>80</v>
      </c>
      <c r="BK48" s="102" t="s">
        <v>80</v>
      </c>
      <c r="BL48" s="103" t="s">
        <v>79</v>
      </c>
      <c r="BM48" s="102" t="s">
        <v>80</v>
      </c>
      <c r="BN48" s="102" t="s">
        <v>80</v>
      </c>
      <c r="BO48" s="103" t="s">
        <v>79</v>
      </c>
      <c r="BP48" s="102" t="s">
        <v>80</v>
      </c>
      <c r="BQ48" s="102" t="s">
        <v>80</v>
      </c>
      <c r="BR48" s="103" t="s">
        <v>79</v>
      </c>
      <c r="BS48" s="102" t="s">
        <v>80</v>
      </c>
      <c r="BT48" s="102" t="s">
        <v>80</v>
      </c>
      <c r="BU48" s="103" t="s">
        <v>79</v>
      </c>
      <c r="BV48" s="102" t="s">
        <v>80</v>
      </c>
      <c r="BW48" s="102" t="s">
        <v>80</v>
      </c>
      <c r="BX48" s="103" t="s">
        <v>79</v>
      </c>
      <c r="BY48" s="102" t="s">
        <v>80</v>
      </c>
      <c r="BZ48" s="102" t="s">
        <v>80</v>
      </c>
      <c r="CA48" s="102" t="s">
        <v>59</v>
      </c>
      <c r="CB48" s="104">
        <v>5.52</v>
      </c>
      <c r="CC48" s="102">
        <v>4</v>
      </c>
      <c r="CD48" s="101" t="s">
        <v>103</v>
      </c>
    </row>
    <row r="49" spans="3:82" s="31" customFormat="1" x14ac:dyDescent="0.25">
      <c r="C49" s="101" t="s">
        <v>104</v>
      </c>
      <c r="D49" s="101" t="s">
        <v>79</v>
      </c>
      <c r="E49" s="101" t="s">
        <v>80</v>
      </c>
      <c r="F49" s="102" t="s">
        <v>80</v>
      </c>
      <c r="G49" s="101" t="s">
        <v>79</v>
      </c>
      <c r="H49" s="101" t="s">
        <v>80</v>
      </c>
      <c r="I49" s="102" t="s">
        <v>80</v>
      </c>
      <c r="J49" s="101" t="s">
        <v>79</v>
      </c>
      <c r="K49" s="101" t="s">
        <v>80</v>
      </c>
      <c r="L49" s="102" t="s">
        <v>80</v>
      </c>
      <c r="M49" s="101" t="s">
        <v>79</v>
      </c>
      <c r="N49" s="101" t="s">
        <v>80</v>
      </c>
      <c r="O49" s="102" t="s">
        <v>80</v>
      </c>
      <c r="P49" s="101" t="s">
        <v>79</v>
      </c>
      <c r="Q49" s="101" t="s">
        <v>80</v>
      </c>
      <c r="R49" s="102" t="s">
        <v>80</v>
      </c>
      <c r="S49" s="101" t="s">
        <v>79</v>
      </c>
      <c r="T49" s="102" t="s">
        <v>80</v>
      </c>
      <c r="U49" s="102" t="s">
        <v>80</v>
      </c>
      <c r="V49" s="101" t="s">
        <v>79</v>
      </c>
      <c r="W49" s="102" t="s">
        <v>80</v>
      </c>
      <c r="X49" s="102" t="s">
        <v>80</v>
      </c>
      <c r="Y49" s="101" t="s">
        <v>79</v>
      </c>
      <c r="Z49" s="102" t="s">
        <v>80</v>
      </c>
      <c r="AA49" s="102" t="s">
        <v>80</v>
      </c>
      <c r="AB49" s="101" t="s">
        <v>79</v>
      </c>
      <c r="AC49" s="102" t="s">
        <v>80</v>
      </c>
      <c r="AD49" s="102" t="s">
        <v>80</v>
      </c>
      <c r="AE49" s="101" t="s">
        <v>79</v>
      </c>
      <c r="AF49" s="102" t="s">
        <v>80</v>
      </c>
      <c r="AG49" s="102" t="s">
        <v>80</v>
      </c>
      <c r="AH49" s="101" t="s">
        <v>79</v>
      </c>
      <c r="AI49" s="102" t="s">
        <v>80</v>
      </c>
      <c r="AJ49" s="102" t="s">
        <v>80</v>
      </c>
      <c r="AK49" s="101" t="s">
        <v>79</v>
      </c>
      <c r="AL49" s="102" t="s">
        <v>80</v>
      </c>
      <c r="AM49" s="102" t="s">
        <v>80</v>
      </c>
      <c r="AN49" s="101" t="s">
        <v>79</v>
      </c>
      <c r="AO49" s="102" t="s">
        <v>80</v>
      </c>
      <c r="AP49" s="102" t="s">
        <v>80</v>
      </c>
      <c r="AQ49" s="101" t="s">
        <v>79</v>
      </c>
      <c r="AR49" s="102" t="s">
        <v>80</v>
      </c>
      <c r="AS49" s="102" t="s">
        <v>80</v>
      </c>
      <c r="AT49" s="101" t="s">
        <v>79</v>
      </c>
      <c r="AU49" s="102" t="s">
        <v>80</v>
      </c>
      <c r="AV49" s="102" t="s">
        <v>80</v>
      </c>
      <c r="AW49" s="101" t="s">
        <v>79</v>
      </c>
      <c r="AX49" s="102" t="s">
        <v>80</v>
      </c>
      <c r="AY49" s="102" t="s">
        <v>80</v>
      </c>
      <c r="AZ49" s="103" t="s">
        <v>79</v>
      </c>
      <c r="BA49" s="102" t="s">
        <v>80</v>
      </c>
      <c r="BB49" s="102" t="s">
        <v>80</v>
      </c>
      <c r="BC49" s="103" t="s">
        <v>79</v>
      </c>
      <c r="BD49" s="102" t="s">
        <v>80</v>
      </c>
      <c r="BE49" s="102" t="s">
        <v>80</v>
      </c>
      <c r="BF49" s="103" t="s">
        <v>79</v>
      </c>
      <c r="BG49" s="102" t="s">
        <v>80</v>
      </c>
      <c r="BH49" s="102" t="s">
        <v>80</v>
      </c>
      <c r="BI49" s="103" t="s">
        <v>79</v>
      </c>
      <c r="BJ49" s="102" t="s">
        <v>80</v>
      </c>
      <c r="BK49" s="102" t="s">
        <v>80</v>
      </c>
      <c r="BL49" s="103" t="s">
        <v>79</v>
      </c>
      <c r="BM49" s="102" t="s">
        <v>80</v>
      </c>
      <c r="BN49" s="102" t="s">
        <v>80</v>
      </c>
      <c r="BO49" s="103" t="s">
        <v>79</v>
      </c>
      <c r="BP49" s="102" t="s">
        <v>80</v>
      </c>
      <c r="BQ49" s="102" t="s">
        <v>80</v>
      </c>
      <c r="BR49" s="103" t="s">
        <v>79</v>
      </c>
      <c r="BS49" s="102" t="s">
        <v>80</v>
      </c>
      <c r="BT49" s="102" t="s">
        <v>80</v>
      </c>
      <c r="BU49" s="103" t="s">
        <v>79</v>
      </c>
      <c r="BV49" s="102" t="s">
        <v>80</v>
      </c>
      <c r="BW49" s="102" t="s">
        <v>80</v>
      </c>
      <c r="BX49" s="103" t="s">
        <v>79</v>
      </c>
      <c r="BY49" s="102" t="s">
        <v>80</v>
      </c>
      <c r="BZ49" s="102" t="s">
        <v>80</v>
      </c>
      <c r="CA49" s="102" t="s">
        <v>59</v>
      </c>
      <c r="CB49" s="104">
        <v>5.52</v>
      </c>
      <c r="CC49" s="102">
        <v>4</v>
      </c>
      <c r="CD49" s="101" t="s">
        <v>104</v>
      </c>
    </row>
    <row r="50" spans="3:82" s="31" customFormat="1" x14ac:dyDescent="0.25">
      <c r="C50" s="101" t="s">
        <v>105</v>
      </c>
      <c r="D50" s="101" t="s">
        <v>79</v>
      </c>
      <c r="E50" s="101" t="s">
        <v>80</v>
      </c>
      <c r="F50" s="102" t="s">
        <v>80</v>
      </c>
      <c r="G50" s="101" t="s">
        <v>79</v>
      </c>
      <c r="H50" s="101" t="s">
        <v>80</v>
      </c>
      <c r="I50" s="102" t="s">
        <v>80</v>
      </c>
      <c r="J50" s="101" t="s">
        <v>79</v>
      </c>
      <c r="K50" s="101" t="s">
        <v>80</v>
      </c>
      <c r="L50" s="102" t="s">
        <v>80</v>
      </c>
      <c r="M50" s="101" t="s">
        <v>79</v>
      </c>
      <c r="N50" s="101" t="s">
        <v>80</v>
      </c>
      <c r="O50" s="102" t="s">
        <v>80</v>
      </c>
      <c r="P50" s="101" t="s">
        <v>79</v>
      </c>
      <c r="Q50" s="101" t="s">
        <v>80</v>
      </c>
      <c r="R50" s="102" t="s">
        <v>80</v>
      </c>
      <c r="S50" s="101" t="s">
        <v>79</v>
      </c>
      <c r="T50" s="102" t="s">
        <v>80</v>
      </c>
      <c r="U50" s="102" t="s">
        <v>80</v>
      </c>
      <c r="V50" s="101" t="s">
        <v>79</v>
      </c>
      <c r="W50" s="102" t="s">
        <v>80</v>
      </c>
      <c r="X50" s="102" t="s">
        <v>80</v>
      </c>
      <c r="Y50" s="101" t="s">
        <v>79</v>
      </c>
      <c r="Z50" s="102" t="s">
        <v>80</v>
      </c>
      <c r="AA50" s="102" t="s">
        <v>80</v>
      </c>
      <c r="AB50" s="101" t="s">
        <v>79</v>
      </c>
      <c r="AC50" s="102" t="s">
        <v>80</v>
      </c>
      <c r="AD50" s="102" t="s">
        <v>80</v>
      </c>
      <c r="AE50" s="101" t="s">
        <v>79</v>
      </c>
      <c r="AF50" s="102" t="s">
        <v>80</v>
      </c>
      <c r="AG50" s="102" t="s">
        <v>80</v>
      </c>
      <c r="AH50" s="101" t="s">
        <v>79</v>
      </c>
      <c r="AI50" s="102" t="s">
        <v>80</v>
      </c>
      <c r="AJ50" s="102" t="s">
        <v>80</v>
      </c>
      <c r="AK50" s="101" t="s">
        <v>79</v>
      </c>
      <c r="AL50" s="102" t="s">
        <v>80</v>
      </c>
      <c r="AM50" s="102" t="s">
        <v>80</v>
      </c>
      <c r="AN50" s="101" t="s">
        <v>79</v>
      </c>
      <c r="AO50" s="102" t="s">
        <v>80</v>
      </c>
      <c r="AP50" s="102" t="s">
        <v>80</v>
      </c>
      <c r="AQ50" s="101" t="s">
        <v>79</v>
      </c>
      <c r="AR50" s="102" t="s">
        <v>80</v>
      </c>
      <c r="AS50" s="102" t="s">
        <v>80</v>
      </c>
      <c r="AT50" s="101" t="s">
        <v>79</v>
      </c>
      <c r="AU50" s="102" t="s">
        <v>80</v>
      </c>
      <c r="AV50" s="102" t="s">
        <v>80</v>
      </c>
      <c r="AW50" s="101" t="s">
        <v>79</v>
      </c>
      <c r="AX50" s="102" t="s">
        <v>80</v>
      </c>
      <c r="AY50" s="102" t="s">
        <v>80</v>
      </c>
      <c r="AZ50" s="103" t="s">
        <v>79</v>
      </c>
      <c r="BA50" s="102" t="s">
        <v>80</v>
      </c>
      <c r="BB50" s="102" t="s">
        <v>80</v>
      </c>
      <c r="BC50" s="103" t="s">
        <v>79</v>
      </c>
      <c r="BD50" s="102" t="s">
        <v>80</v>
      </c>
      <c r="BE50" s="102" t="s">
        <v>80</v>
      </c>
      <c r="BF50" s="103" t="s">
        <v>79</v>
      </c>
      <c r="BG50" s="102" t="s">
        <v>80</v>
      </c>
      <c r="BH50" s="102" t="s">
        <v>80</v>
      </c>
      <c r="BI50" s="103" t="s">
        <v>79</v>
      </c>
      <c r="BJ50" s="102" t="s">
        <v>80</v>
      </c>
      <c r="BK50" s="102" t="s">
        <v>80</v>
      </c>
      <c r="BL50" s="103" t="s">
        <v>79</v>
      </c>
      <c r="BM50" s="102" t="s">
        <v>80</v>
      </c>
      <c r="BN50" s="102" t="s">
        <v>80</v>
      </c>
      <c r="BO50" s="103" t="s">
        <v>79</v>
      </c>
      <c r="BP50" s="102" t="s">
        <v>80</v>
      </c>
      <c r="BQ50" s="102" t="s">
        <v>80</v>
      </c>
      <c r="BR50" s="103" t="s">
        <v>79</v>
      </c>
      <c r="BS50" s="102" t="s">
        <v>80</v>
      </c>
      <c r="BT50" s="102" t="s">
        <v>80</v>
      </c>
      <c r="BU50" s="103" t="s">
        <v>79</v>
      </c>
      <c r="BV50" s="102" t="s">
        <v>80</v>
      </c>
      <c r="BW50" s="102" t="s">
        <v>80</v>
      </c>
      <c r="BX50" s="103" t="s">
        <v>79</v>
      </c>
      <c r="BY50" s="102" t="s">
        <v>80</v>
      </c>
      <c r="BZ50" s="102" t="s">
        <v>80</v>
      </c>
      <c r="CA50" s="102" t="s">
        <v>59</v>
      </c>
      <c r="CB50" s="104">
        <v>5.52</v>
      </c>
      <c r="CC50" s="102">
        <v>4</v>
      </c>
      <c r="CD50" s="101" t="s">
        <v>105</v>
      </c>
    </row>
    <row r="51" spans="3:82" s="31" customFormat="1" x14ac:dyDescent="0.25">
      <c r="C51" s="101" t="s">
        <v>106</v>
      </c>
      <c r="D51" s="101" t="s">
        <v>79</v>
      </c>
      <c r="E51" s="101" t="s">
        <v>80</v>
      </c>
      <c r="F51" s="102" t="s">
        <v>80</v>
      </c>
      <c r="G51" s="101" t="s">
        <v>79</v>
      </c>
      <c r="H51" s="101" t="s">
        <v>80</v>
      </c>
      <c r="I51" s="102" t="s">
        <v>80</v>
      </c>
      <c r="J51" s="101" t="s">
        <v>79</v>
      </c>
      <c r="K51" s="101" t="s">
        <v>80</v>
      </c>
      <c r="L51" s="102" t="s">
        <v>80</v>
      </c>
      <c r="M51" s="101" t="s">
        <v>79</v>
      </c>
      <c r="N51" s="101" t="s">
        <v>80</v>
      </c>
      <c r="O51" s="102" t="s">
        <v>80</v>
      </c>
      <c r="P51" s="101" t="s">
        <v>79</v>
      </c>
      <c r="Q51" s="101" t="s">
        <v>80</v>
      </c>
      <c r="R51" s="102" t="s">
        <v>80</v>
      </c>
      <c r="S51" s="101" t="s">
        <v>79</v>
      </c>
      <c r="T51" s="102" t="s">
        <v>80</v>
      </c>
      <c r="U51" s="102" t="s">
        <v>80</v>
      </c>
      <c r="V51" s="101" t="s">
        <v>79</v>
      </c>
      <c r="W51" s="102" t="s">
        <v>80</v>
      </c>
      <c r="X51" s="102" t="s">
        <v>80</v>
      </c>
      <c r="Y51" s="101" t="s">
        <v>79</v>
      </c>
      <c r="Z51" s="102" t="s">
        <v>80</v>
      </c>
      <c r="AA51" s="102" t="s">
        <v>80</v>
      </c>
      <c r="AB51" s="101" t="s">
        <v>79</v>
      </c>
      <c r="AC51" s="102" t="s">
        <v>80</v>
      </c>
      <c r="AD51" s="102" t="s">
        <v>80</v>
      </c>
      <c r="AE51" s="101" t="s">
        <v>79</v>
      </c>
      <c r="AF51" s="102" t="s">
        <v>80</v>
      </c>
      <c r="AG51" s="102" t="s">
        <v>80</v>
      </c>
      <c r="AH51" s="101" t="s">
        <v>79</v>
      </c>
      <c r="AI51" s="102" t="s">
        <v>80</v>
      </c>
      <c r="AJ51" s="102" t="s">
        <v>80</v>
      </c>
      <c r="AK51" s="101" t="s">
        <v>79</v>
      </c>
      <c r="AL51" s="102" t="s">
        <v>80</v>
      </c>
      <c r="AM51" s="102" t="s">
        <v>80</v>
      </c>
      <c r="AN51" s="101" t="s">
        <v>79</v>
      </c>
      <c r="AO51" s="102" t="s">
        <v>80</v>
      </c>
      <c r="AP51" s="102" t="s">
        <v>80</v>
      </c>
      <c r="AQ51" s="101" t="s">
        <v>79</v>
      </c>
      <c r="AR51" s="102" t="s">
        <v>80</v>
      </c>
      <c r="AS51" s="102" t="s">
        <v>80</v>
      </c>
      <c r="AT51" s="101" t="s">
        <v>79</v>
      </c>
      <c r="AU51" s="102" t="s">
        <v>80</v>
      </c>
      <c r="AV51" s="102" t="s">
        <v>80</v>
      </c>
      <c r="AW51" s="101" t="s">
        <v>79</v>
      </c>
      <c r="AX51" s="102" t="s">
        <v>80</v>
      </c>
      <c r="AY51" s="102" t="s">
        <v>80</v>
      </c>
      <c r="AZ51" s="103" t="s">
        <v>79</v>
      </c>
      <c r="BA51" s="102" t="s">
        <v>80</v>
      </c>
      <c r="BB51" s="102" t="s">
        <v>80</v>
      </c>
      <c r="BC51" s="103" t="s">
        <v>79</v>
      </c>
      <c r="BD51" s="102" t="s">
        <v>80</v>
      </c>
      <c r="BE51" s="102" t="s">
        <v>80</v>
      </c>
      <c r="BF51" s="103" t="s">
        <v>79</v>
      </c>
      <c r="BG51" s="102" t="s">
        <v>80</v>
      </c>
      <c r="BH51" s="102" t="s">
        <v>80</v>
      </c>
      <c r="BI51" s="103" t="s">
        <v>79</v>
      </c>
      <c r="BJ51" s="102" t="s">
        <v>80</v>
      </c>
      <c r="BK51" s="102" t="s">
        <v>80</v>
      </c>
      <c r="BL51" s="103" t="s">
        <v>79</v>
      </c>
      <c r="BM51" s="102" t="s">
        <v>80</v>
      </c>
      <c r="BN51" s="102" t="s">
        <v>80</v>
      </c>
      <c r="BO51" s="103" t="s">
        <v>79</v>
      </c>
      <c r="BP51" s="102" t="s">
        <v>80</v>
      </c>
      <c r="BQ51" s="102" t="s">
        <v>80</v>
      </c>
      <c r="BR51" s="103" t="s">
        <v>79</v>
      </c>
      <c r="BS51" s="102" t="s">
        <v>80</v>
      </c>
      <c r="BT51" s="102" t="s">
        <v>80</v>
      </c>
      <c r="BU51" s="103" t="s">
        <v>79</v>
      </c>
      <c r="BV51" s="102" t="s">
        <v>80</v>
      </c>
      <c r="BW51" s="102" t="s">
        <v>80</v>
      </c>
      <c r="BX51" s="103" t="s">
        <v>79</v>
      </c>
      <c r="BY51" s="102" t="s">
        <v>80</v>
      </c>
      <c r="BZ51" s="102" t="s">
        <v>80</v>
      </c>
      <c r="CA51" s="102" t="s">
        <v>59</v>
      </c>
      <c r="CB51" s="104">
        <v>5.52</v>
      </c>
      <c r="CC51" s="102">
        <v>4</v>
      </c>
      <c r="CD51" s="101" t="s">
        <v>106</v>
      </c>
    </row>
    <row r="52" spans="3:82" s="31" customFormat="1" x14ac:dyDescent="0.25">
      <c r="C52" s="101" t="s">
        <v>107</v>
      </c>
      <c r="D52" s="101" t="s">
        <v>79</v>
      </c>
      <c r="E52" s="101" t="s">
        <v>80</v>
      </c>
      <c r="F52" s="102" t="s">
        <v>80</v>
      </c>
      <c r="G52" s="101" t="s">
        <v>79</v>
      </c>
      <c r="H52" s="101" t="s">
        <v>80</v>
      </c>
      <c r="I52" s="102" t="s">
        <v>80</v>
      </c>
      <c r="J52" s="101" t="s">
        <v>79</v>
      </c>
      <c r="K52" s="101" t="s">
        <v>80</v>
      </c>
      <c r="L52" s="102" t="s">
        <v>80</v>
      </c>
      <c r="M52" s="101" t="s">
        <v>79</v>
      </c>
      <c r="N52" s="101" t="s">
        <v>80</v>
      </c>
      <c r="O52" s="102" t="s">
        <v>80</v>
      </c>
      <c r="P52" s="101" t="s">
        <v>79</v>
      </c>
      <c r="Q52" s="101" t="s">
        <v>80</v>
      </c>
      <c r="R52" s="102" t="s">
        <v>80</v>
      </c>
      <c r="S52" s="101" t="s">
        <v>79</v>
      </c>
      <c r="T52" s="102" t="s">
        <v>80</v>
      </c>
      <c r="U52" s="102" t="s">
        <v>80</v>
      </c>
      <c r="V52" s="101" t="s">
        <v>79</v>
      </c>
      <c r="W52" s="102" t="s">
        <v>80</v>
      </c>
      <c r="X52" s="102" t="s">
        <v>80</v>
      </c>
      <c r="Y52" s="101" t="s">
        <v>79</v>
      </c>
      <c r="Z52" s="102" t="s">
        <v>80</v>
      </c>
      <c r="AA52" s="102" t="s">
        <v>80</v>
      </c>
      <c r="AB52" s="101" t="s">
        <v>79</v>
      </c>
      <c r="AC52" s="102" t="s">
        <v>80</v>
      </c>
      <c r="AD52" s="102" t="s">
        <v>80</v>
      </c>
      <c r="AE52" s="101" t="s">
        <v>79</v>
      </c>
      <c r="AF52" s="102" t="s">
        <v>80</v>
      </c>
      <c r="AG52" s="102" t="s">
        <v>80</v>
      </c>
      <c r="AH52" s="101" t="s">
        <v>79</v>
      </c>
      <c r="AI52" s="102" t="s">
        <v>80</v>
      </c>
      <c r="AJ52" s="102" t="s">
        <v>80</v>
      </c>
      <c r="AK52" s="101" t="s">
        <v>79</v>
      </c>
      <c r="AL52" s="102" t="s">
        <v>80</v>
      </c>
      <c r="AM52" s="102" t="s">
        <v>80</v>
      </c>
      <c r="AN52" s="101" t="s">
        <v>79</v>
      </c>
      <c r="AO52" s="102" t="s">
        <v>80</v>
      </c>
      <c r="AP52" s="102" t="s">
        <v>80</v>
      </c>
      <c r="AQ52" s="101" t="s">
        <v>79</v>
      </c>
      <c r="AR52" s="102" t="s">
        <v>80</v>
      </c>
      <c r="AS52" s="102" t="s">
        <v>80</v>
      </c>
      <c r="AT52" s="101" t="s">
        <v>79</v>
      </c>
      <c r="AU52" s="102" t="s">
        <v>80</v>
      </c>
      <c r="AV52" s="102" t="s">
        <v>80</v>
      </c>
      <c r="AW52" s="101" t="s">
        <v>79</v>
      </c>
      <c r="AX52" s="102" t="s">
        <v>80</v>
      </c>
      <c r="AY52" s="102" t="s">
        <v>80</v>
      </c>
      <c r="AZ52" s="103" t="s">
        <v>79</v>
      </c>
      <c r="BA52" s="102" t="s">
        <v>80</v>
      </c>
      <c r="BB52" s="102" t="s">
        <v>80</v>
      </c>
      <c r="BC52" s="103" t="s">
        <v>79</v>
      </c>
      <c r="BD52" s="102" t="s">
        <v>80</v>
      </c>
      <c r="BE52" s="102" t="s">
        <v>80</v>
      </c>
      <c r="BF52" s="103" t="s">
        <v>79</v>
      </c>
      <c r="BG52" s="102" t="s">
        <v>80</v>
      </c>
      <c r="BH52" s="102" t="s">
        <v>80</v>
      </c>
      <c r="BI52" s="103" t="s">
        <v>79</v>
      </c>
      <c r="BJ52" s="102" t="s">
        <v>80</v>
      </c>
      <c r="BK52" s="102" t="s">
        <v>80</v>
      </c>
      <c r="BL52" s="103" t="s">
        <v>79</v>
      </c>
      <c r="BM52" s="102" t="s">
        <v>80</v>
      </c>
      <c r="BN52" s="102" t="s">
        <v>80</v>
      </c>
      <c r="BO52" s="103" t="s">
        <v>79</v>
      </c>
      <c r="BP52" s="102" t="s">
        <v>80</v>
      </c>
      <c r="BQ52" s="102" t="s">
        <v>80</v>
      </c>
      <c r="BR52" s="103" t="s">
        <v>79</v>
      </c>
      <c r="BS52" s="102" t="s">
        <v>80</v>
      </c>
      <c r="BT52" s="102" t="s">
        <v>80</v>
      </c>
      <c r="BU52" s="103" t="s">
        <v>79</v>
      </c>
      <c r="BV52" s="102" t="s">
        <v>80</v>
      </c>
      <c r="BW52" s="102" t="s">
        <v>80</v>
      </c>
      <c r="BX52" s="103" t="s">
        <v>79</v>
      </c>
      <c r="BY52" s="102" t="s">
        <v>80</v>
      </c>
      <c r="BZ52" s="102" t="s">
        <v>80</v>
      </c>
      <c r="CA52" s="102" t="s">
        <v>59</v>
      </c>
      <c r="CB52" s="104">
        <v>5.52</v>
      </c>
      <c r="CC52" s="102">
        <v>4</v>
      </c>
      <c r="CD52" s="101" t="s">
        <v>107</v>
      </c>
    </row>
    <row r="53" spans="3:82" s="26" customFormat="1" x14ac:dyDescent="0.25">
      <c r="C53" s="45" t="s">
        <v>108</v>
      </c>
      <c r="D53" s="45" t="s">
        <v>79</v>
      </c>
      <c r="E53" s="45" t="s">
        <v>80</v>
      </c>
      <c r="F53" s="46" t="s">
        <v>80</v>
      </c>
      <c r="G53" s="45" t="s">
        <v>79</v>
      </c>
      <c r="H53" s="45" t="s">
        <v>80</v>
      </c>
      <c r="I53" s="46" t="s">
        <v>80</v>
      </c>
      <c r="J53" s="45" t="s">
        <v>79</v>
      </c>
      <c r="K53" s="45" t="s">
        <v>80</v>
      </c>
      <c r="L53" s="46" t="s">
        <v>80</v>
      </c>
      <c r="M53" s="45" t="s">
        <v>79</v>
      </c>
      <c r="N53" s="45" t="s">
        <v>80</v>
      </c>
      <c r="O53" s="46" t="s">
        <v>80</v>
      </c>
      <c r="P53" s="45" t="s">
        <v>79</v>
      </c>
      <c r="Q53" s="45" t="s">
        <v>80</v>
      </c>
      <c r="R53" s="46" t="s">
        <v>80</v>
      </c>
      <c r="S53" s="45" t="s">
        <v>79</v>
      </c>
      <c r="T53" s="46" t="s">
        <v>80</v>
      </c>
      <c r="U53" s="46" t="s">
        <v>80</v>
      </c>
      <c r="V53" s="45" t="s">
        <v>79</v>
      </c>
      <c r="W53" s="46" t="s">
        <v>80</v>
      </c>
      <c r="X53" s="46" t="s">
        <v>80</v>
      </c>
      <c r="Y53" s="45" t="s">
        <v>79</v>
      </c>
      <c r="Z53" s="46" t="s">
        <v>80</v>
      </c>
      <c r="AA53" s="46" t="s">
        <v>80</v>
      </c>
      <c r="AB53" s="45" t="s">
        <v>79</v>
      </c>
      <c r="AC53" s="46" t="s">
        <v>80</v>
      </c>
      <c r="AD53" s="46" t="s">
        <v>80</v>
      </c>
      <c r="AE53" s="45" t="s">
        <v>79</v>
      </c>
      <c r="AF53" s="46" t="s">
        <v>80</v>
      </c>
      <c r="AG53" s="46" t="s">
        <v>80</v>
      </c>
      <c r="AH53" s="45" t="s">
        <v>79</v>
      </c>
      <c r="AI53" s="46" t="s">
        <v>80</v>
      </c>
      <c r="AJ53" s="46" t="s">
        <v>80</v>
      </c>
      <c r="AK53" s="45" t="s">
        <v>79</v>
      </c>
      <c r="AL53" s="46" t="s">
        <v>80</v>
      </c>
      <c r="AM53" s="46" t="s">
        <v>80</v>
      </c>
      <c r="AN53" s="45" t="s">
        <v>79</v>
      </c>
      <c r="AO53" s="46" t="s">
        <v>80</v>
      </c>
      <c r="AP53" s="46" t="s">
        <v>80</v>
      </c>
      <c r="AQ53" s="45" t="s">
        <v>79</v>
      </c>
      <c r="AR53" s="46" t="s">
        <v>80</v>
      </c>
      <c r="AS53" s="46" t="s">
        <v>80</v>
      </c>
      <c r="AT53" s="45" t="s">
        <v>79</v>
      </c>
      <c r="AU53" s="46" t="s">
        <v>80</v>
      </c>
      <c r="AV53" s="46" t="s">
        <v>80</v>
      </c>
      <c r="AW53" s="45" t="s">
        <v>79</v>
      </c>
      <c r="AX53" s="46" t="s">
        <v>80</v>
      </c>
      <c r="AY53" s="46" t="s">
        <v>80</v>
      </c>
      <c r="AZ53" s="47" t="s">
        <v>79</v>
      </c>
      <c r="BA53" s="46" t="s">
        <v>80</v>
      </c>
      <c r="BB53" s="46" t="s">
        <v>80</v>
      </c>
      <c r="BC53" s="47" t="s">
        <v>79</v>
      </c>
      <c r="BD53" s="46" t="s">
        <v>80</v>
      </c>
      <c r="BE53" s="46" t="s">
        <v>80</v>
      </c>
      <c r="BF53" s="47" t="s">
        <v>79</v>
      </c>
      <c r="BG53" s="46" t="s">
        <v>80</v>
      </c>
      <c r="BH53" s="46" t="s">
        <v>80</v>
      </c>
      <c r="BI53" s="47" t="s">
        <v>79</v>
      </c>
      <c r="BJ53" s="46" t="s">
        <v>80</v>
      </c>
      <c r="BK53" s="46" t="s">
        <v>80</v>
      </c>
      <c r="BL53" s="47" t="s">
        <v>79</v>
      </c>
      <c r="BM53" s="46" t="s">
        <v>80</v>
      </c>
      <c r="BN53" s="46" t="s">
        <v>80</v>
      </c>
      <c r="BO53" s="47" t="s">
        <v>79</v>
      </c>
      <c r="BP53" s="46" t="s">
        <v>80</v>
      </c>
      <c r="BQ53" s="46" t="s">
        <v>80</v>
      </c>
      <c r="BR53" s="47" t="s">
        <v>79</v>
      </c>
      <c r="BS53" s="46" t="s">
        <v>80</v>
      </c>
      <c r="BT53" s="46" t="s">
        <v>80</v>
      </c>
      <c r="BU53" s="47" t="s">
        <v>79</v>
      </c>
      <c r="BV53" s="46" t="s">
        <v>80</v>
      </c>
      <c r="BW53" s="46" t="s">
        <v>80</v>
      </c>
      <c r="BX53" s="47" t="s">
        <v>79</v>
      </c>
      <c r="BY53" s="46" t="s">
        <v>80</v>
      </c>
      <c r="BZ53" s="46" t="s">
        <v>80</v>
      </c>
      <c r="CA53" s="46" t="s">
        <v>58</v>
      </c>
      <c r="CB53" s="48">
        <v>4.51</v>
      </c>
      <c r="CC53" s="46">
        <v>4</v>
      </c>
      <c r="CD53" s="45" t="s">
        <v>108</v>
      </c>
    </row>
    <row r="54" spans="3:82" s="26" customFormat="1" x14ac:dyDescent="0.25">
      <c r="C54" s="45" t="s">
        <v>109</v>
      </c>
      <c r="D54" s="45" t="s">
        <v>79</v>
      </c>
      <c r="E54" s="45" t="s">
        <v>80</v>
      </c>
      <c r="F54" s="46" t="s">
        <v>80</v>
      </c>
      <c r="G54" s="45" t="s">
        <v>79</v>
      </c>
      <c r="H54" s="45" t="s">
        <v>80</v>
      </c>
      <c r="I54" s="46" t="s">
        <v>80</v>
      </c>
      <c r="J54" s="45" t="s">
        <v>79</v>
      </c>
      <c r="K54" s="45" t="s">
        <v>80</v>
      </c>
      <c r="L54" s="46" t="s">
        <v>80</v>
      </c>
      <c r="M54" s="45" t="s">
        <v>79</v>
      </c>
      <c r="N54" s="45" t="s">
        <v>80</v>
      </c>
      <c r="O54" s="46" t="s">
        <v>80</v>
      </c>
      <c r="P54" s="45" t="s">
        <v>79</v>
      </c>
      <c r="Q54" s="45" t="s">
        <v>80</v>
      </c>
      <c r="R54" s="46" t="s">
        <v>80</v>
      </c>
      <c r="S54" s="45" t="s">
        <v>79</v>
      </c>
      <c r="T54" s="46" t="s">
        <v>80</v>
      </c>
      <c r="U54" s="46" t="s">
        <v>80</v>
      </c>
      <c r="V54" s="45" t="s">
        <v>79</v>
      </c>
      <c r="W54" s="46" t="s">
        <v>80</v>
      </c>
      <c r="X54" s="46" t="s">
        <v>80</v>
      </c>
      <c r="Y54" s="45" t="s">
        <v>79</v>
      </c>
      <c r="Z54" s="46" t="s">
        <v>80</v>
      </c>
      <c r="AA54" s="46" t="s">
        <v>80</v>
      </c>
      <c r="AB54" s="45" t="s">
        <v>79</v>
      </c>
      <c r="AC54" s="46" t="s">
        <v>80</v>
      </c>
      <c r="AD54" s="46" t="s">
        <v>80</v>
      </c>
      <c r="AE54" s="45" t="s">
        <v>79</v>
      </c>
      <c r="AF54" s="46" t="s">
        <v>80</v>
      </c>
      <c r="AG54" s="46" t="s">
        <v>80</v>
      </c>
      <c r="AH54" s="45" t="s">
        <v>79</v>
      </c>
      <c r="AI54" s="46" t="s">
        <v>80</v>
      </c>
      <c r="AJ54" s="46" t="s">
        <v>80</v>
      </c>
      <c r="AK54" s="45" t="s">
        <v>79</v>
      </c>
      <c r="AL54" s="46" t="s">
        <v>80</v>
      </c>
      <c r="AM54" s="46" t="s">
        <v>80</v>
      </c>
      <c r="AN54" s="45" t="s">
        <v>79</v>
      </c>
      <c r="AO54" s="46" t="s">
        <v>80</v>
      </c>
      <c r="AP54" s="46" t="s">
        <v>80</v>
      </c>
      <c r="AQ54" s="45" t="s">
        <v>79</v>
      </c>
      <c r="AR54" s="46" t="s">
        <v>80</v>
      </c>
      <c r="AS54" s="46" t="s">
        <v>80</v>
      </c>
      <c r="AT54" s="45" t="s">
        <v>79</v>
      </c>
      <c r="AU54" s="46" t="s">
        <v>80</v>
      </c>
      <c r="AV54" s="46" t="s">
        <v>80</v>
      </c>
      <c r="AW54" s="45" t="s">
        <v>79</v>
      </c>
      <c r="AX54" s="46" t="s">
        <v>80</v>
      </c>
      <c r="AY54" s="46" t="s">
        <v>80</v>
      </c>
      <c r="AZ54" s="47" t="s">
        <v>79</v>
      </c>
      <c r="BA54" s="46" t="s">
        <v>80</v>
      </c>
      <c r="BB54" s="46" t="s">
        <v>80</v>
      </c>
      <c r="BC54" s="47" t="s">
        <v>79</v>
      </c>
      <c r="BD54" s="46" t="s">
        <v>80</v>
      </c>
      <c r="BE54" s="46" t="s">
        <v>80</v>
      </c>
      <c r="BF54" s="47" t="s">
        <v>79</v>
      </c>
      <c r="BG54" s="46" t="s">
        <v>80</v>
      </c>
      <c r="BH54" s="46" t="s">
        <v>80</v>
      </c>
      <c r="BI54" s="47" t="s">
        <v>79</v>
      </c>
      <c r="BJ54" s="46" t="s">
        <v>80</v>
      </c>
      <c r="BK54" s="46" t="s">
        <v>80</v>
      </c>
      <c r="BL54" s="47" t="s">
        <v>79</v>
      </c>
      <c r="BM54" s="46" t="s">
        <v>80</v>
      </c>
      <c r="BN54" s="46" t="s">
        <v>80</v>
      </c>
      <c r="BO54" s="47" t="s">
        <v>79</v>
      </c>
      <c r="BP54" s="46" t="s">
        <v>80</v>
      </c>
      <c r="BQ54" s="46" t="s">
        <v>80</v>
      </c>
      <c r="BR54" s="47" t="s">
        <v>79</v>
      </c>
      <c r="BS54" s="46" t="s">
        <v>80</v>
      </c>
      <c r="BT54" s="46" t="s">
        <v>80</v>
      </c>
      <c r="BU54" s="47" t="s">
        <v>79</v>
      </c>
      <c r="BV54" s="46" t="s">
        <v>80</v>
      </c>
      <c r="BW54" s="46" t="s">
        <v>80</v>
      </c>
      <c r="BX54" s="47" t="s">
        <v>79</v>
      </c>
      <c r="BY54" s="46" t="s">
        <v>80</v>
      </c>
      <c r="BZ54" s="46" t="s">
        <v>80</v>
      </c>
      <c r="CA54" s="46" t="s">
        <v>58</v>
      </c>
      <c r="CB54" s="48">
        <v>4.51</v>
      </c>
      <c r="CC54" s="46">
        <v>4</v>
      </c>
      <c r="CD54" s="45" t="s">
        <v>109</v>
      </c>
    </row>
    <row r="55" spans="3:82" s="36" customFormat="1" x14ac:dyDescent="0.25">
      <c r="C55" s="53" t="s">
        <v>110</v>
      </c>
      <c r="D55" s="53" t="s">
        <v>41</v>
      </c>
      <c r="E55" s="53" t="s">
        <v>80</v>
      </c>
      <c r="F55" s="54" t="s">
        <v>80</v>
      </c>
      <c r="G55" s="53" t="s">
        <v>41</v>
      </c>
      <c r="H55" s="53" t="s">
        <v>80</v>
      </c>
      <c r="I55" s="54" t="s">
        <v>80</v>
      </c>
      <c r="J55" s="53" t="s">
        <v>41</v>
      </c>
      <c r="K55" s="53" t="s">
        <v>80</v>
      </c>
      <c r="L55" s="54" t="s">
        <v>80</v>
      </c>
      <c r="M55" s="53" t="s">
        <v>41</v>
      </c>
      <c r="N55" s="53" t="s">
        <v>80</v>
      </c>
      <c r="O55" s="54" t="s">
        <v>80</v>
      </c>
      <c r="P55" s="53" t="s">
        <v>41</v>
      </c>
      <c r="Q55" s="53" t="s">
        <v>80</v>
      </c>
      <c r="R55" s="54" t="s">
        <v>80</v>
      </c>
      <c r="S55" s="53" t="s">
        <v>41</v>
      </c>
      <c r="T55" s="54" t="s">
        <v>80</v>
      </c>
      <c r="U55" s="54" t="s">
        <v>80</v>
      </c>
      <c r="V55" s="53" t="s">
        <v>41</v>
      </c>
      <c r="W55" s="54" t="s">
        <v>80</v>
      </c>
      <c r="X55" s="54" t="s">
        <v>80</v>
      </c>
      <c r="Y55" s="53" t="s">
        <v>41</v>
      </c>
      <c r="Z55" s="54" t="s">
        <v>80</v>
      </c>
      <c r="AA55" s="54" t="s">
        <v>80</v>
      </c>
      <c r="AB55" s="53" t="s">
        <v>41</v>
      </c>
      <c r="AC55" s="54" t="s">
        <v>80</v>
      </c>
      <c r="AD55" s="54" t="s">
        <v>80</v>
      </c>
      <c r="AE55" s="53" t="s">
        <v>41</v>
      </c>
      <c r="AF55" s="54" t="s">
        <v>80</v>
      </c>
      <c r="AG55" s="54" t="s">
        <v>80</v>
      </c>
      <c r="AH55" s="53" t="s">
        <v>41</v>
      </c>
      <c r="AI55" s="54" t="s">
        <v>80</v>
      </c>
      <c r="AJ55" s="54" t="s">
        <v>80</v>
      </c>
      <c r="AK55" s="53" t="s">
        <v>41</v>
      </c>
      <c r="AL55" s="54" t="s">
        <v>80</v>
      </c>
      <c r="AM55" s="54" t="s">
        <v>80</v>
      </c>
      <c r="AN55" s="53" t="s">
        <v>41</v>
      </c>
      <c r="AO55" s="54" t="s">
        <v>80</v>
      </c>
      <c r="AP55" s="54" t="s">
        <v>80</v>
      </c>
      <c r="AQ55" s="53" t="s">
        <v>41</v>
      </c>
      <c r="AR55" s="54" t="s">
        <v>80</v>
      </c>
      <c r="AS55" s="54" t="s">
        <v>80</v>
      </c>
      <c r="AT55" s="53" t="s">
        <v>41</v>
      </c>
      <c r="AU55" s="54" t="s">
        <v>80</v>
      </c>
      <c r="AV55" s="54" t="s">
        <v>80</v>
      </c>
      <c r="AW55" s="53" t="s">
        <v>41</v>
      </c>
      <c r="AX55" s="54" t="s">
        <v>80</v>
      </c>
      <c r="AY55" s="54" t="s">
        <v>80</v>
      </c>
      <c r="AZ55" s="55" t="s">
        <v>41</v>
      </c>
      <c r="BA55" s="54" t="s">
        <v>80</v>
      </c>
      <c r="BB55" s="54" t="s">
        <v>80</v>
      </c>
      <c r="BC55" s="55" t="s">
        <v>41</v>
      </c>
      <c r="BD55" s="54" t="s">
        <v>80</v>
      </c>
      <c r="BE55" s="54" t="s">
        <v>80</v>
      </c>
      <c r="BF55" s="55" t="s">
        <v>41</v>
      </c>
      <c r="BG55" s="54" t="s">
        <v>80</v>
      </c>
      <c r="BH55" s="54" t="s">
        <v>80</v>
      </c>
      <c r="BI55" s="55" t="s">
        <v>41</v>
      </c>
      <c r="BJ55" s="54" t="s">
        <v>80</v>
      </c>
      <c r="BK55" s="54" t="s">
        <v>80</v>
      </c>
      <c r="BL55" s="55" t="s">
        <v>41</v>
      </c>
      <c r="BM55" s="54" t="s">
        <v>80</v>
      </c>
      <c r="BN55" s="54" t="s">
        <v>80</v>
      </c>
      <c r="BO55" s="55" t="s">
        <v>41</v>
      </c>
      <c r="BP55" s="54" t="s">
        <v>80</v>
      </c>
      <c r="BQ55" s="54" t="s">
        <v>80</v>
      </c>
      <c r="BR55" s="55" t="s">
        <v>41</v>
      </c>
      <c r="BS55" s="54" t="s">
        <v>80</v>
      </c>
      <c r="BT55" s="54" t="s">
        <v>80</v>
      </c>
      <c r="BU55" s="55" t="s">
        <v>41</v>
      </c>
      <c r="BV55" s="54" t="s">
        <v>80</v>
      </c>
      <c r="BW55" s="54" t="s">
        <v>80</v>
      </c>
      <c r="BX55" s="55" t="s">
        <v>41</v>
      </c>
      <c r="BY55" s="54" t="s">
        <v>80</v>
      </c>
      <c r="BZ55" s="54" t="s">
        <v>80</v>
      </c>
      <c r="CA55" s="54" t="s">
        <v>126</v>
      </c>
      <c r="CB55" s="56">
        <v>1.98</v>
      </c>
      <c r="CC55" s="54">
        <v>10</v>
      </c>
      <c r="CD55" s="53" t="s">
        <v>110</v>
      </c>
    </row>
    <row r="56" spans="3:82" s="36" customFormat="1" x14ac:dyDescent="0.25">
      <c r="C56" s="53" t="s">
        <v>111</v>
      </c>
      <c r="D56" s="53" t="s">
        <v>79</v>
      </c>
      <c r="E56" s="53" t="s">
        <v>80</v>
      </c>
      <c r="F56" s="54" t="s">
        <v>80</v>
      </c>
      <c r="G56" s="53" t="s">
        <v>79</v>
      </c>
      <c r="H56" s="53" t="s">
        <v>80</v>
      </c>
      <c r="I56" s="54" t="s">
        <v>80</v>
      </c>
      <c r="J56" s="53" t="s">
        <v>79</v>
      </c>
      <c r="K56" s="53" t="s">
        <v>80</v>
      </c>
      <c r="L56" s="54" t="s">
        <v>80</v>
      </c>
      <c r="M56" s="53" t="s">
        <v>79</v>
      </c>
      <c r="N56" s="53" t="s">
        <v>80</v>
      </c>
      <c r="O56" s="54" t="s">
        <v>80</v>
      </c>
      <c r="P56" s="53" t="s">
        <v>79</v>
      </c>
      <c r="Q56" s="53" t="s">
        <v>80</v>
      </c>
      <c r="R56" s="54" t="s">
        <v>80</v>
      </c>
      <c r="S56" s="53" t="s">
        <v>79</v>
      </c>
      <c r="T56" s="54" t="s">
        <v>80</v>
      </c>
      <c r="U56" s="54" t="s">
        <v>80</v>
      </c>
      <c r="V56" s="53" t="s">
        <v>79</v>
      </c>
      <c r="W56" s="54" t="s">
        <v>80</v>
      </c>
      <c r="X56" s="54" t="s">
        <v>80</v>
      </c>
      <c r="Y56" s="53" t="s">
        <v>79</v>
      </c>
      <c r="Z56" s="54" t="s">
        <v>80</v>
      </c>
      <c r="AA56" s="54" t="s">
        <v>80</v>
      </c>
      <c r="AB56" s="53" t="s">
        <v>79</v>
      </c>
      <c r="AC56" s="54" t="s">
        <v>80</v>
      </c>
      <c r="AD56" s="54" t="s">
        <v>80</v>
      </c>
      <c r="AE56" s="53" t="s">
        <v>79</v>
      </c>
      <c r="AF56" s="54" t="s">
        <v>80</v>
      </c>
      <c r="AG56" s="54" t="s">
        <v>80</v>
      </c>
      <c r="AH56" s="53" t="s">
        <v>79</v>
      </c>
      <c r="AI56" s="54" t="s">
        <v>80</v>
      </c>
      <c r="AJ56" s="54" t="s">
        <v>80</v>
      </c>
      <c r="AK56" s="53" t="s">
        <v>79</v>
      </c>
      <c r="AL56" s="54" t="s">
        <v>80</v>
      </c>
      <c r="AM56" s="54" t="s">
        <v>80</v>
      </c>
      <c r="AN56" s="53" t="s">
        <v>79</v>
      </c>
      <c r="AO56" s="54" t="s">
        <v>80</v>
      </c>
      <c r="AP56" s="54" t="s">
        <v>80</v>
      </c>
      <c r="AQ56" s="53" t="s">
        <v>79</v>
      </c>
      <c r="AR56" s="54" t="s">
        <v>80</v>
      </c>
      <c r="AS56" s="54" t="s">
        <v>80</v>
      </c>
      <c r="AT56" s="53" t="s">
        <v>79</v>
      </c>
      <c r="AU56" s="54" t="s">
        <v>80</v>
      </c>
      <c r="AV56" s="54" t="s">
        <v>80</v>
      </c>
      <c r="AW56" s="53" t="s">
        <v>79</v>
      </c>
      <c r="AX56" s="54" t="s">
        <v>80</v>
      </c>
      <c r="AY56" s="54" t="s">
        <v>80</v>
      </c>
      <c r="AZ56" s="55" t="s">
        <v>79</v>
      </c>
      <c r="BA56" s="54" t="s">
        <v>80</v>
      </c>
      <c r="BB56" s="54" t="s">
        <v>80</v>
      </c>
      <c r="BC56" s="55" t="s">
        <v>79</v>
      </c>
      <c r="BD56" s="54" t="s">
        <v>80</v>
      </c>
      <c r="BE56" s="54" t="s">
        <v>80</v>
      </c>
      <c r="BF56" s="55" t="s">
        <v>79</v>
      </c>
      <c r="BG56" s="54" t="s">
        <v>80</v>
      </c>
      <c r="BH56" s="54" t="s">
        <v>80</v>
      </c>
      <c r="BI56" s="55" t="s">
        <v>79</v>
      </c>
      <c r="BJ56" s="54" t="s">
        <v>80</v>
      </c>
      <c r="BK56" s="54" t="s">
        <v>80</v>
      </c>
      <c r="BL56" s="55" t="s">
        <v>79</v>
      </c>
      <c r="BM56" s="54" t="s">
        <v>80</v>
      </c>
      <c r="BN56" s="54" t="s">
        <v>80</v>
      </c>
      <c r="BO56" s="55" t="s">
        <v>79</v>
      </c>
      <c r="BP56" s="54" t="s">
        <v>80</v>
      </c>
      <c r="BQ56" s="54" t="s">
        <v>80</v>
      </c>
      <c r="BR56" s="55" t="s">
        <v>79</v>
      </c>
      <c r="BS56" s="54" t="s">
        <v>80</v>
      </c>
      <c r="BT56" s="54" t="s">
        <v>80</v>
      </c>
      <c r="BU56" s="55" t="s">
        <v>79</v>
      </c>
      <c r="BV56" s="54" t="s">
        <v>80</v>
      </c>
      <c r="BW56" s="54" t="s">
        <v>80</v>
      </c>
      <c r="BX56" s="55" t="s">
        <v>79</v>
      </c>
      <c r="BY56" s="54" t="s">
        <v>80</v>
      </c>
      <c r="BZ56" s="54" t="s">
        <v>80</v>
      </c>
      <c r="CA56" s="54" t="s">
        <v>126</v>
      </c>
      <c r="CB56" s="56">
        <v>1.98</v>
      </c>
      <c r="CC56" s="54">
        <v>10</v>
      </c>
      <c r="CD56" s="53" t="s">
        <v>111</v>
      </c>
    </row>
    <row r="57" spans="3:82" s="37" customFormat="1" x14ac:dyDescent="0.25">
      <c r="C57" s="73" t="s">
        <v>112</v>
      </c>
      <c r="D57" s="73" t="s">
        <v>79</v>
      </c>
      <c r="E57" s="73" t="s">
        <v>80</v>
      </c>
      <c r="F57" s="74" t="s">
        <v>80</v>
      </c>
      <c r="G57" s="73" t="s">
        <v>79</v>
      </c>
      <c r="H57" s="73" t="s">
        <v>80</v>
      </c>
      <c r="I57" s="74" t="s">
        <v>80</v>
      </c>
      <c r="J57" s="73" t="s">
        <v>79</v>
      </c>
      <c r="K57" s="73" t="s">
        <v>80</v>
      </c>
      <c r="L57" s="74" t="s">
        <v>80</v>
      </c>
      <c r="M57" s="73" t="s">
        <v>79</v>
      </c>
      <c r="N57" s="73" t="s">
        <v>80</v>
      </c>
      <c r="O57" s="74" t="s">
        <v>80</v>
      </c>
      <c r="P57" s="73" t="s">
        <v>79</v>
      </c>
      <c r="Q57" s="73" t="s">
        <v>80</v>
      </c>
      <c r="R57" s="74" t="s">
        <v>80</v>
      </c>
      <c r="S57" s="73" t="s">
        <v>79</v>
      </c>
      <c r="T57" s="74" t="s">
        <v>80</v>
      </c>
      <c r="U57" s="74" t="s">
        <v>80</v>
      </c>
      <c r="V57" s="73" t="s">
        <v>79</v>
      </c>
      <c r="W57" s="74" t="s">
        <v>80</v>
      </c>
      <c r="X57" s="74" t="s">
        <v>80</v>
      </c>
      <c r="Y57" s="73" t="s">
        <v>79</v>
      </c>
      <c r="Z57" s="74" t="s">
        <v>80</v>
      </c>
      <c r="AA57" s="74" t="s">
        <v>80</v>
      </c>
      <c r="AB57" s="73" t="s">
        <v>79</v>
      </c>
      <c r="AC57" s="74" t="s">
        <v>80</v>
      </c>
      <c r="AD57" s="74" t="s">
        <v>80</v>
      </c>
      <c r="AE57" s="73" t="s">
        <v>79</v>
      </c>
      <c r="AF57" s="74" t="s">
        <v>80</v>
      </c>
      <c r="AG57" s="74" t="s">
        <v>80</v>
      </c>
      <c r="AH57" s="73" t="s">
        <v>79</v>
      </c>
      <c r="AI57" s="74" t="s">
        <v>80</v>
      </c>
      <c r="AJ57" s="74" t="s">
        <v>80</v>
      </c>
      <c r="AK57" s="73" t="s">
        <v>79</v>
      </c>
      <c r="AL57" s="74" t="s">
        <v>80</v>
      </c>
      <c r="AM57" s="74" t="s">
        <v>80</v>
      </c>
      <c r="AN57" s="73" t="s">
        <v>79</v>
      </c>
      <c r="AO57" s="74" t="s">
        <v>80</v>
      </c>
      <c r="AP57" s="74" t="s">
        <v>80</v>
      </c>
      <c r="AQ57" s="73" t="s">
        <v>79</v>
      </c>
      <c r="AR57" s="74" t="s">
        <v>80</v>
      </c>
      <c r="AS57" s="74" t="s">
        <v>80</v>
      </c>
      <c r="AT57" s="73" t="s">
        <v>79</v>
      </c>
      <c r="AU57" s="74" t="s">
        <v>80</v>
      </c>
      <c r="AV57" s="74" t="s">
        <v>80</v>
      </c>
      <c r="AW57" s="73" t="s">
        <v>79</v>
      </c>
      <c r="AX57" s="74" t="s">
        <v>80</v>
      </c>
      <c r="AY57" s="74" t="s">
        <v>80</v>
      </c>
      <c r="AZ57" s="75" t="s">
        <v>79</v>
      </c>
      <c r="BA57" s="74" t="s">
        <v>80</v>
      </c>
      <c r="BB57" s="74" t="s">
        <v>80</v>
      </c>
      <c r="BC57" s="75" t="s">
        <v>79</v>
      </c>
      <c r="BD57" s="74" t="s">
        <v>80</v>
      </c>
      <c r="BE57" s="74" t="s">
        <v>80</v>
      </c>
      <c r="BF57" s="75" t="s">
        <v>79</v>
      </c>
      <c r="BG57" s="74" t="s">
        <v>80</v>
      </c>
      <c r="BH57" s="74" t="s">
        <v>80</v>
      </c>
      <c r="BI57" s="75" t="s">
        <v>79</v>
      </c>
      <c r="BJ57" s="74" t="s">
        <v>80</v>
      </c>
      <c r="BK57" s="74" t="s">
        <v>80</v>
      </c>
      <c r="BL57" s="75" t="s">
        <v>79</v>
      </c>
      <c r="BM57" s="74" t="s">
        <v>80</v>
      </c>
      <c r="BN57" s="74" t="s">
        <v>80</v>
      </c>
      <c r="BO57" s="75" t="s">
        <v>79</v>
      </c>
      <c r="BP57" s="74" t="s">
        <v>80</v>
      </c>
      <c r="BQ57" s="74" t="s">
        <v>80</v>
      </c>
      <c r="BR57" s="75" t="s">
        <v>79</v>
      </c>
      <c r="BS57" s="74" t="s">
        <v>80</v>
      </c>
      <c r="BT57" s="74" t="s">
        <v>80</v>
      </c>
      <c r="BU57" s="75" t="s">
        <v>79</v>
      </c>
      <c r="BV57" s="74" t="s">
        <v>80</v>
      </c>
      <c r="BW57" s="74" t="s">
        <v>80</v>
      </c>
      <c r="BX57" s="75" t="s">
        <v>79</v>
      </c>
      <c r="BY57" s="74" t="s">
        <v>80</v>
      </c>
      <c r="BZ57" s="74" t="s">
        <v>80</v>
      </c>
      <c r="CA57" s="74" t="s">
        <v>52</v>
      </c>
      <c r="CB57" s="76">
        <v>2</v>
      </c>
      <c r="CC57" s="74">
        <v>10</v>
      </c>
      <c r="CD57" s="73" t="s">
        <v>112</v>
      </c>
    </row>
    <row r="58" spans="3:82" s="37" customFormat="1" x14ac:dyDescent="0.25">
      <c r="C58" s="73" t="s">
        <v>113</v>
      </c>
      <c r="D58" s="73" t="s">
        <v>79</v>
      </c>
      <c r="E58" s="73" t="s">
        <v>80</v>
      </c>
      <c r="F58" s="74" t="s">
        <v>80</v>
      </c>
      <c r="G58" s="73" t="s">
        <v>79</v>
      </c>
      <c r="H58" s="73" t="s">
        <v>80</v>
      </c>
      <c r="I58" s="74" t="s">
        <v>80</v>
      </c>
      <c r="J58" s="73" t="s">
        <v>79</v>
      </c>
      <c r="K58" s="73" t="s">
        <v>80</v>
      </c>
      <c r="L58" s="74" t="s">
        <v>80</v>
      </c>
      <c r="M58" s="73" t="s">
        <v>79</v>
      </c>
      <c r="N58" s="73" t="s">
        <v>80</v>
      </c>
      <c r="O58" s="74" t="s">
        <v>80</v>
      </c>
      <c r="P58" s="73" t="s">
        <v>79</v>
      </c>
      <c r="Q58" s="73" t="s">
        <v>80</v>
      </c>
      <c r="R58" s="74" t="s">
        <v>80</v>
      </c>
      <c r="S58" s="73" t="s">
        <v>79</v>
      </c>
      <c r="T58" s="74" t="s">
        <v>80</v>
      </c>
      <c r="U58" s="74" t="s">
        <v>80</v>
      </c>
      <c r="V58" s="73" t="s">
        <v>79</v>
      </c>
      <c r="W58" s="74" t="s">
        <v>80</v>
      </c>
      <c r="X58" s="74" t="s">
        <v>80</v>
      </c>
      <c r="Y58" s="73" t="s">
        <v>79</v>
      </c>
      <c r="Z58" s="74" t="s">
        <v>80</v>
      </c>
      <c r="AA58" s="74" t="s">
        <v>80</v>
      </c>
      <c r="AB58" s="73" t="s">
        <v>79</v>
      </c>
      <c r="AC58" s="74" t="s">
        <v>80</v>
      </c>
      <c r="AD58" s="74" t="s">
        <v>80</v>
      </c>
      <c r="AE58" s="73" t="s">
        <v>79</v>
      </c>
      <c r="AF58" s="74" t="s">
        <v>80</v>
      </c>
      <c r="AG58" s="74" t="s">
        <v>80</v>
      </c>
      <c r="AH58" s="73" t="s">
        <v>79</v>
      </c>
      <c r="AI58" s="74" t="s">
        <v>80</v>
      </c>
      <c r="AJ58" s="74" t="s">
        <v>80</v>
      </c>
      <c r="AK58" s="73" t="s">
        <v>79</v>
      </c>
      <c r="AL58" s="74" t="s">
        <v>80</v>
      </c>
      <c r="AM58" s="74" t="s">
        <v>80</v>
      </c>
      <c r="AN58" s="73" t="s">
        <v>79</v>
      </c>
      <c r="AO58" s="74" t="s">
        <v>80</v>
      </c>
      <c r="AP58" s="74" t="s">
        <v>80</v>
      </c>
      <c r="AQ58" s="73" t="s">
        <v>79</v>
      </c>
      <c r="AR58" s="74" t="s">
        <v>80</v>
      </c>
      <c r="AS58" s="74" t="s">
        <v>80</v>
      </c>
      <c r="AT58" s="73" t="s">
        <v>79</v>
      </c>
      <c r="AU58" s="74" t="s">
        <v>80</v>
      </c>
      <c r="AV58" s="74" t="s">
        <v>80</v>
      </c>
      <c r="AW58" s="73" t="s">
        <v>79</v>
      </c>
      <c r="AX58" s="74" t="s">
        <v>80</v>
      </c>
      <c r="AY58" s="74" t="s">
        <v>80</v>
      </c>
      <c r="AZ58" s="75" t="s">
        <v>79</v>
      </c>
      <c r="BA58" s="74" t="s">
        <v>80</v>
      </c>
      <c r="BB58" s="74" t="s">
        <v>80</v>
      </c>
      <c r="BC58" s="75" t="s">
        <v>79</v>
      </c>
      <c r="BD58" s="74" t="s">
        <v>80</v>
      </c>
      <c r="BE58" s="74" t="s">
        <v>80</v>
      </c>
      <c r="BF58" s="75" t="s">
        <v>79</v>
      </c>
      <c r="BG58" s="74" t="s">
        <v>80</v>
      </c>
      <c r="BH58" s="74" t="s">
        <v>80</v>
      </c>
      <c r="BI58" s="75" t="s">
        <v>79</v>
      </c>
      <c r="BJ58" s="74" t="s">
        <v>80</v>
      </c>
      <c r="BK58" s="74" t="s">
        <v>80</v>
      </c>
      <c r="BL58" s="75" t="s">
        <v>79</v>
      </c>
      <c r="BM58" s="74" t="s">
        <v>80</v>
      </c>
      <c r="BN58" s="74" t="s">
        <v>80</v>
      </c>
      <c r="BO58" s="75" t="s">
        <v>79</v>
      </c>
      <c r="BP58" s="74" t="s">
        <v>80</v>
      </c>
      <c r="BQ58" s="74" t="s">
        <v>80</v>
      </c>
      <c r="BR58" s="75" t="s">
        <v>79</v>
      </c>
      <c r="BS58" s="74" t="s">
        <v>80</v>
      </c>
      <c r="BT58" s="74" t="s">
        <v>80</v>
      </c>
      <c r="BU58" s="75" t="s">
        <v>79</v>
      </c>
      <c r="BV58" s="74" t="s">
        <v>80</v>
      </c>
      <c r="BW58" s="74" t="s">
        <v>80</v>
      </c>
      <c r="BX58" s="75" t="s">
        <v>79</v>
      </c>
      <c r="BY58" s="74" t="s">
        <v>80</v>
      </c>
      <c r="BZ58" s="74" t="s">
        <v>80</v>
      </c>
      <c r="CA58" s="74" t="s">
        <v>52</v>
      </c>
      <c r="CB58" s="76">
        <v>2</v>
      </c>
      <c r="CC58" s="74">
        <v>10</v>
      </c>
      <c r="CD58" s="73" t="s">
        <v>113</v>
      </c>
    </row>
    <row r="59" spans="3:82" s="37" customFormat="1" x14ac:dyDescent="0.25">
      <c r="C59" s="73" t="s">
        <v>114</v>
      </c>
      <c r="D59" s="73" t="s">
        <v>79</v>
      </c>
      <c r="E59" s="73" t="s">
        <v>80</v>
      </c>
      <c r="F59" s="74" t="s">
        <v>80</v>
      </c>
      <c r="G59" s="73" t="s">
        <v>79</v>
      </c>
      <c r="H59" s="73" t="s">
        <v>80</v>
      </c>
      <c r="I59" s="74" t="s">
        <v>80</v>
      </c>
      <c r="J59" s="73" t="s">
        <v>79</v>
      </c>
      <c r="K59" s="73" t="s">
        <v>80</v>
      </c>
      <c r="L59" s="74" t="s">
        <v>80</v>
      </c>
      <c r="M59" s="73" t="s">
        <v>79</v>
      </c>
      <c r="N59" s="73" t="s">
        <v>80</v>
      </c>
      <c r="O59" s="74" t="s">
        <v>80</v>
      </c>
      <c r="P59" s="73" t="s">
        <v>79</v>
      </c>
      <c r="Q59" s="73" t="s">
        <v>80</v>
      </c>
      <c r="R59" s="74" t="s">
        <v>80</v>
      </c>
      <c r="S59" s="73" t="s">
        <v>79</v>
      </c>
      <c r="T59" s="74" t="s">
        <v>80</v>
      </c>
      <c r="U59" s="74" t="s">
        <v>80</v>
      </c>
      <c r="V59" s="73" t="s">
        <v>79</v>
      </c>
      <c r="W59" s="74" t="s">
        <v>80</v>
      </c>
      <c r="X59" s="74" t="s">
        <v>80</v>
      </c>
      <c r="Y59" s="73" t="s">
        <v>79</v>
      </c>
      <c r="Z59" s="74" t="s">
        <v>80</v>
      </c>
      <c r="AA59" s="74" t="s">
        <v>80</v>
      </c>
      <c r="AB59" s="73" t="s">
        <v>79</v>
      </c>
      <c r="AC59" s="74" t="s">
        <v>80</v>
      </c>
      <c r="AD59" s="74" t="s">
        <v>80</v>
      </c>
      <c r="AE59" s="73" t="s">
        <v>79</v>
      </c>
      <c r="AF59" s="74" t="s">
        <v>80</v>
      </c>
      <c r="AG59" s="74" t="s">
        <v>80</v>
      </c>
      <c r="AH59" s="73" t="s">
        <v>79</v>
      </c>
      <c r="AI59" s="74" t="s">
        <v>80</v>
      </c>
      <c r="AJ59" s="74" t="s">
        <v>80</v>
      </c>
      <c r="AK59" s="73" t="s">
        <v>79</v>
      </c>
      <c r="AL59" s="74" t="s">
        <v>80</v>
      </c>
      <c r="AM59" s="74" t="s">
        <v>80</v>
      </c>
      <c r="AN59" s="73" t="s">
        <v>79</v>
      </c>
      <c r="AO59" s="74" t="s">
        <v>80</v>
      </c>
      <c r="AP59" s="74" t="s">
        <v>80</v>
      </c>
      <c r="AQ59" s="73" t="s">
        <v>79</v>
      </c>
      <c r="AR59" s="74" t="s">
        <v>80</v>
      </c>
      <c r="AS59" s="74" t="s">
        <v>80</v>
      </c>
      <c r="AT59" s="73" t="s">
        <v>79</v>
      </c>
      <c r="AU59" s="74" t="s">
        <v>80</v>
      </c>
      <c r="AV59" s="74" t="s">
        <v>80</v>
      </c>
      <c r="AW59" s="73" t="s">
        <v>79</v>
      </c>
      <c r="AX59" s="74" t="s">
        <v>80</v>
      </c>
      <c r="AY59" s="74" t="s">
        <v>80</v>
      </c>
      <c r="AZ59" s="75" t="s">
        <v>79</v>
      </c>
      <c r="BA59" s="74" t="s">
        <v>80</v>
      </c>
      <c r="BB59" s="74" t="s">
        <v>80</v>
      </c>
      <c r="BC59" s="75" t="s">
        <v>79</v>
      </c>
      <c r="BD59" s="74" t="s">
        <v>80</v>
      </c>
      <c r="BE59" s="74" t="s">
        <v>80</v>
      </c>
      <c r="BF59" s="75" t="s">
        <v>79</v>
      </c>
      <c r="BG59" s="74" t="s">
        <v>80</v>
      </c>
      <c r="BH59" s="74" t="s">
        <v>80</v>
      </c>
      <c r="BI59" s="75" t="s">
        <v>79</v>
      </c>
      <c r="BJ59" s="74" t="s">
        <v>80</v>
      </c>
      <c r="BK59" s="74" t="s">
        <v>80</v>
      </c>
      <c r="BL59" s="75" t="s">
        <v>79</v>
      </c>
      <c r="BM59" s="74" t="s">
        <v>80</v>
      </c>
      <c r="BN59" s="74" t="s">
        <v>80</v>
      </c>
      <c r="BO59" s="75" t="s">
        <v>79</v>
      </c>
      <c r="BP59" s="74" t="s">
        <v>80</v>
      </c>
      <c r="BQ59" s="74" t="s">
        <v>80</v>
      </c>
      <c r="BR59" s="75" t="s">
        <v>79</v>
      </c>
      <c r="BS59" s="74" t="s">
        <v>80</v>
      </c>
      <c r="BT59" s="74" t="s">
        <v>80</v>
      </c>
      <c r="BU59" s="75" t="s">
        <v>79</v>
      </c>
      <c r="BV59" s="74" t="s">
        <v>80</v>
      </c>
      <c r="BW59" s="74" t="s">
        <v>80</v>
      </c>
      <c r="BX59" s="75" t="s">
        <v>79</v>
      </c>
      <c r="BY59" s="74" t="s">
        <v>80</v>
      </c>
      <c r="BZ59" s="74" t="s">
        <v>80</v>
      </c>
      <c r="CA59" s="74" t="s">
        <v>52</v>
      </c>
      <c r="CB59" s="76">
        <v>2</v>
      </c>
      <c r="CC59" s="74">
        <v>10</v>
      </c>
      <c r="CD59" s="73" t="s">
        <v>114</v>
      </c>
    </row>
    <row r="60" spans="3:82" s="37" customFormat="1" x14ac:dyDescent="0.25">
      <c r="C60" s="73" t="s">
        <v>115</v>
      </c>
      <c r="D60" s="73" t="s">
        <v>79</v>
      </c>
      <c r="E60" s="73" t="s">
        <v>80</v>
      </c>
      <c r="F60" s="74" t="s">
        <v>80</v>
      </c>
      <c r="G60" s="73" t="s">
        <v>79</v>
      </c>
      <c r="H60" s="73" t="s">
        <v>80</v>
      </c>
      <c r="I60" s="74" t="s">
        <v>80</v>
      </c>
      <c r="J60" s="73" t="s">
        <v>79</v>
      </c>
      <c r="K60" s="73" t="s">
        <v>80</v>
      </c>
      <c r="L60" s="74" t="s">
        <v>80</v>
      </c>
      <c r="M60" s="73" t="s">
        <v>79</v>
      </c>
      <c r="N60" s="73" t="s">
        <v>80</v>
      </c>
      <c r="O60" s="74" t="s">
        <v>80</v>
      </c>
      <c r="P60" s="73" t="s">
        <v>79</v>
      </c>
      <c r="Q60" s="73" t="s">
        <v>80</v>
      </c>
      <c r="R60" s="74" t="s">
        <v>80</v>
      </c>
      <c r="S60" s="73" t="s">
        <v>79</v>
      </c>
      <c r="T60" s="74" t="s">
        <v>80</v>
      </c>
      <c r="U60" s="74" t="s">
        <v>80</v>
      </c>
      <c r="V60" s="73" t="s">
        <v>79</v>
      </c>
      <c r="W60" s="74" t="s">
        <v>80</v>
      </c>
      <c r="X60" s="74" t="s">
        <v>80</v>
      </c>
      <c r="Y60" s="73" t="s">
        <v>79</v>
      </c>
      <c r="Z60" s="74" t="s">
        <v>80</v>
      </c>
      <c r="AA60" s="74" t="s">
        <v>80</v>
      </c>
      <c r="AB60" s="73" t="s">
        <v>79</v>
      </c>
      <c r="AC60" s="74" t="s">
        <v>80</v>
      </c>
      <c r="AD60" s="74" t="s">
        <v>80</v>
      </c>
      <c r="AE60" s="73" t="s">
        <v>79</v>
      </c>
      <c r="AF60" s="74" t="s">
        <v>80</v>
      </c>
      <c r="AG60" s="74" t="s">
        <v>80</v>
      </c>
      <c r="AH60" s="73" t="s">
        <v>79</v>
      </c>
      <c r="AI60" s="74" t="s">
        <v>80</v>
      </c>
      <c r="AJ60" s="74" t="s">
        <v>80</v>
      </c>
      <c r="AK60" s="73" t="s">
        <v>79</v>
      </c>
      <c r="AL60" s="74" t="s">
        <v>80</v>
      </c>
      <c r="AM60" s="74" t="s">
        <v>80</v>
      </c>
      <c r="AN60" s="73" t="s">
        <v>79</v>
      </c>
      <c r="AO60" s="74" t="s">
        <v>80</v>
      </c>
      <c r="AP60" s="74" t="s">
        <v>80</v>
      </c>
      <c r="AQ60" s="73" t="s">
        <v>79</v>
      </c>
      <c r="AR60" s="74" t="s">
        <v>80</v>
      </c>
      <c r="AS60" s="74" t="s">
        <v>80</v>
      </c>
      <c r="AT60" s="73" t="s">
        <v>79</v>
      </c>
      <c r="AU60" s="74" t="s">
        <v>80</v>
      </c>
      <c r="AV60" s="74" t="s">
        <v>80</v>
      </c>
      <c r="AW60" s="73" t="s">
        <v>79</v>
      </c>
      <c r="AX60" s="74" t="s">
        <v>80</v>
      </c>
      <c r="AY60" s="74" t="s">
        <v>80</v>
      </c>
      <c r="AZ60" s="75" t="s">
        <v>79</v>
      </c>
      <c r="BA60" s="74" t="s">
        <v>80</v>
      </c>
      <c r="BB60" s="74" t="s">
        <v>80</v>
      </c>
      <c r="BC60" s="75" t="s">
        <v>79</v>
      </c>
      <c r="BD60" s="74" t="s">
        <v>80</v>
      </c>
      <c r="BE60" s="74" t="s">
        <v>80</v>
      </c>
      <c r="BF60" s="75" t="s">
        <v>79</v>
      </c>
      <c r="BG60" s="74" t="s">
        <v>80</v>
      </c>
      <c r="BH60" s="74" t="s">
        <v>80</v>
      </c>
      <c r="BI60" s="75" t="s">
        <v>79</v>
      </c>
      <c r="BJ60" s="74" t="s">
        <v>80</v>
      </c>
      <c r="BK60" s="74" t="s">
        <v>80</v>
      </c>
      <c r="BL60" s="75" t="s">
        <v>79</v>
      </c>
      <c r="BM60" s="74" t="s">
        <v>80</v>
      </c>
      <c r="BN60" s="74" t="s">
        <v>80</v>
      </c>
      <c r="BO60" s="75" t="s">
        <v>79</v>
      </c>
      <c r="BP60" s="74" t="s">
        <v>80</v>
      </c>
      <c r="BQ60" s="74" t="s">
        <v>80</v>
      </c>
      <c r="BR60" s="75" t="s">
        <v>79</v>
      </c>
      <c r="BS60" s="74" t="s">
        <v>80</v>
      </c>
      <c r="BT60" s="74" t="s">
        <v>80</v>
      </c>
      <c r="BU60" s="75" t="s">
        <v>79</v>
      </c>
      <c r="BV60" s="74" t="s">
        <v>80</v>
      </c>
      <c r="BW60" s="74" t="s">
        <v>80</v>
      </c>
      <c r="BX60" s="75" t="s">
        <v>79</v>
      </c>
      <c r="BY60" s="74" t="s">
        <v>80</v>
      </c>
      <c r="BZ60" s="74" t="s">
        <v>80</v>
      </c>
      <c r="CA60" s="74" t="s">
        <v>52</v>
      </c>
      <c r="CB60" s="76">
        <v>2</v>
      </c>
      <c r="CC60" s="74">
        <v>10</v>
      </c>
      <c r="CD60" s="73" t="s">
        <v>115</v>
      </c>
    </row>
    <row r="61" spans="3:82" s="35" customFormat="1" x14ac:dyDescent="0.25">
      <c r="C61" s="85" t="s">
        <v>116</v>
      </c>
      <c r="D61" s="85" t="s">
        <v>79</v>
      </c>
      <c r="E61" s="85" t="s">
        <v>80</v>
      </c>
      <c r="F61" s="86" t="s">
        <v>80</v>
      </c>
      <c r="G61" s="85" t="s">
        <v>79</v>
      </c>
      <c r="H61" s="85" t="s">
        <v>80</v>
      </c>
      <c r="I61" s="86" t="s">
        <v>80</v>
      </c>
      <c r="J61" s="85" t="s">
        <v>79</v>
      </c>
      <c r="K61" s="85" t="s">
        <v>80</v>
      </c>
      <c r="L61" s="86" t="s">
        <v>80</v>
      </c>
      <c r="M61" s="85" t="s">
        <v>79</v>
      </c>
      <c r="N61" s="85" t="s">
        <v>80</v>
      </c>
      <c r="O61" s="86" t="s">
        <v>80</v>
      </c>
      <c r="P61" s="85" t="s">
        <v>79</v>
      </c>
      <c r="Q61" s="85" t="s">
        <v>80</v>
      </c>
      <c r="R61" s="86" t="s">
        <v>80</v>
      </c>
      <c r="S61" s="85" t="s">
        <v>79</v>
      </c>
      <c r="T61" s="86" t="s">
        <v>80</v>
      </c>
      <c r="U61" s="86" t="s">
        <v>80</v>
      </c>
      <c r="V61" s="85" t="s">
        <v>79</v>
      </c>
      <c r="W61" s="86" t="s">
        <v>80</v>
      </c>
      <c r="X61" s="86" t="s">
        <v>80</v>
      </c>
      <c r="Y61" s="85" t="s">
        <v>79</v>
      </c>
      <c r="Z61" s="86" t="s">
        <v>80</v>
      </c>
      <c r="AA61" s="86" t="s">
        <v>80</v>
      </c>
      <c r="AB61" s="85" t="s">
        <v>79</v>
      </c>
      <c r="AC61" s="86" t="s">
        <v>80</v>
      </c>
      <c r="AD61" s="86" t="s">
        <v>80</v>
      </c>
      <c r="AE61" s="85" t="s">
        <v>79</v>
      </c>
      <c r="AF61" s="86" t="s">
        <v>80</v>
      </c>
      <c r="AG61" s="86" t="s">
        <v>80</v>
      </c>
      <c r="AH61" s="85" t="s">
        <v>79</v>
      </c>
      <c r="AI61" s="86" t="s">
        <v>80</v>
      </c>
      <c r="AJ61" s="86" t="s">
        <v>80</v>
      </c>
      <c r="AK61" s="85" t="s">
        <v>79</v>
      </c>
      <c r="AL61" s="86" t="s">
        <v>80</v>
      </c>
      <c r="AM61" s="86" t="s">
        <v>80</v>
      </c>
      <c r="AN61" s="85" t="s">
        <v>79</v>
      </c>
      <c r="AO61" s="86" t="s">
        <v>80</v>
      </c>
      <c r="AP61" s="86" t="s">
        <v>80</v>
      </c>
      <c r="AQ61" s="85" t="s">
        <v>79</v>
      </c>
      <c r="AR61" s="86" t="s">
        <v>80</v>
      </c>
      <c r="AS61" s="86" t="s">
        <v>80</v>
      </c>
      <c r="AT61" s="85" t="s">
        <v>79</v>
      </c>
      <c r="AU61" s="86" t="s">
        <v>80</v>
      </c>
      <c r="AV61" s="86" t="s">
        <v>80</v>
      </c>
      <c r="AW61" s="85" t="s">
        <v>79</v>
      </c>
      <c r="AX61" s="86" t="s">
        <v>80</v>
      </c>
      <c r="AY61" s="86" t="s">
        <v>80</v>
      </c>
      <c r="AZ61" s="87" t="s">
        <v>79</v>
      </c>
      <c r="BA61" s="86" t="s">
        <v>80</v>
      </c>
      <c r="BB61" s="86" t="s">
        <v>80</v>
      </c>
      <c r="BC61" s="87" t="s">
        <v>79</v>
      </c>
      <c r="BD61" s="86" t="s">
        <v>80</v>
      </c>
      <c r="BE61" s="86" t="s">
        <v>80</v>
      </c>
      <c r="BF61" s="87" t="s">
        <v>79</v>
      </c>
      <c r="BG61" s="86" t="s">
        <v>80</v>
      </c>
      <c r="BH61" s="86" t="s">
        <v>80</v>
      </c>
      <c r="BI61" s="87" t="s">
        <v>79</v>
      </c>
      <c r="BJ61" s="86" t="s">
        <v>80</v>
      </c>
      <c r="BK61" s="86" t="s">
        <v>80</v>
      </c>
      <c r="BL61" s="87" t="s">
        <v>79</v>
      </c>
      <c r="BM61" s="86" t="s">
        <v>80</v>
      </c>
      <c r="BN61" s="86" t="s">
        <v>80</v>
      </c>
      <c r="BO61" s="87" t="s">
        <v>79</v>
      </c>
      <c r="BP61" s="86" t="s">
        <v>80</v>
      </c>
      <c r="BQ61" s="86" t="s">
        <v>80</v>
      </c>
      <c r="BR61" s="87" t="s">
        <v>79</v>
      </c>
      <c r="BS61" s="86" t="s">
        <v>80</v>
      </c>
      <c r="BT61" s="86" t="s">
        <v>80</v>
      </c>
      <c r="BU61" s="87" t="s">
        <v>79</v>
      </c>
      <c r="BV61" s="86" t="s">
        <v>80</v>
      </c>
      <c r="BW61" s="86" t="s">
        <v>80</v>
      </c>
      <c r="BX61" s="87" t="s">
        <v>79</v>
      </c>
      <c r="BY61" s="86" t="s">
        <v>80</v>
      </c>
      <c r="BZ61" s="86" t="s">
        <v>80</v>
      </c>
      <c r="CA61" s="86" t="s">
        <v>127</v>
      </c>
      <c r="CB61" s="88">
        <v>0.34</v>
      </c>
      <c r="CC61" s="86">
        <v>10</v>
      </c>
      <c r="CD61" s="85" t="s">
        <v>116</v>
      </c>
    </row>
    <row r="62" spans="3:82" s="35" customFormat="1" x14ac:dyDescent="0.25">
      <c r="C62" s="85" t="s">
        <v>117</v>
      </c>
      <c r="D62" s="85" t="s">
        <v>79</v>
      </c>
      <c r="E62" s="85" t="s">
        <v>80</v>
      </c>
      <c r="F62" s="86" t="s">
        <v>80</v>
      </c>
      <c r="G62" s="85" t="s">
        <v>79</v>
      </c>
      <c r="H62" s="85" t="s">
        <v>80</v>
      </c>
      <c r="I62" s="86" t="s">
        <v>80</v>
      </c>
      <c r="J62" s="85" t="s">
        <v>79</v>
      </c>
      <c r="K62" s="85" t="s">
        <v>80</v>
      </c>
      <c r="L62" s="86" t="s">
        <v>80</v>
      </c>
      <c r="M62" s="85" t="s">
        <v>79</v>
      </c>
      <c r="N62" s="85" t="s">
        <v>80</v>
      </c>
      <c r="O62" s="86" t="s">
        <v>80</v>
      </c>
      <c r="P62" s="85" t="s">
        <v>79</v>
      </c>
      <c r="Q62" s="85" t="s">
        <v>80</v>
      </c>
      <c r="R62" s="86" t="s">
        <v>80</v>
      </c>
      <c r="S62" s="85" t="s">
        <v>79</v>
      </c>
      <c r="T62" s="86" t="s">
        <v>80</v>
      </c>
      <c r="U62" s="86" t="s">
        <v>80</v>
      </c>
      <c r="V62" s="85" t="s">
        <v>79</v>
      </c>
      <c r="W62" s="86" t="s">
        <v>80</v>
      </c>
      <c r="X62" s="86" t="s">
        <v>80</v>
      </c>
      <c r="Y62" s="85" t="s">
        <v>79</v>
      </c>
      <c r="Z62" s="86" t="s">
        <v>80</v>
      </c>
      <c r="AA62" s="86" t="s">
        <v>80</v>
      </c>
      <c r="AB62" s="85" t="s">
        <v>79</v>
      </c>
      <c r="AC62" s="86" t="s">
        <v>80</v>
      </c>
      <c r="AD62" s="86" t="s">
        <v>80</v>
      </c>
      <c r="AE62" s="85" t="s">
        <v>79</v>
      </c>
      <c r="AF62" s="86" t="s">
        <v>80</v>
      </c>
      <c r="AG62" s="86" t="s">
        <v>80</v>
      </c>
      <c r="AH62" s="85" t="s">
        <v>79</v>
      </c>
      <c r="AI62" s="86" t="s">
        <v>80</v>
      </c>
      <c r="AJ62" s="86" t="s">
        <v>80</v>
      </c>
      <c r="AK62" s="85" t="s">
        <v>79</v>
      </c>
      <c r="AL62" s="86" t="s">
        <v>80</v>
      </c>
      <c r="AM62" s="86" t="s">
        <v>80</v>
      </c>
      <c r="AN62" s="85" t="s">
        <v>79</v>
      </c>
      <c r="AO62" s="86" t="s">
        <v>80</v>
      </c>
      <c r="AP62" s="86" t="s">
        <v>80</v>
      </c>
      <c r="AQ62" s="85" t="s">
        <v>79</v>
      </c>
      <c r="AR62" s="86" t="s">
        <v>80</v>
      </c>
      <c r="AS62" s="86" t="s">
        <v>80</v>
      </c>
      <c r="AT62" s="85" t="s">
        <v>79</v>
      </c>
      <c r="AU62" s="86" t="s">
        <v>80</v>
      </c>
      <c r="AV62" s="86" t="s">
        <v>80</v>
      </c>
      <c r="AW62" s="85" t="s">
        <v>79</v>
      </c>
      <c r="AX62" s="86" t="s">
        <v>80</v>
      </c>
      <c r="AY62" s="86" t="s">
        <v>80</v>
      </c>
      <c r="AZ62" s="87" t="s">
        <v>79</v>
      </c>
      <c r="BA62" s="86" t="s">
        <v>80</v>
      </c>
      <c r="BB62" s="86" t="s">
        <v>80</v>
      </c>
      <c r="BC62" s="87" t="s">
        <v>79</v>
      </c>
      <c r="BD62" s="86" t="s">
        <v>80</v>
      </c>
      <c r="BE62" s="86" t="s">
        <v>80</v>
      </c>
      <c r="BF62" s="87" t="s">
        <v>79</v>
      </c>
      <c r="BG62" s="86" t="s">
        <v>80</v>
      </c>
      <c r="BH62" s="86" t="s">
        <v>80</v>
      </c>
      <c r="BI62" s="87" t="s">
        <v>79</v>
      </c>
      <c r="BJ62" s="86" t="s">
        <v>80</v>
      </c>
      <c r="BK62" s="86" t="s">
        <v>80</v>
      </c>
      <c r="BL62" s="87" t="s">
        <v>79</v>
      </c>
      <c r="BM62" s="86" t="s">
        <v>80</v>
      </c>
      <c r="BN62" s="86" t="s">
        <v>80</v>
      </c>
      <c r="BO62" s="87" t="s">
        <v>79</v>
      </c>
      <c r="BP62" s="86" t="s">
        <v>80</v>
      </c>
      <c r="BQ62" s="86" t="s">
        <v>80</v>
      </c>
      <c r="BR62" s="87" t="s">
        <v>79</v>
      </c>
      <c r="BS62" s="86" t="s">
        <v>80</v>
      </c>
      <c r="BT62" s="86" t="s">
        <v>80</v>
      </c>
      <c r="BU62" s="87" t="s">
        <v>79</v>
      </c>
      <c r="BV62" s="86" t="s">
        <v>80</v>
      </c>
      <c r="BW62" s="86" t="s">
        <v>80</v>
      </c>
      <c r="BX62" s="87" t="s">
        <v>79</v>
      </c>
      <c r="BY62" s="86" t="s">
        <v>80</v>
      </c>
      <c r="BZ62" s="86" t="s">
        <v>80</v>
      </c>
      <c r="CA62" s="86" t="s">
        <v>128</v>
      </c>
      <c r="CB62" s="88">
        <v>0.34</v>
      </c>
      <c r="CC62" s="86">
        <v>10</v>
      </c>
      <c r="CD62" s="85" t="s">
        <v>117</v>
      </c>
    </row>
    <row r="63" spans="3:82" s="33" customFormat="1" x14ac:dyDescent="0.25">
      <c r="C63" s="49" t="s">
        <v>118</v>
      </c>
      <c r="D63" s="49" t="s">
        <v>41</v>
      </c>
      <c r="E63" s="49" t="s">
        <v>80</v>
      </c>
      <c r="F63" s="50" t="s">
        <v>80</v>
      </c>
      <c r="G63" s="49" t="s">
        <v>41</v>
      </c>
      <c r="H63" s="49" t="s">
        <v>80</v>
      </c>
      <c r="I63" s="50" t="s">
        <v>80</v>
      </c>
      <c r="J63" s="49" t="s">
        <v>41</v>
      </c>
      <c r="K63" s="49" t="s">
        <v>80</v>
      </c>
      <c r="L63" s="50" t="s">
        <v>80</v>
      </c>
      <c r="M63" s="49" t="s">
        <v>41</v>
      </c>
      <c r="N63" s="49" t="s">
        <v>80</v>
      </c>
      <c r="O63" s="50" t="s">
        <v>80</v>
      </c>
      <c r="P63" s="49" t="s">
        <v>41</v>
      </c>
      <c r="Q63" s="49" t="s">
        <v>80</v>
      </c>
      <c r="R63" s="50" t="s">
        <v>80</v>
      </c>
      <c r="S63" s="49" t="s">
        <v>41</v>
      </c>
      <c r="T63" s="50" t="s">
        <v>80</v>
      </c>
      <c r="U63" s="50" t="s">
        <v>80</v>
      </c>
      <c r="V63" s="49" t="s">
        <v>41</v>
      </c>
      <c r="W63" s="50" t="s">
        <v>80</v>
      </c>
      <c r="X63" s="50" t="s">
        <v>80</v>
      </c>
      <c r="Y63" s="49" t="s">
        <v>41</v>
      </c>
      <c r="Z63" s="50" t="s">
        <v>80</v>
      </c>
      <c r="AA63" s="50" t="s">
        <v>80</v>
      </c>
      <c r="AB63" s="49" t="s">
        <v>41</v>
      </c>
      <c r="AC63" s="50" t="s">
        <v>80</v>
      </c>
      <c r="AD63" s="50" t="s">
        <v>80</v>
      </c>
      <c r="AE63" s="49" t="s">
        <v>41</v>
      </c>
      <c r="AF63" s="50" t="s">
        <v>80</v>
      </c>
      <c r="AG63" s="50" t="s">
        <v>80</v>
      </c>
      <c r="AH63" s="49" t="s">
        <v>41</v>
      </c>
      <c r="AI63" s="50" t="s">
        <v>80</v>
      </c>
      <c r="AJ63" s="50" t="s">
        <v>80</v>
      </c>
      <c r="AK63" s="49" t="s">
        <v>41</v>
      </c>
      <c r="AL63" s="50" t="s">
        <v>80</v>
      </c>
      <c r="AM63" s="50" t="s">
        <v>80</v>
      </c>
      <c r="AN63" s="49" t="s">
        <v>41</v>
      </c>
      <c r="AO63" s="50" t="s">
        <v>80</v>
      </c>
      <c r="AP63" s="50" t="s">
        <v>80</v>
      </c>
      <c r="AQ63" s="49" t="s">
        <v>41</v>
      </c>
      <c r="AR63" s="50" t="s">
        <v>80</v>
      </c>
      <c r="AS63" s="50" t="s">
        <v>80</v>
      </c>
      <c r="AT63" s="49" t="s">
        <v>41</v>
      </c>
      <c r="AU63" s="50" t="s">
        <v>80</v>
      </c>
      <c r="AV63" s="50" t="s">
        <v>80</v>
      </c>
      <c r="AW63" s="49" t="s">
        <v>41</v>
      </c>
      <c r="AX63" s="50" t="s">
        <v>80</v>
      </c>
      <c r="AY63" s="50" t="s">
        <v>80</v>
      </c>
      <c r="AZ63" s="51" t="s">
        <v>41</v>
      </c>
      <c r="BA63" s="50" t="s">
        <v>80</v>
      </c>
      <c r="BB63" s="50" t="s">
        <v>80</v>
      </c>
      <c r="BC63" s="51" t="s">
        <v>41</v>
      </c>
      <c r="BD63" s="50" t="s">
        <v>80</v>
      </c>
      <c r="BE63" s="50" t="s">
        <v>80</v>
      </c>
      <c r="BF63" s="51" t="s">
        <v>41</v>
      </c>
      <c r="BG63" s="50" t="s">
        <v>80</v>
      </c>
      <c r="BH63" s="50" t="s">
        <v>80</v>
      </c>
      <c r="BI63" s="51" t="s">
        <v>41</v>
      </c>
      <c r="BJ63" s="50" t="s">
        <v>80</v>
      </c>
      <c r="BK63" s="50" t="s">
        <v>80</v>
      </c>
      <c r="BL63" s="51" t="s">
        <v>41</v>
      </c>
      <c r="BM63" s="50" t="s">
        <v>80</v>
      </c>
      <c r="BN63" s="50" t="s">
        <v>80</v>
      </c>
      <c r="BO63" s="51" t="s">
        <v>41</v>
      </c>
      <c r="BP63" s="50" t="s">
        <v>80</v>
      </c>
      <c r="BQ63" s="50" t="s">
        <v>80</v>
      </c>
      <c r="BR63" s="51" t="s">
        <v>41</v>
      </c>
      <c r="BS63" s="50" t="s">
        <v>80</v>
      </c>
      <c r="BT63" s="50" t="s">
        <v>80</v>
      </c>
      <c r="BU63" s="51" t="s">
        <v>41</v>
      </c>
      <c r="BV63" s="50" t="s">
        <v>80</v>
      </c>
      <c r="BW63" s="50" t="s">
        <v>80</v>
      </c>
      <c r="BX63" s="51" t="s">
        <v>41</v>
      </c>
      <c r="BY63" s="50" t="s">
        <v>80</v>
      </c>
      <c r="BZ63" s="50" t="s">
        <v>80</v>
      </c>
      <c r="CA63" s="50" t="s">
        <v>55</v>
      </c>
      <c r="CB63" s="52">
        <v>7.85</v>
      </c>
      <c r="CC63" s="50">
        <v>4</v>
      </c>
      <c r="CD63" s="49" t="s">
        <v>118</v>
      </c>
    </row>
    <row r="64" spans="3:82" s="38" customFormat="1" x14ac:dyDescent="0.25">
      <c r="C64" s="97" t="s">
        <v>119</v>
      </c>
      <c r="D64" s="97" t="s">
        <v>41</v>
      </c>
      <c r="E64" s="97" t="s">
        <v>80</v>
      </c>
      <c r="F64" s="98" t="s">
        <v>80</v>
      </c>
      <c r="G64" s="97" t="s">
        <v>41</v>
      </c>
      <c r="H64" s="97" t="s">
        <v>80</v>
      </c>
      <c r="I64" s="98" t="s">
        <v>80</v>
      </c>
      <c r="J64" s="97" t="s">
        <v>41</v>
      </c>
      <c r="K64" s="97" t="s">
        <v>80</v>
      </c>
      <c r="L64" s="98" t="s">
        <v>80</v>
      </c>
      <c r="M64" s="97" t="s">
        <v>41</v>
      </c>
      <c r="N64" s="97" t="s">
        <v>80</v>
      </c>
      <c r="O64" s="98" t="s">
        <v>80</v>
      </c>
      <c r="P64" s="97" t="s">
        <v>41</v>
      </c>
      <c r="Q64" s="97" t="s">
        <v>80</v>
      </c>
      <c r="R64" s="98" t="s">
        <v>80</v>
      </c>
      <c r="S64" s="97" t="s">
        <v>41</v>
      </c>
      <c r="T64" s="98" t="s">
        <v>80</v>
      </c>
      <c r="U64" s="98" t="s">
        <v>80</v>
      </c>
      <c r="V64" s="97" t="s">
        <v>41</v>
      </c>
      <c r="W64" s="98" t="s">
        <v>80</v>
      </c>
      <c r="X64" s="98" t="s">
        <v>80</v>
      </c>
      <c r="Y64" s="97" t="s">
        <v>41</v>
      </c>
      <c r="Z64" s="98" t="s">
        <v>80</v>
      </c>
      <c r="AA64" s="98" t="s">
        <v>80</v>
      </c>
      <c r="AB64" s="97" t="s">
        <v>41</v>
      </c>
      <c r="AC64" s="98" t="s">
        <v>80</v>
      </c>
      <c r="AD64" s="98" t="s">
        <v>80</v>
      </c>
      <c r="AE64" s="97" t="s">
        <v>41</v>
      </c>
      <c r="AF64" s="98" t="s">
        <v>80</v>
      </c>
      <c r="AG64" s="98" t="s">
        <v>80</v>
      </c>
      <c r="AH64" s="97" t="s">
        <v>41</v>
      </c>
      <c r="AI64" s="98" t="s">
        <v>80</v>
      </c>
      <c r="AJ64" s="98" t="s">
        <v>80</v>
      </c>
      <c r="AK64" s="97" t="s">
        <v>41</v>
      </c>
      <c r="AL64" s="98" t="s">
        <v>80</v>
      </c>
      <c r="AM64" s="98" t="s">
        <v>80</v>
      </c>
      <c r="AN64" s="97" t="s">
        <v>41</v>
      </c>
      <c r="AO64" s="98" t="s">
        <v>80</v>
      </c>
      <c r="AP64" s="98" t="s">
        <v>80</v>
      </c>
      <c r="AQ64" s="97" t="s">
        <v>41</v>
      </c>
      <c r="AR64" s="98" t="s">
        <v>80</v>
      </c>
      <c r="AS64" s="98" t="s">
        <v>80</v>
      </c>
      <c r="AT64" s="97" t="s">
        <v>41</v>
      </c>
      <c r="AU64" s="98" t="s">
        <v>80</v>
      </c>
      <c r="AV64" s="98" t="s">
        <v>80</v>
      </c>
      <c r="AW64" s="97" t="s">
        <v>41</v>
      </c>
      <c r="AX64" s="98" t="s">
        <v>80</v>
      </c>
      <c r="AY64" s="98" t="s">
        <v>80</v>
      </c>
      <c r="AZ64" s="99" t="s">
        <v>41</v>
      </c>
      <c r="BA64" s="98" t="s">
        <v>80</v>
      </c>
      <c r="BB64" s="98" t="s">
        <v>80</v>
      </c>
      <c r="BC64" s="99" t="s">
        <v>41</v>
      </c>
      <c r="BD64" s="98" t="s">
        <v>80</v>
      </c>
      <c r="BE64" s="98" t="s">
        <v>80</v>
      </c>
      <c r="BF64" s="99" t="s">
        <v>41</v>
      </c>
      <c r="BG64" s="98" t="s">
        <v>80</v>
      </c>
      <c r="BH64" s="98" t="s">
        <v>80</v>
      </c>
      <c r="BI64" s="99" t="s">
        <v>41</v>
      </c>
      <c r="BJ64" s="98" t="s">
        <v>80</v>
      </c>
      <c r="BK64" s="98" t="s">
        <v>80</v>
      </c>
      <c r="BL64" s="99" t="s">
        <v>41</v>
      </c>
      <c r="BM64" s="98" t="s">
        <v>80</v>
      </c>
      <c r="BN64" s="98" t="s">
        <v>80</v>
      </c>
      <c r="BO64" s="99" t="s">
        <v>41</v>
      </c>
      <c r="BP64" s="98" t="s">
        <v>80</v>
      </c>
      <c r="BQ64" s="98" t="s">
        <v>80</v>
      </c>
      <c r="BR64" s="99" t="s">
        <v>41</v>
      </c>
      <c r="BS64" s="98" t="s">
        <v>80</v>
      </c>
      <c r="BT64" s="98" t="s">
        <v>80</v>
      </c>
      <c r="BU64" s="99" t="s">
        <v>41</v>
      </c>
      <c r="BV64" s="98" t="s">
        <v>80</v>
      </c>
      <c r="BW64" s="98" t="s">
        <v>80</v>
      </c>
      <c r="BX64" s="99" t="s">
        <v>41</v>
      </c>
      <c r="BY64" s="98" t="s">
        <v>80</v>
      </c>
      <c r="BZ64" s="98" t="s">
        <v>80</v>
      </c>
      <c r="CA64" s="98" t="s">
        <v>129</v>
      </c>
      <c r="CB64" s="100">
        <v>2.33</v>
      </c>
      <c r="CC64" s="98">
        <v>4</v>
      </c>
      <c r="CD64" s="97" t="s">
        <v>119</v>
      </c>
    </row>
    <row r="65" spans="3:82" s="38" customFormat="1" x14ac:dyDescent="0.25">
      <c r="C65" s="97" t="s">
        <v>120</v>
      </c>
      <c r="D65" s="97" t="s">
        <v>79</v>
      </c>
      <c r="E65" s="97" t="s">
        <v>80</v>
      </c>
      <c r="F65" s="98" t="s">
        <v>80</v>
      </c>
      <c r="G65" s="97" t="s">
        <v>79</v>
      </c>
      <c r="H65" s="97" t="s">
        <v>80</v>
      </c>
      <c r="I65" s="98" t="s">
        <v>80</v>
      </c>
      <c r="J65" s="97" t="s">
        <v>79</v>
      </c>
      <c r="K65" s="97" t="s">
        <v>80</v>
      </c>
      <c r="L65" s="98" t="s">
        <v>80</v>
      </c>
      <c r="M65" s="97" t="s">
        <v>79</v>
      </c>
      <c r="N65" s="97" t="s">
        <v>80</v>
      </c>
      <c r="O65" s="98" t="s">
        <v>80</v>
      </c>
      <c r="P65" s="97" t="s">
        <v>79</v>
      </c>
      <c r="Q65" s="97" t="s">
        <v>80</v>
      </c>
      <c r="R65" s="98" t="s">
        <v>80</v>
      </c>
      <c r="S65" s="97" t="s">
        <v>79</v>
      </c>
      <c r="T65" s="98" t="s">
        <v>80</v>
      </c>
      <c r="U65" s="98" t="s">
        <v>80</v>
      </c>
      <c r="V65" s="97" t="s">
        <v>79</v>
      </c>
      <c r="W65" s="98" t="s">
        <v>80</v>
      </c>
      <c r="X65" s="98" t="s">
        <v>80</v>
      </c>
      <c r="Y65" s="97" t="s">
        <v>79</v>
      </c>
      <c r="Z65" s="98" t="s">
        <v>80</v>
      </c>
      <c r="AA65" s="98" t="s">
        <v>80</v>
      </c>
      <c r="AB65" s="97" t="s">
        <v>79</v>
      </c>
      <c r="AC65" s="98" t="s">
        <v>80</v>
      </c>
      <c r="AD65" s="98" t="s">
        <v>80</v>
      </c>
      <c r="AE65" s="97" t="s">
        <v>79</v>
      </c>
      <c r="AF65" s="98" t="s">
        <v>80</v>
      </c>
      <c r="AG65" s="98" t="s">
        <v>80</v>
      </c>
      <c r="AH65" s="97" t="s">
        <v>79</v>
      </c>
      <c r="AI65" s="98" t="s">
        <v>80</v>
      </c>
      <c r="AJ65" s="98" t="s">
        <v>80</v>
      </c>
      <c r="AK65" s="97" t="s">
        <v>79</v>
      </c>
      <c r="AL65" s="98" t="s">
        <v>80</v>
      </c>
      <c r="AM65" s="98" t="s">
        <v>80</v>
      </c>
      <c r="AN65" s="97" t="s">
        <v>79</v>
      </c>
      <c r="AO65" s="98" t="s">
        <v>80</v>
      </c>
      <c r="AP65" s="98" t="s">
        <v>80</v>
      </c>
      <c r="AQ65" s="97" t="s">
        <v>79</v>
      </c>
      <c r="AR65" s="98" t="s">
        <v>80</v>
      </c>
      <c r="AS65" s="98" t="s">
        <v>80</v>
      </c>
      <c r="AT65" s="97" t="s">
        <v>79</v>
      </c>
      <c r="AU65" s="98" t="s">
        <v>80</v>
      </c>
      <c r="AV65" s="98" t="s">
        <v>80</v>
      </c>
      <c r="AW65" s="97" t="s">
        <v>79</v>
      </c>
      <c r="AX65" s="98" t="s">
        <v>80</v>
      </c>
      <c r="AY65" s="98" t="s">
        <v>80</v>
      </c>
      <c r="AZ65" s="99" t="s">
        <v>79</v>
      </c>
      <c r="BA65" s="98" t="s">
        <v>80</v>
      </c>
      <c r="BB65" s="98" t="s">
        <v>80</v>
      </c>
      <c r="BC65" s="99" t="s">
        <v>79</v>
      </c>
      <c r="BD65" s="98" t="s">
        <v>80</v>
      </c>
      <c r="BE65" s="98" t="s">
        <v>80</v>
      </c>
      <c r="BF65" s="99" t="s">
        <v>79</v>
      </c>
      <c r="BG65" s="98" t="s">
        <v>80</v>
      </c>
      <c r="BH65" s="98" t="s">
        <v>80</v>
      </c>
      <c r="BI65" s="99" t="s">
        <v>79</v>
      </c>
      <c r="BJ65" s="98" t="s">
        <v>80</v>
      </c>
      <c r="BK65" s="98" t="s">
        <v>80</v>
      </c>
      <c r="BL65" s="99" t="s">
        <v>79</v>
      </c>
      <c r="BM65" s="98" t="s">
        <v>80</v>
      </c>
      <c r="BN65" s="98" t="s">
        <v>80</v>
      </c>
      <c r="BO65" s="99" t="s">
        <v>79</v>
      </c>
      <c r="BP65" s="98" t="s">
        <v>80</v>
      </c>
      <c r="BQ65" s="98" t="s">
        <v>80</v>
      </c>
      <c r="BR65" s="99" t="s">
        <v>79</v>
      </c>
      <c r="BS65" s="98" t="s">
        <v>80</v>
      </c>
      <c r="BT65" s="98" t="s">
        <v>80</v>
      </c>
      <c r="BU65" s="99" t="s">
        <v>79</v>
      </c>
      <c r="BV65" s="98" t="s">
        <v>80</v>
      </c>
      <c r="BW65" s="98" t="s">
        <v>80</v>
      </c>
      <c r="BX65" s="99" t="s">
        <v>79</v>
      </c>
      <c r="BY65" s="98" t="s">
        <v>80</v>
      </c>
      <c r="BZ65" s="98" t="s">
        <v>80</v>
      </c>
      <c r="CA65" s="98" t="s">
        <v>129</v>
      </c>
      <c r="CB65" s="100">
        <v>2.33</v>
      </c>
      <c r="CC65" s="98">
        <v>4</v>
      </c>
      <c r="CD65" s="97" t="s">
        <v>120</v>
      </c>
    </row>
    <row r="66" spans="3:82" s="38" customFormat="1" x14ac:dyDescent="0.25">
      <c r="C66" s="97" t="s">
        <v>121</v>
      </c>
      <c r="D66" s="97" t="s">
        <v>41</v>
      </c>
      <c r="E66" s="97" t="s">
        <v>80</v>
      </c>
      <c r="F66" s="98" t="s">
        <v>80</v>
      </c>
      <c r="G66" s="97" t="s">
        <v>41</v>
      </c>
      <c r="H66" s="97" t="s">
        <v>80</v>
      </c>
      <c r="I66" s="98" t="s">
        <v>80</v>
      </c>
      <c r="J66" s="97" t="s">
        <v>41</v>
      </c>
      <c r="K66" s="97" t="s">
        <v>80</v>
      </c>
      <c r="L66" s="98" t="s">
        <v>80</v>
      </c>
      <c r="M66" s="97" t="s">
        <v>41</v>
      </c>
      <c r="N66" s="97" t="s">
        <v>80</v>
      </c>
      <c r="O66" s="98" t="s">
        <v>80</v>
      </c>
      <c r="P66" s="97" t="s">
        <v>41</v>
      </c>
      <c r="Q66" s="97" t="s">
        <v>80</v>
      </c>
      <c r="R66" s="98" t="s">
        <v>80</v>
      </c>
      <c r="S66" s="97" t="s">
        <v>41</v>
      </c>
      <c r="T66" s="98" t="s">
        <v>80</v>
      </c>
      <c r="U66" s="98" t="s">
        <v>80</v>
      </c>
      <c r="V66" s="97" t="s">
        <v>41</v>
      </c>
      <c r="W66" s="98" t="s">
        <v>80</v>
      </c>
      <c r="X66" s="98" t="s">
        <v>80</v>
      </c>
      <c r="Y66" s="97" t="s">
        <v>41</v>
      </c>
      <c r="Z66" s="98" t="s">
        <v>80</v>
      </c>
      <c r="AA66" s="98" t="s">
        <v>80</v>
      </c>
      <c r="AB66" s="97" t="s">
        <v>41</v>
      </c>
      <c r="AC66" s="98" t="s">
        <v>80</v>
      </c>
      <c r="AD66" s="98" t="s">
        <v>80</v>
      </c>
      <c r="AE66" s="97" t="s">
        <v>41</v>
      </c>
      <c r="AF66" s="98" t="s">
        <v>80</v>
      </c>
      <c r="AG66" s="98" t="s">
        <v>80</v>
      </c>
      <c r="AH66" s="97" t="s">
        <v>41</v>
      </c>
      <c r="AI66" s="98" t="s">
        <v>80</v>
      </c>
      <c r="AJ66" s="98" t="s">
        <v>80</v>
      </c>
      <c r="AK66" s="97" t="s">
        <v>41</v>
      </c>
      <c r="AL66" s="98" t="s">
        <v>80</v>
      </c>
      <c r="AM66" s="98" t="s">
        <v>80</v>
      </c>
      <c r="AN66" s="97" t="s">
        <v>41</v>
      </c>
      <c r="AO66" s="98" t="s">
        <v>80</v>
      </c>
      <c r="AP66" s="98" t="s">
        <v>80</v>
      </c>
      <c r="AQ66" s="97" t="s">
        <v>41</v>
      </c>
      <c r="AR66" s="98" t="s">
        <v>80</v>
      </c>
      <c r="AS66" s="98" t="s">
        <v>80</v>
      </c>
      <c r="AT66" s="97" t="s">
        <v>41</v>
      </c>
      <c r="AU66" s="98" t="s">
        <v>80</v>
      </c>
      <c r="AV66" s="98" t="s">
        <v>80</v>
      </c>
      <c r="AW66" s="97" t="s">
        <v>41</v>
      </c>
      <c r="AX66" s="98" t="s">
        <v>80</v>
      </c>
      <c r="AY66" s="98" t="s">
        <v>80</v>
      </c>
      <c r="AZ66" s="99" t="s">
        <v>41</v>
      </c>
      <c r="BA66" s="98" t="s">
        <v>80</v>
      </c>
      <c r="BB66" s="98" t="s">
        <v>80</v>
      </c>
      <c r="BC66" s="99" t="s">
        <v>41</v>
      </c>
      <c r="BD66" s="98" t="s">
        <v>80</v>
      </c>
      <c r="BE66" s="98" t="s">
        <v>80</v>
      </c>
      <c r="BF66" s="99" t="s">
        <v>41</v>
      </c>
      <c r="BG66" s="98" t="s">
        <v>80</v>
      </c>
      <c r="BH66" s="98" t="s">
        <v>80</v>
      </c>
      <c r="BI66" s="99" t="s">
        <v>41</v>
      </c>
      <c r="BJ66" s="98" t="s">
        <v>80</v>
      </c>
      <c r="BK66" s="98" t="s">
        <v>80</v>
      </c>
      <c r="BL66" s="99" t="s">
        <v>41</v>
      </c>
      <c r="BM66" s="98" t="s">
        <v>80</v>
      </c>
      <c r="BN66" s="98" t="s">
        <v>80</v>
      </c>
      <c r="BO66" s="99" t="s">
        <v>41</v>
      </c>
      <c r="BP66" s="98" t="s">
        <v>80</v>
      </c>
      <c r="BQ66" s="98" t="s">
        <v>80</v>
      </c>
      <c r="BR66" s="99" t="s">
        <v>41</v>
      </c>
      <c r="BS66" s="98" t="s">
        <v>80</v>
      </c>
      <c r="BT66" s="98" t="s">
        <v>80</v>
      </c>
      <c r="BU66" s="99" t="s">
        <v>41</v>
      </c>
      <c r="BV66" s="98" t="s">
        <v>80</v>
      </c>
      <c r="BW66" s="98" t="s">
        <v>80</v>
      </c>
      <c r="BX66" s="99" t="s">
        <v>41</v>
      </c>
      <c r="BY66" s="98" t="s">
        <v>80</v>
      </c>
      <c r="BZ66" s="98" t="s">
        <v>80</v>
      </c>
      <c r="CA66" s="98" t="s">
        <v>129</v>
      </c>
      <c r="CB66" s="100">
        <v>2.33</v>
      </c>
      <c r="CC66" s="98">
        <v>4</v>
      </c>
      <c r="CD66" s="97" t="s">
        <v>121</v>
      </c>
    </row>
    <row r="67" spans="3:82" s="38" customFormat="1" x14ac:dyDescent="0.25">
      <c r="C67" s="97" t="s">
        <v>122</v>
      </c>
      <c r="D67" s="97" t="s">
        <v>79</v>
      </c>
      <c r="E67" s="97" t="s">
        <v>80</v>
      </c>
      <c r="F67" s="98" t="s">
        <v>80</v>
      </c>
      <c r="G67" s="97" t="s">
        <v>79</v>
      </c>
      <c r="H67" s="97" t="s">
        <v>80</v>
      </c>
      <c r="I67" s="98" t="s">
        <v>80</v>
      </c>
      <c r="J67" s="97" t="s">
        <v>79</v>
      </c>
      <c r="K67" s="97" t="s">
        <v>80</v>
      </c>
      <c r="L67" s="98" t="s">
        <v>80</v>
      </c>
      <c r="M67" s="97" t="s">
        <v>79</v>
      </c>
      <c r="N67" s="97" t="s">
        <v>80</v>
      </c>
      <c r="O67" s="98" t="s">
        <v>80</v>
      </c>
      <c r="P67" s="97" t="s">
        <v>79</v>
      </c>
      <c r="Q67" s="97" t="s">
        <v>80</v>
      </c>
      <c r="R67" s="98" t="s">
        <v>80</v>
      </c>
      <c r="S67" s="97" t="s">
        <v>79</v>
      </c>
      <c r="T67" s="98" t="s">
        <v>80</v>
      </c>
      <c r="U67" s="98" t="s">
        <v>80</v>
      </c>
      <c r="V67" s="97" t="s">
        <v>79</v>
      </c>
      <c r="W67" s="98" t="s">
        <v>80</v>
      </c>
      <c r="X67" s="98" t="s">
        <v>80</v>
      </c>
      <c r="Y67" s="97" t="s">
        <v>79</v>
      </c>
      <c r="Z67" s="98" t="s">
        <v>80</v>
      </c>
      <c r="AA67" s="98" t="s">
        <v>80</v>
      </c>
      <c r="AB67" s="97" t="s">
        <v>79</v>
      </c>
      <c r="AC67" s="98" t="s">
        <v>80</v>
      </c>
      <c r="AD67" s="98" t="s">
        <v>80</v>
      </c>
      <c r="AE67" s="97" t="s">
        <v>79</v>
      </c>
      <c r="AF67" s="98" t="s">
        <v>80</v>
      </c>
      <c r="AG67" s="98" t="s">
        <v>80</v>
      </c>
      <c r="AH67" s="97" t="s">
        <v>79</v>
      </c>
      <c r="AI67" s="98" t="s">
        <v>80</v>
      </c>
      <c r="AJ67" s="98" t="s">
        <v>80</v>
      </c>
      <c r="AK67" s="97" t="s">
        <v>79</v>
      </c>
      <c r="AL67" s="98" t="s">
        <v>80</v>
      </c>
      <c r="AM67" s="98" t="s">
        <v>80</v>
      </c>
      <c r="AN67" s="97" t="s">
        <v>79</v>
      </c>
      <c r="AO67" s="98" t="s">
        <v>80</v>
      </c>
      <c r="AP67" s="98" t="s">
        <v>80</v>
      </c>
      <c r="AQ67" s="97" t="s">
        <v>79</v>
      </c>
      <c r="AR67" s="98" t="s">
        <v>80</v>
      </c>
      <c r="AS67" s="98" t="s">
        <v>80</v>
      </c>
      <c r="AT67" s="97" t="s">
        <v>79</v>
      </c>
      <c r="AU67" s="98" t="s">
        <v>80</v>
      </c>
      <c r="AV67" s="98" t="s">
        <v>80</v>
      </c>
      <c r="AW67" s="97" t="s">
        <v>79</v>
      </c>
      <c r="AX67" s="98" t="s">
        <v>80</v>
      </c>
      <c r="AY67" s="98" t="s">
        <v>80</v>
      </c>
      <c r="AZ67" s="99" t="s">
        <v>79</v>
      </c>
      <c r="BA67" s="98" t="s">
        <v>80</v>
      </c>
      <c r="BB67" s="98" t="s">
        <v>80</v>
      </c>
      <c r="BC67" s="99" t="s">
        <v>79</v>
      </c>
      <c r="BD67" s="98" t="s">
        <v>80</v>
      </c>
      <c r="BE67" s="98" t="s">
        <v>80</v>
      </c>
      <c r="BF67" s="99" t="s">
        <v>79</v>
      </c>
      <c r="BG67" s="98" t="s">
        <v>80</v>
      </c>
      <c r="BH67" s="98" t="s">
        <v>80</v>
      </c>
      <c r="BI67" s="99" t="s">
        <v>79</v>
      </c>
      <c r="BJ67" s="98" t="s">
        <v>80</v>
      </c>
      <c r="BK67" s="98" t="s">
        <v>80</v>
      </c>
      <c r="BL67" s="99" t="s">
        <v>79</v>
      </c>
      <c r="BM67" s="98" t="s">
        <v>80</v>
      </c>
      <c r="BN67" s="98" t="s">
        <v>80</v>
      </c>
      <c r="BO67" s="99" t="s">
        <v>79</v>
      </c>
      <c r="BP67" s="98" t="s">
        <v>80</v>
      </c>
      <c r="BQ67" s="98" t="s">
        <v>80</v>
      </c>
      <c r="BR67" s="99" t="s">
        <v>79</v>
      </c>
      <c r="BS67" s="98" t="s">
        <v>80</v>
      </c>
      <c r="BT67" s="98" t="s">
        <v>80</v>
      </c>
      <c r="BU67" s="99" t="s">
        <v>79</v>
      </c>
      <c r="BV67" s="98" t="s">
        <v>80</v>
      </c>
      <c r="BW67" s="98" t="s">
        <v>80</v>
      </c>
      <c r="BX67" s="99" t="s">
        <v>79</v>
      </c>
      <c r="BY67" s="98" t="s">
        <v>80</v>
      </c>
      <c r="BZ67" s="98" t="s">
        <v>80</v>
      </c>
      <c r="CA67" s="98" t="s">
        <v>129</v>
      </c>
      <c r="CB67" s="100">
        <v>2.33</v>
      </c>
      <c r="CC67" s="98">
        <v>4</v>
      </c>
      <c r="CD67" s="97" t="s">
        <v>122</v>
      </c>
    </row>
    <row r="68" spans="3:82" s="39" customFormat="1" x14ac:dyDescent="0.25">
      <c r="C68" s="65" t="s">
        <v>123</v>
      </c>
      <c r="D68" s="65" t="s">
        <v>41</v>
      </c>
      <c r="E68" s="65" t="s">
        <v>80</v>
      </c>
      <c r="F68" s="66" t="s">
        <v>80</v>
      </c>
      <c r="G68" s="65" t="s">
        <v>41</v>
      </c>
      <c r="H68" s="65" t="s">
        <v>80</v>
      </c>
      <c r="I68" s="66" t="s">
        <v>80</v>
      </c>
      <c r="J68" s="65" t="s">
        <v>41</v>
      </c>
      <c r="K68" s="65" t="s">
        <v>80</v>
      </c>
      <c r="L68" s="66" t="s">
        <v>80</v>
      </c>
      <c r="M68" s="65" t="s">
        <v>41</v>
      </c>
      <c r="N68" s="65" t="s">
        <v>80</v>
      </c>
      <c r="O68" s="66" t="s">
        <v>80</v>
      </c>
      <c r="P68" s="65" t="s">
        <v>41</v>
      </c>
      <c r="Q68" s="65" t="s">
        <v>80</v>
      </c>
      <c r="R68" s="66" t="s">
        <v>80</v>
      </c>
      <c r="S68" s="65" t="s">
        <v>41</v>
      </c>
      <c r="T68" s="66" t="s">
        <v>80</v>
      </c>
      <c r="U68" s="66" t="s">
        <v>80</v>
      </c>
      <c r="V68" s="65" t="s">
        <v>41</v>
      </c>
      <c r="W68" s="66" t="s">
        <v>80</v>
      </c>
      <c r="X68" s="66" t="s">
        <v>80</v>
      </c>
      <c r="Y68" s="65" t="s">
        <v>41</v>
      </c>
      <c r="Z68" s="66" t="s">
        <v>80</v>
      </c>
      <c r="AA68" s="66" t="s">
        <v>80</v>
      </c>
      <c r="AB68" s="65" t="s">
        <v>41</v>
      </c>
      <c r="AC68" s="66" t="s">
        <v>80</v>
      </c>
      <c r="AD68" s="66" t="s">
        <v>80</v>
      </c>
      <c r="AE68" s="65" t="s">
        <v>41</v>
      </c>
      <c r="AF68" s="66" t="s">
        <v>80</v>
      </c>
      <c r="AG68" s="66" t="s">
        <v>80</v>
      </c>
      <c r="AH68" s="65" t="s">
        <v>41</v>
      </c>
      <c r="AI68" s="66" t="s">
        <v>80</v>
      </c>
      <c r="AJ68" s="66" t="s">
        <v>80</v>
      </c>
      <c r="AK68" s="65" t="s">
        <v>41</v>
      </c>
      <c r="AL68" s="66" t="s">
        <v>80</v>
      </c>
      <c r="AM68" s="66" t="s">
        <v>80</v>
      </c>
      <c r="AN68" s="65" t="s">
        <v>41</v>
      </c>
      <c r="AO68" s="66" t="s">
        <v>80</v>
      </c>
      <c r="AP68" s="66" t="s">
        <v>80</v>
      </c>
      <c r="AQ68" s="65" t="s">
        <v>41</v>
      </c>
      <c r="AR68" s="66" t="s">
        <v>80</v>
      </c>
      <c r="AS68" s="66" t="s">
        <v>80</v>
      </c>
      <c r="AT68" s="65" t="s">
        <v>41</v>
      </c>
      <c r="AU68" s="66" t="s">
        <v>80</v>
      </c>
      <c r="AV68" s="66" t="s">
        <v>80</v>
      </c>
      <c r="AW68" s="65" t="s">
        <v>41</v>
      </c>
      <c r="AX68" s="66" t="s">
        <v>80</v>
      </c>
      <c r="AY68" s="66" t="s">
        <v>80</v>
      </c>
      <c r="AZ68" s="67" t="s">
        <v>41</v>
      </c>
      <c r="BA68" s="66" t="s">
        <v>80</v>
      </c>
      <c r="BB68" s="66" t="s">
        <v>80</v>
      </c>
      <c r="BC68" s="67" t="s">
        <v>41</v>
      </c>
      <c r="BD68" s="66" t="s">
        <v>80</v>
      </c>
      <c r="BE68" s="66" t="s">
        <v>80</v>
      </c>
      <c r="BF68" s="67" t="s">
        <v>41</v>
      </c>
      <c r="BG68" s="66" t="s">
        <v>80</v>
      </c>
      <c r="BH68" s="66" t="s">
        <v>80</v>
      </c>
      <c r="BI68" s="67" t="s">
        <v>41</v>
      </c>
      <c r="BJ68" s="66" t="s">
        <v>80</v>
      </c>
      <c r="BK68" s="66" t="s">
        <v>80</v>
      </c>
      <c r="BL68" s="67" t="s">
        <v>41</v>
      </c>
      <c r="BM68" s="66" t="s">
        <v>80</v>
      </c>
      <c r="BN68" s="66" t="s">
        <v>80</v>
      </c>
      <c r="BO68" s="67" t="s">
        <v>41</v>
      </c>
      <c r="BP68" s="66" t="s">
        <v>80</v>
      </c>
      <c r="BQ68" s="66" t="s">
        <v>80</v>
      </c>
      <c r="BR68" s="67" t="s">
        <v>41</v>
      </c>
      <c r="BS68" s="66" t="s">
        <v>80</v>
      </c>
      <c r="BT68" s="66" t="s">
        <v>80</v>
      </c>
      <c r="BU68" s="67" t="s">
        <v>41</v>
      </c>
      <c r="BV68" s="66" t="s">
        <v>80</v>
      </c>
      <c r="BW68" s="66" t="s">
        <v>80</v>
      </c>
      <c r="BX68" s="67" t="s">
        <v>41</v>
      </c>
      <c r="BY68" s="66" t="s">
        <v>80</v>
      </c>
      <c r="BZ68" s="66" t="s">
        <v>80</v>
      </c>
      <c r="CA68" s="66" t="s">
        <v>55</v>
      </c>
      <c r="CB68" s="68">
        <v>1.1200000000000001</v>
      </c>
      <c r="CC68" s="66">
        <v>4</v>
      </c>
      <c r="CD68" s="65" t="s">
        <v>123</v>
      </c>
    </row>
    <row r="69" spans="3:82" s="39" customFormat="1" x14ac:dyDescent="0.25">
      <c r="C69" s="65" t="s">
        <v>124</v>
      </c>
      <c r="D69" s="65" t="s">
        <v>79</v>
      </c>
      <c r="E69" s="65" t="s">
        <v>80</v>
      </c>
      <c r="F69" s="66" t="s">
        <v>80</v>
      </c>
      <c r="G69" s="65" t="s">
        <v>79</v>
      </c>
      <c r="H69" s="65" t="s">
        <v>80</v>
      </c>
      <c r="I69" s="66" t="s">
        <v>80</v>
      </c>
      <c r="J69" s="65" t="s">
        <v>79</v>
      </c>
      <c r="K69" s="65" t="s">
        <v>80</v>
      </c>
      <c r="L69" s="66" t="s">
        <v>80</v>
      </c>
      <c r="M69" s="65" t="s">
        <v>79</v>
      </c>
      <c r="N69" s="65" t="s">
        <v>80</v>
      </c>
      <c r="O69" s="66" t="s">
        <v>80</v>
      </c>
      <c r="P69" s="65" t="s">
        <v>79</v>
      </c>
      <c r="Q69" s="65" t="s">
        <v>80</v>
      </c>
      <c r="R69" s="66" t="s">
        <v>80</v>
      </c>
      <c r="S69" s="65" t="s">
        <v>79</v>
      </c>
      <c r="T69" s="66" t="s">
        <v>80</v>
      </c>
      <c r="U69" s="66" t="s">
        <v>80</v>
      </c>
      <c r="V69" s="65" t="s">
        <v>79</v>
      </c>
      <c r="W69" s="66" t="s">
        <v>80</v>
      </c>
      <c r="X69" s="66" t="s">
        <v>80</v>
      </c>
      <c r="Y69" s="65" t="s">
        <v>79</v>
      </c>
      <c r="Z69" s="66" t="s">
        <v>80</v>
      </c>
      <c r="AA69" s="66" t="s">
        <v>80</v>
      </c>
      <c r="AB69" s="65" t="s">
        <v>79</v>
      </c>
      <c r="AC69" s="66" t="s">
        <v>80</v>
      </c>
      <c r="AD69" s="66" t="s">
        <v>80</v>
      </c>
      <c r="AE69" s="65" t="s">
        <v>79</v>
      </c>
      <c r="AF69" s="66" t="s">
        <v>80</v>
      </c>
      <c r="AG69" s="66" t="s">
        <v>80</v>
      </c>
      <c r="AH69" s="65" t="s">
        <v>79</v>
      </c>
      <c r="AI69" s="66" t="s">
        <v>80</v>
      </c>
      <c r="AJ69" s="66" t="s">
        <v>80</v>
      </c>
      <c r="AK69" s="65" t="s">
        <v>79</v>
      </c>
      <c r="AL69" s="66" t="s">
        <v>80</v>
      </c>
      <c r="AM69" s="66" t="s">
        <v>80</v>
      </c>
      <c r="AN69" s="65" t="s">
        <v>79</v>
      </c>
      <c r="AO69" s="66" t="s">
        <v>80</v>
      </c>
      <c r="AP69" s="66" t="s">
        <v>80</v>
      </c>
      <c r="AQ69" s="65" t="s">
        <v>79</v>
      </c>
      <c r="AR69" s="66" t="s">
        <v>80</v>
      </c>
      <c r="AS69" s="66" t="s">
        <v>80</v>
      </c>
      <c r="AT69" s="65" t="s">
        <v>79</v>
      </c>
      <c r="AU69" s="66" t="s">
        <v>80</v>
      </c>
      <c r="AV69" s="66" t="s">
        <v>80</v>
      </c>
      <c r="AW69" s="65" t="s">
        <v>79</v>
      </c>
      <c r="AX69" s="66" t="s">
        <v>80</v>
      </c>
      <c r="AY69" s="66" t="s">
        <v>80</v>
      </c>
      <c r="AZ69" s="67" t="s">
        <v>79</v>
      </c>
      <c r="BA69" s="66" t="s">
        <v>80</v>
      </c>
      <c r="BB69" s="66" t="s">
        <v>80</v>
      </c>
      <c r="BC69" s="67" t="s">
        <v>79</v>
      </c>
      <c r="BD69" s="66" t="s">
        <v>80</v>
      </c>
      <c r="BE69" s="66" t="s">
        <v>80</v>
      </c>
      <c r="BF69" s="67" t="s">
        <v>79</v>
      </c>
      <c r="BG69" s="66" t="s">
        <v>80</v>
      </c>
      <c r="BH69" s="66" t="s">
        <v>80</v>
      </c>
      <c r="BI69" s="67" t="s">
        <v>79</v>
      </c>
      <c r="BJ69" s="66" t="s">
        <v>80</v>
      </c>
      <c r="BK69" s="66" t="s">
        <v>80</v>
      </c>
      <c r="BL69" s="67" t="s">
        <v>79</v>
      </c>
      <c r="BM69" s="66" t="s">
        <v>80</v>
      </c>
      <c r="BN69" s="66" t="s">
        <v>80</v>
      </c>
      <c r="BO69" s="67" t="s">
        <v>79</v>
      </c>
      <c r="BP69" s="66" t="s">
        <v>80</v>
      </c>
      <c r="BQ69" s="66" t="s">
        <v>80</v>
      </c>
      <c r="BR69" s="67" t="s">
        <v>79</v>
      </c>
      <c r="BS69" s="66" t="s">
        <v>80</v>
      </c>
      <c r="BT69" s="66" t="s">
        <v>80</v>
      </c>
      <c r="BU69" s="67" t="s">
        <v>79</v>
      </c>
      <c r="BV69" s="66" t="s">
        <v>80</v>
      </c>
      <c r="BW69" s="66" t="s">
        <v>80</v>
      </c>
      <c r="BX69" s="67" t="s">
        <v>79</v>
      </c>
      <c r="BY69" s="66" t="s">
        <v>80</v>
      </c>
      <c r="BZ69" s="66" t="s">
        <v>80</v>
      </c>
      <c r="CA69" s="66" t="s">
        <v>55</v>
      </c>
      <c r="CB69" s="68">
        <v>1.1200000000000001</v>
      </c>
      <c r="CC69" s="66">
        <v>4</v>
      </c>
      <c r="CD69" s="65" t="s">
        <v>124</v>
      </c>
    </row>
    <row r="70" spans="3:82" s="39" customFormat="1" x14ac:dyDescent="0.25">
      <c r="C70" s="65" t="s">
        <v>125</v>
      </c>
      <c r="D70" s="65" t="s">
        <v>79</v>
      </c>
      <c r="E70" s="65" t="s">
        <v>80</v>
      </c>
      <c r="F70" s="66" t="s">
        <v>80</v>
      </c>
      <c r="G70" s="65" t="s">
        <v>79</v>
      </c>
      <c r="H70" s="65" t="s">
        <v>80</v>
      </c>
      <c r="I70" s="66" t="s">
        <v>80</v>
      </c>
      <c r="J70" s="65" t="s">
        <v>79</v>
      </c>
      <c r="K70" s="65" t="s">
        <v>80</v>
      </c>
      <c r="L70" s="66" t="s">
        <v>80</v>
      </c>
      <c r="M70" s="65" t="s">
        <v>79</v>
      </c>
      <c r="N70" s="65" t="s">
        <v>80</v>
      </c>
      <c r="O70" s="66" t="s">
        <v>80</v>
      </c>
      <c r="P70" s="65" t="s">
        <v>79</v>
      </c>
      <c r="Q70" s="65" t="s">
        <v>80</v>
      </c>
      <c r="R70" s="66" t="s">
        <v>80</v>
      </c>
      <c r="S70" s="65" t="s">
        <v>79</v>
      </c>
      <c r="T70" s="66" t="s">
        <v>80</v>
      </c>
      <c r="U70" s="66" t="s">
        <v>80</v>
      </c>
      <c r="V70" s="65" t="s">
        <v>79</v>
      </c>
      <c r="W70" s="66" t="s">
        <v>80</v>
      </c>
      <c r="X70" s="66" t="s">
        <v>80</v>
      </c>
      <c r="Y70" s="65" t="s">
        <v>79</v>
      </c>
      <c r="Z70" s="66" t="s">
        <v>80</v>
      </c>
      <c r="AA70" s="66" t="s">
        <v>80</v>
      </c>
      <c r="AB70" s="65" t="s">
        <v>79</v>
      </c>
      <c r="AC70" s="66" t="s">
        <v>80</v>
      </c>
      <c r="AD70" s="66" t="s">
        <v>80</v>
      </c>
      <c r="AE70" s="65" t="s">
        <v>79</v>
      </c>
      <c r="AF70" s="66" t="s">
        <v>80</v>
      </c>
      <c r="AG70" s="66" t="s">
        <v>80</v>
      </c>
      <c r="AH70" s="65" t="s">
        <v>79</v>
      </c>
      <c r="AI70" s="66" t="s">
        <v>80</v>
      </c>
      <c r="AJ70" s="66" t="s">
        <v>80</v>
      </c>
      <c r="AK70" s="65" t="s">
        <v>79</v>
      </c>
      <c r="AL70" s="66" t="s">
        <v>80</v>
      </c>
      <c r="AM70" s="66" t="s">
        <v>80</v>
      </c>
      <c r="AN70" s="65" t="s">
        <v>79</v>
      </c>
      <c r="AO70" s="66" t="s">
        <v>80</v>
      </c>
      <c r="AP70" s="66" t="s">
        <v>80</v>
      </c>
      <c r="AQ70" s="65" t="s">
        <v>79</v>
      </c>
      <c r="AR70" s="66" t="s">
        <v>80</v>
      </c>
      <c r="AS70" s="66" t="s">
        <v>80</v>
      </c>
      <c r="AT70" s="65" t="s">
        <v>79</v>
      </c>
      <c r="AU70" s="66" t="s">
        <v>80</v>
      </c>
      <c r="AV70" s="66" t="s">
        <v>80</v>
      </c>
      <c r="AW70" s="65" t="s">
        <v>79</v>
      </c>
      <c r="AX70" s="66" t="s">
        <v>80</v>
      </c>
      <c r="AY70" s="66" t="s">
        <v>80</v>
      </c>
      <c r="AZ70" s="67" t="s">
        <v>79</v>
      </c>
      <c r="BA70" s="66" t="s">
        <v>80</v>
      </c>
      <c r="BB70" s="66" t="s">
        <v>80</v>
      </c>
      <c r="BC70" s="67" t="s">
        <v>79</v>
      </c>
      <c r="BD70" s="66" t="s">
        <v>80</v>
      </c>
      <c r="BE70" s="66" t="s">
        <v>80</v>
      </c>
      <c r="BF70" s="67" t="s">
        <v>79</v>
      </c>
      <c r="BG70" s="66" t="s">
        <v>80</v>
      </c>
      <c r="BH70" s="66" t="s">
        <v>80</v>
      </c>
      <c r="BI70" s="67" t="s">
        <v>79</v>
      </c>
      <c r="BJ70" s="66" t="s">
        <v>80</v>
      </c>
      <c r="BK70" s="66" t="s">
        <v>80</v>
      </c>
      <c r="BL70" s="67" t="s">
        <v>79</v>
      </c>
      <c r="BM70" s="66" t="s">
        <v>80</v>
      </c>
      <c r="BN70" s="66" t="s">
        <v>80</v>
      </c>
      <c r="BO70" s="67" t="s">
        <v>79</v>
      </c>
      <c r="BP70" s="66" t="s">
        <v>80</v>
      </c>
      <c r="BQ70" s="66" t="s">
        <v>80</v>
      </c>
      <c r="BR70" s="67" t="s">
        <v>79</v>
      </c>
      <c r="BS70" s="66" t="s">
        <v>80</v>
      </c>
      <c r="BT70" s="66" t="s">
        <v>80</v>
      </c>
      <c r="BU70" s="67" t="s">
        <v>79</v>
      </c>
      <c r="BV70" s="66" t="s">
        <v>80</v>
      </c>
      <c r="BW70" s="66" t="s">
        <v>80</v>
      </c>
      <c r="BX70" s="67" t="s">
        <v>79</v>
      </c>
      <c r="BY70" s="66" t="s">
        <v>80</v>
      </c>
      <c r="BZ70" s="66" t="s">
        <v>80</v>
      </c>
      <c r="CA70" s="66" t="s">
        <v>55</v>
      </c>
      <c r="CB70" s="68">
        <v>1.1200000000000001</v>
      </c>
      <c r="CC70" s="66">
        <v>4</v>
      </c>
      <c r="CD70" s="65" t="s">
        <v>125</v>
      </c>
    </row>
  </sheetData>
  <sortState ref="CF14:CG21">
    <sortCondition ref="CF14"/>
  </sortState>
  <mergeCells count="32">
    <mergeCell ref="CC6:CC7"/>
    <mergeCell ref="CD6:CD7"/>
    <mergeCell ref="BC6:BE6"/>
    <mergeCell ref="BF6:BH6"/>
    <mergeCell ref="BI6:BK6"/>
    <mergeCell ref="BL6:BN6"/>
    <mergeCell ref="BO6:BQ6"/>
    <mergeCell ref="BR6:BT6"/>
    <mergeCell ref="BU6:BW6"/>
    <mergeCell ref="BX6:BZ6"/>
    <mergeCell ref="CA6:CA7"/>
    <mergeCell ref="AE6:AG6"/>
    <mergeCell ref="AH6:AJ6"/>
    <mergeCell ref="AK6:AM6"/>
    <mergeCell ref="AN6:AP6"/>
    <mergeCell ref="CB6:CB7"/>
    <mergeCell ref="C4:CD4"/>
    <mergeCell ref="C5:CD5"/>
    <mergeCell ref="AQ6:AS6"/>
    <mergeCell ref="AT6:AV6"/>
    <mergeCell ref="AW6:AY6"/>
    <mergeCell ref="AZ6:BB6"/>
    <mergeCell ref="C6:C7"/>
    <mergeCell ref="D6:F6"/>
    <mergeCell ref="G6:I6"/>
    <mergeCell ref="J6:L6"/>
    <mergeCell ref="M6:O6"/>
    <mergeCell ref="P6:R6"/>
    <mergeCell ref="S6:U6"/>
    <mergeCell ref="V6:X6"/>
    <mergeCell ref="Y6:AA6"/>
    <mergeCell ref="AB6:AD6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CB87"/>
  <sheetViews>
    <sheetView tabSelected="1" topLeftCell="B41" zoomScaleNormal="100" workbookViewId="0">
      <selection activeCell="BZ43" sqref="BZ43"/>
    </sheetView>
  </sheetViews>
  <sheetFormatPr defaultRowHeight="15" x14ac:dyDescent="0.25"/>
  <cols>
    <col min="2" max="2" width="5.7109375" customWidth="1"/>
    <col min="3" max="4" width="16.7109375" hidden="1" customWidth="1"/>
    <col min="5" max="7" width="11.7109375" hidden="1" customWidth="1"/>
    <col min="8" max="12" width="15.7109375" hidden="1" customWidth="1"/>
    <col min="13" max="14" width="15.7109375" style="120" hidden="1" customWidth="1"/>
    <col min="15" max="27" width="15.7109375" hidden="1" customWidth="1"/>
    <col min="28" max="29" width="15.7109375" style="17" hidden="1" customWidth="1"/>
    <col min="30" max="54" width="15.7109375" hidden="1" customWidth="1"/>
    <col min="55" max="57" width="15.7109375" style="32" hidden="1" customWidth="1"/>
    <col min="58" max="59" width="15.7109375" style="110" hidden="1" customWidth="1"/>
    <col min="60" max="62" width="13.7109375" hidden="1" customWidth="1"/>
    <col min="63" max="64" width="15.7109375" style="120" hidden="1" customWidth="1"/>
    <col min="65" max="67" width="13.7109375" hidden="1" customWidth="1"/>
    <col min="68" max="69" width="15.7109375" style="110" customWidth="1"/>
    <col min="70" max="72" width="13.7109375" customWidth="1"/>
    <col min="73" max="74" width="15.7109375" style="110" customWidth="1"/>
    <col min="75" max="77" width="13.7109375" customWidth="1"/>
    <col min="78" max="78" width="5.7109375" customWidth="1"/>
  </cols>
  <sheetData>
    <row r="3" spans="2:80" x14ac:dyDescent="0.25"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110"/>
      <c r="N3" s="110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H3" s="32"/>
      <c r="BI3" s="32"/>
      <c r="BJ3" s="32"/>
      <c r="BK3" s="110"/>
      <c r="BL3" s="110"/>
      <c r="BM3" s="32"/>
      <c r="BN3" s="32"/>
      <c r="BO3" s="32"/>
      <c r="BR3" s="32"/>
      <c r="BS3" s="32"/>
      <c r="BT3" s="32"/>
      <c r="BW3" s="32"/>
      <c r="BX3" s="32"/>
      <c r="BY3" s="32"/>
      <c r="BZ3" s="32"/>
    </row>
    <row r="4" spans="2:80" x14ac:dyDescent="0.25">
      <c r="B4" s="188" t="s">
        <v>164</v>
      </c>
      <c r="C4" s="188"/>
      <c r="D4" s="188"/>
      <c r="E4" s="188"/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8"/>
      <c r="Q4" s="188"/>
      <c r="R4" s="188"/>
      <c r="S4" s="188"/>
      <c r="T4" s="188"/>
      <c r="U4" s="188"/>
      <c r="V4" s="188"/>
      <c r="W4" s="188"/>
      <c r="X4" s="188"/>
      <c r="Y4" s="188"/>
      <c r="Z4" s="188"/>
      <c r="AA4" s="188"/>
      <c r="AB4" s="188"/>
      <c r="AC4" s="188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8"/>
      <c r="AP4" s="188"/>
      <c r="AQ4" s="188"/>
      <c r="AR4" s="188"/>
      <c r="AS4" s="188"/>
      <c r="AT4" s="188"/>
      <c r="AU4" s="188"/>
      <c r="AV4" s="188"/>
      <c r="AW4" s="188"/>
      <c r="AX4" s="188"/>
      <c r="AY4" s="188"/>
      <c r="AZ4" s="188"/>
      <c r="BA4" s="188"/>
      <c r="BB4" s="188"/>
      <c r="BC4" s="188"/>
      <c r="BD4" s="188"/>
      <c r="BE4" s="188"/>
      <c r="BF4" s="188"/>
      <c r="BG4" s="188"/>
      <c r="BH4" s="188"/>
      <c r="BI4" s="188"/>
      <c r="BJ4" s="188"/>
      <c r="BK4" s="188"/>
      <c r="BL4" s="188"/>
      <c r="BM4" s="188"/>
      <c r="BN4" s="188"/>
      <c r="BO4" s="188"/>
      <c r="BP4" s="188"/>
      <c r="BQ4" s="188"/>
      <c r="BR4" s="188"/>
      <c r="BS4" s="188"/>
      <c r="BT4" s="188"/>
      <c r="BU4" s="188"/>
      <c r="BV4" s="188"/>
      <c r="BW4" s="188"/>
      <c r="BX4" s="188"/>
      <c r="BY4" s="188"/>
      <c r="BZ4" s="188"/>
    </row>
    <row r="5" spans="2:80" ht="15.75" x14ac:dyDescent="0.25">
      <c r="B5" s="195" t="s">
        <v>146</v>
      </c>
      <c r="C5" s="195"/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5"/>
      <c r="X5" s="195"/>
      <c r="Y5" s="195"/>
      <c r="Z5" s="195"/>
      <c r="AA5" s="195"/>
      <c r="AB5" s="195"/>
      <c r="AC5" s="195"/>
      <c r="AD5" s="195"/>
      <c r="AE5" s="195"/>
      <c r="AF5" s="195"/>
      <c r="AG5" s="195"/>
      <c r="AH5" s="195"/>
      <c r="AI5" s="195"/>
      <c r="AJ5" s="195"/>
      <c r="AK5" s="195"/>
      <c r="AL5" s="195"/>
      <c r="AM5" s="195"/>
      <c r="AN5" s="195"/>
      <c r="AO5" s="195"/>
      <c r="AP5" s="195"/>
      <c r="AQ5" s="195"/>
      <c r="AR5" s="195"/>
      <c r="AS5" s="195"/>
      <c r="AT5" s="195"/>
      <c r="AU5" s="195"/>
      <c r="AV5" s="195"/>
      <c r="AW5" s="195"/>
      <c r="AX5" s="195"/>
      <c r="AY5" s="195"/>
      <c r="AZ5" s="195"/>
      <c r="BA5" s="195"/>
      <c r="BB5" s="195"/>
      <c r="BC5" s="195"/>
      <c r="BD5" s="195"/>
      <c r="BE5" s="195"/>
      <c r="BF5" s="195"/>
      <c r="BG5" s="195"/>
      <c r="BH5" s="195"/>
      <c r="BI5" s="195"/>
      <c r="BJ5" s="195"/>
      <c r="BK5" s="195"/>
      <c r="BL5" s="195"/>
      <c r="BM5" s="195"/>
      <c r="BN5" s="195"/>
      <c r="BO5" s="195"/>
      <c r="BP5" s="195"/>
      <c r="BQ5" s="195"/>
      <c r="BR5" s="195"/>
      <c r="BS5" s="195"/>
      <c r="BT5" s="195"/>
      <c r="BU5" s="195"/>
      <c r="BV5" s="195"/>
      <c r="BW5" s="195"/>
      <c r="BX5" s="195"/>
      <c r="BY5" s="195"/>
      <c r="BZ5" s="195"/>
    </row>
    <row r="6" spans="2:80" s="111" customFormat="1" ht="15.75" x14ac:dyDescent="0.25">
      <c r="B6" s="196" t="s">
        <v>147</v>
      </c>
      <c r="C6" s="196"/>
      <c r="D6" s="196"/>
      <c r="E6" s="196"/>
      <c r="F6" s="196"/>
      <c r="G6" s="196"/>
      <c r="H6" s="196"/>
      <c r="I6" s="196"/>
      <c r="J6" s="196"/>
      <c r="K6" s="196"/>
      <c r="L6" s="196"/>
      <c r="M6" s="196"/>
      <c r="N6" s="196"/>
      <c r="O6" s="196"/>
      <c r="P6" s="196"/>
      <c r="Q6" s="196"/>
      <c r="R6" s="196"/>
      <c r="S6" s="196"/>
      <c r="T6" s="196"/>
      <c r="U6" s="196"/>
      <c r="V6" s="196"/>
      <c r="W6" s="196"/>
      <c r="X6" s="196"/>
      <c r="Y6" s="196"/>
      <c r="Z6" s="196"/>
      <c r="AA6" s="196"/>
      <c r="AB6" s="196"/>
      <c r="AC6" s="196"/>
      <c r="AD6" s="196"/>
      <c r="AE6" s="196"/>
      <c r="AF6" s="196"/>
      <c r="AG6" s="196"/>
      <c r="AH6" s="196"/>
      <c r="AI6" s="196"/>
      <c r="AJ6" s="196"/>
      <c r="AK6" s="196"/>
      <c r="AL6" s="196"/>
      <c r="AM6" s="196"/>
      <c r="AN6" s="196"/>
      <c r="AO6" s="196"/>
      <c r="AP6" s="196"/>
      <c r="AQ6" s="196"/>
      <c r="AR6" s="196"/>
      <c r="AS6" s="196"/>
      <c r="AT6" s="196"/>
      <c r="AU6" s="196"/>
      <c r="AV6" s="196"/>
      <c r="AW6" s="196"/>
      <c r="AX6" s="196"/>
      <c r="AY6" s="196"/>
      <c r="AZ6" s="196"/>
      <c r="BA6" s="196"/>
      <c r="BB6" s="196"/>
      <c r="BC6" s="196"/>
      <c r="BD6" s="196"/>
      <c r="BE6" s="196"/>
      <c r="BF6" s="196"/>
      <c r="BG6" s="196"/>
      <c r="BH6" s="196"/>
      <c r="BI6" s="196"/>
      <c r="BJ6" s="196"/>
      <c r="BK6" s="196"/>
      <c r="BL6" s="196"/>
      <c r="BM6" s="196"/>
      <c r="BN6" s="196"/>
      <c r="BO6" s="196"/>
      <c r="BP6" s="196"/>
      <c r="BQ6" s="196"/>
      <c r="BR6" s="196"/>
      <c r="BS6" s="196"/>
      <c r="BT6" s="196"/>
      <c r="BU6" s="196"/>
      <c r="BV6" s="196"/>
      <c r="BW6" s="196"/>
      <c r="BX6" s="196"/>
      <c r="BY6" s="196"/>
      <c r="BZ6" s="196"/>
    </row>
    <row r="7" spans="2:80" hidden="1" x14ac:dyDescent="0.25"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110"/>
      <c r="N7" s="110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H7" s="32"/>
      <c r="BI7" s="32"/>
      <c r="BJ7" s="32"/>
      <c r="BK7" s="110"/>
      <c r="BL7" s="110"/>
      <c r="BM7" s="32"/>
      <c r="BN7" s="32"/>
      <c r="BO7" s="32"/>
      <c r="BR7" s="32"/>
      <c r="BS7" s="32"/>
      <c r="BT7" s="32"/>
      <c r="BW7" s="32"/>
      <c r="BX7" s="32"/>
      <c r="BY7" s="32"/>
      <c r="BZ7" s="32"/>
    </row>
    <row r="8" spans="2:80" ht="30" customHeight="1" x14ac:dyDescent="0.25">
      <c r="B8" s="197" t="s">
        <v>44</v>
      </c>
      <c r="C8" s="199" t="s">
        <v>148</v>
      </c>
      <c r="D8" s="200"/>
      <c r="E8" s="199" t="s">
        <v>149</v>
      </c>
      <c r="F8" s="201"/>
      <c r="G8" s="200"/>
      <c r="H8" s="199" t="s">
        <v>157</v>
      </c>
      <c r="I8" s="200"/>
      <c r="J8" s="199" t="s">
        <v>150</v>
      </c>
      <c r="K8" s="201"/>
      <c r="L8" s="200"/>
      <c r="M8" s="191" t="s">
        <v>158</v>
      </c>
      <c r="N8" s="192"/>
      <c r="O8" s="199" t="s">
        <v>151</v>
      </c>
      <c r="P8" s="201"/>
      <c r="Q8" s="200"/>
      <c r="R8" s="191" t="s">
        <v>161</v>
      </c>
      <c r="S8" s="192"/>
      <c r="T8" s="199" t="s">
        <v>159</v>
      </c>
      <c r="U8" s="201"/>
      <c r="V8" s="200"/>
      <c r="W8" s="191" t="s">
        <v>162</v>
      </c>
      <c r="X8" s="192"/>
      <c r="Y8" s="199" t="s">
        <v>160</v>
      </c>
      <c r="Z8" s="201"/>
      <c r="AA8" s="200"/>
      <c r="AB8" s="202" t="s">
        <v>165</v>
      </c>
      <c r="AC8" s="203"/>
      <c r="AD8" s="199" t="s">
        <v>166</v>
      </c>
      <c r="AE8" s="201"/>
      <c r="AF8" s="200"/>
      <c r="AG8" s="191" t="s">
        <v>167</v>
      </c>
      <c r="AH8" s="192"/>
      <c r="AI8" s="199" t="s">
        <v>168</v>
      </c>
      <c r="AJ8" s="201"/>
      <c r="AK8" s="200"/>
      <c r="AL8" s="191" t="s">
        <v>170</v>
      </c>
      <c r="AM8" s="192"/>
      <c r="AN8" s="199" t="s">
        <v>171</v>
      </c>
      <c r="AO8" s="201"/>
      <c r="AP8" s="200"/>
      <c r="AQ8" s="191" t="s">
        <v>172</v>
      </c>
      <c r="AR8" s="192"/>
      <c r="AS8" s="199" t="s">
        <v>173</v>
      </c>
      <c r="AT8" s="201"/>
      <c r="AU8" s="200"/>
      <c r="AV8" s="191" t="s">
        <v>175</v>
      </c>
      <c r="AW8" s="192"/>
      <c r="AX8" s="199" t="s">
        <v>176</v>
      </c>
      <c r="AY8" s="201"/>
      <c r="AZ8" s="200"/>
      <c r="BA8" s="191" t="s">
        <v>177</v>
      </c>
      <c r="BB8" s="192"/>
      <c r="BC8" s="199" t="s">
        <v>178</v>
      </c>
      <c r="BD8" s="201"/>
      <c r="BE8" s="200"/>
      <c r="BF8" s="191" t="s">
        <v>181</v>
      </c>
      <c r="BG8" s="192"/>
      <c r="BH8" s="199" t="s">
        <v>182</v>
      </c>
      <c r="BI8" s="201"/>
      <c r="BJ8" s="200"/>
      <c r="BK8" s="191" t="s">
        <v>183</v>
      </c>
      <c r="BL8" s="192"/>
      <c r="BM8" s="199" t="s">
        <v>184</v>
      </c>
      <c r="BN8" s="201"/>
      <c r="BO8" s="200"/>
      <c r="BP8" s="191" t="s">
        <v>212</v>
      </c>
      <c r="BQ8" s="192"/>
      <c r="BR8" s="199" t="s">
        <v>213</v>
      </c>
      <c r="BS8" s="201"/>
      <c r="BT8" s="200"/>
      <c r="BU8" s="191" t="s">
        <v>210</v>
      </c>
      <c r="BV8" s="192"/>
      <c r="BW8" s="199" t="s">
        <v>211</v>
      </c>
      <c r="BX8" s="201"/>
      <c r="BY8" s="200"/>
      <c r="BZ8" s="197" t="s">
        <v>44</v>
      </c>
      <c r="CB8" s="154" t="s">
        <v>209</v>
      </c>
    </row>
    <row r="9" spans="2:80" ht="30" customHeight="1" x14ac:dyDescent="0.25">
      <c r="B9" s="198"/>
      <c r="C9" s="112" t="s">
        <v>152</v>
      </c>
      <c r="D9" s="112" t="s">
        <v>153</v>
      </c>
      <c r="E9" s="113" t="s">
        <v>154</v>
      </c>
      <c r="F9" s="113" t="s">
        <v>155</v>
      </c>
      <c r="G9" s="113" t="s">
        <v>156</v>
      </c>
      <c r="H9" s="112" t="s">
        <v>152</v>
      </c>
      <c r="I9" s="112" t="s">
        <v>153</v>
      </c>
      <c r="J9" s="113" t="s">
        <v>154</v>
      </c>
      <c r="K9" s="113" t="s">
        <v>155</v>
      </c>
      <c r="L9" s="113" t="s">
        <v>156</v>
      </c>
      <c r="M9" s="114" t="s">
        <v>152</v>
      </c>
      <c r="N9" s="114" t="s">
        <v>153</v>
      </c>
      <c r="O9" s="113" t="s">
        <v>154</v>
      </c>
      <c r="P9" s="113" t="s">
        <v>155</v>
      </c>
      <c r="Q9" s="113" t="s">
        <v>156</v>
      </c>
      <c r="R9" s="114" t="s">
        <v>152</v>
      </c>
      <c r="S9" s="114" t="s">
        <v>153</v>
      </c>
      <c r="T9" s="113" t="s">
        <v>154</v>
      </c>
      <c r="U9" s="113" t="s">
        <v>155</v>
      </c>
      <c r="V9" s="113" t="s">
        <v>156</v>
      </c>
      <c r="W9" s="114" t="s">
        <v>152</v>
      </c>
      <c r="X9" s="114" t="s">
        <v>153</v>
      </c>
      <c r="Y9" s="113" t="s">
        <v>154</v>
      </c>
      <c r="Z9" s="113" t="s">
        <v>155</v>
      </c>
      <c r="AA9" s="113" t="s">
        <v>156</v>
      </c>
      <c r="AB9" s="128" t="s">
        <v>152</v>
      </c>
      <c r="AC9" s="128" t="s">
        <v>153</v>
      </c>
      <c r="AD9" s="113" t="s">
        <v>154</v>
      </c>
      <c r="AE9" s="113" t="s">
        <v>155</v>
      </c>
      <c r="AF9" s="113" t="s">
        <v>156</v>
      </c>
      <c r="AG9" s="114" t="s">
        <v>152</v>
      </c>
      <c r="AH9" s="114" t="s">
        <v>153</v>
      </c>
      <c r="AI9" s="113" t="s">
        <v>154</v>
      </c>
      <c r="AJ9" s="113" t="s">
        <v>155</v>
      </c>
      <c r="AK9" s="113" t="s">
        <v>156</v>
      </c>
      <c r="AL9" s="114" t="s">
        <v>152</v>
      </c>
      <c r="AM9" s="114" t="s">
        <v>153</v>
      </c>
      <c r="AN9" s="113" t="s">
        <v>154</v>
      </c>
      <c r="AO9" s="113" t="s">
        <v>155</v>
      </c>
      <c r="AP9" s="113" t="s">
        <v>156</v>
      </c>
      <c r="AQ9" s="114" t="s">
        <v>152</v>
      </c>
      <c r="AR9" s="114" t="s">
        <v>153</v>
      </c>
      <c r="AS9" s="113" t="s">
        <v>154</v>
      </c>
      <c r="AT9" s="113" t="s">
        <v>155</v>
      </c>
      <c r="AU9" s="113" t="s">
        <v>156</v>
      </c>
      <c r="AV9" s="114" t="s">
        <v>152</v>
      </c>
      <c r="AW9" s="114" t="s">
        <v>153</v>
      </c>
      <c r="AX9" s="113" t="s">
        <v>154</v>
      </c>
      <c r="AY9" s="113" t="s">
        <v>155</v>
      </c>
      <c r="AZ9" s="113" t="s">
        <v>156</v>
      </c>
      <c r="BA9" s="114" t="s">
        <v>152</v>
      </c>
      <c r="BB9" s="114" t="s">
        <v>153</v>
      </c>
      <c r="BC9" s="113" t="s">
        <v>154</v>
      </c>
      <c r="BD9" s="113" t="s">
        <v>155</v>
      </c>
      <c r="BE9" s="113" t="s">
        <v>156</v>
      </c>
      <c r="BF9" s="114" t="s">
        <v>152</v>
      </c>
      <c r="BG9" s="114" t="s">
        <v>153</v>
      </c>
      <c r="BH9" s="113" t="s">
        <v>154</v>
      </c>
      <c r="BI9" s="113" t="s">
        <v>155</v>
      </c>
      <c r="BJ9" s="113" t="s">
        <v>156</v>
      </c>
      <c r="BK9" s="114" t="s">
        <v>152</v>
      </c>
      <c r="BL9" s="114" t="s">
        <v>153</v>
      </c>
      <c r="BM9" s="113" t="s">
        <v>154</v>
      </c>
      <c r="BN9" s="113" t="s">
        <v>155</v>
      </c>
      <c r="BO9" s="113" t="s">
        <v>156</v>
      </c>
      <c r="BP9" s="114" t="s">
        <v>152</v>
      </c>
      <c r="BQ9" s="114" t="s">
        <v>153</v>
      </c>
      <c r="BR9" s="113" t="s">
        <v>154</v>
      </c>
      <c r="BS9" s="113" t="s">
        <v>155</v>
      </c>
      <c r="BT9" s="113" t="s">
        <v>156</v>
      </c>
      <c r="BU9" s="114" t="s">
        <v>152</v>
      </c>
      <c r="BV9" s="114" t="s">
        <v>153</v>
      </c>
      <c r="BW9" s="113" t="s">
        <v>154</v>
      </c>
      <c r="BX9" s="113" t="s">
        <v>155</v>
      </c>
      <c r="BY9" s="113" t="s">
        <v>156</v>
      </c>
      <c r="BZ9" s="198"/>
    </row>
    <row r="10" spans="2:80" ht="15.95" customHeight="1" x14ac:dyDescent="0.25">
      <c r="B10" s="115">
        <v>1</v>
      </c>
      <c r="C10" s="116">
        <v>753.89200000000005</v>
      </c>
      <c r="D10" s="116">
        <v>-3296.2460000000001</v>
      </c>
      <c r="E10" s="117">
        <v>0</v>
      </c>
      <c r="F10" s="117">
        <v>0</v>
      </c>
      <c r="G10" s="118">
        <f t="shared" ref="G10:G31" si="0">SQRT(((E10*E10)+(F10*F10)))</f>
        <v>0</v>
      </c>
      <c r="H10" s="116">
        <v>753.88599999999997</v>
      </c>
      <c r="I10" s="116">
        <v>-3296.2469999999998</v>
      </c>
      <c r="J10" s="117">
        <v>0</v>
      </c>
      <c r="K10" s="117">
        <v>0</v>
      </c>
      <c r="L10" s="118">
        <v>0</v>
      </c>
      <c r="M10" s="116">
        <v>753.8850000000001</v>
      </c>
      <c r="N10" s="116">
        <v>-3296.25</v>
      </c>
      <c r="O10" s="117">
        <f t="shared" ref="O10:P10" si="1">J10+(M10-H10)*1000</f>
        <v>-0.9999999998626663</v>
      </c>
      <c r="P10" s="117">
        <f t="shared" si="1"/>
        <v>-3.0000000001564331</v>
      </c>
      <c r="Q10" s="118">
        <f t="shared" ref="Q10" si="2">SQRT(((O10*O10)+(P10*P10)))</f>
        <v>3.162277660273356</v>
      </c>
      <c r="R10" s="116">
        <v>753.88400000000013</v>
      </c>
      <c r="S10" s="116">
        <v>-3296.2460000000001</v>
      </c>
      <c r="T10" s="118">
        <f t="shared" ref="T10" si="3">O10+(R10-M10)*1000</f>
        <v>-1.9999999998390194</v>
      </c>
      <c r="U10" s="118">
        <f t="shared" ref="U10" si="4">P10+(S10-N10)*1000</f>
        <v>0.99999999974897946</v>
      </c>
      <c r="V10" s="118">
        <f t="shared" ref="V10" si="5">SQRT(((T10*T10)+(U10*U10)))</f>
        <v>2.2360679772435446</v>
      </c>
      <c r="W10" s="116">
        <v>753.88700000000017</v>
      </c>
      <c r="X10" s="116">
        <v>-3296.2440000000001</v>
      </c>
      <c r="Y10" s="118">
        <f t="shared" ref="Y10" si="6">T10+(W10-R10)*1000</f>
        <v>1.0000000002037268</v>
      </c>
      <c r="Z10" s="118">
        <f t="shared" ref="Z10" si="7">U10+(X10-S10)*1000</f>
        <v>2.9999999997016857</v>
      </c>
      <c r="AA10" s="118">
        <f t="shared" ref="AA10" si="8">SQRT(((Y10*Y10)+(Z10*Z10)))</f>
        <v>3.1622776599497975</v>
      </c>
      <c r="AB10" s="129">
        <v>753.88600000000019</v>
      </c>
      <c r="AC10" s="129">
        <v>-3296.241</v>
      </c>
      <c r="AD10" s="118">
        <f t="shared" ref="AD10:AD42" si="9">Y10+(AB10-W10)*1000</f>
        <v>2.2737367544323206E-10</v>
      </c>
      <c r="AE10" s="118">
        <f t="shared" ref="AE10:AE42" si="10">Z10+(AC10-X10)*1000</f>
        <v>5.9999999998581188</v>
      </c>
      <c r="AF10" s="118">
        <f t="shared" ref="AF10:AF42" si="11">SQRT(((AD10*AD10)+(AE10*AE10)))</f>
        <v>5.9999999998581188</v>
      </c>
      <c r="AG10" s="116">
        <v>753.88300000000015</v>
      </c>
      <c r="AH10" s="116">
        <v>-3296.2490000000003</v>
      </c>
      <c r="AI10" s="118">
        <f t="shared" ref="AI10:AI42" si="12">AD10+(AG10-AB10)*1000</f>
        <v>-2.9999999998153726</v>
      </c>
      <c r="AJ10" s="118">
        <f t="shared" ref="AJ10:AJ42" si="13">AE10+(AH10-AC10)*1000</f>
        <v>-2.0000000004074536</v>
      </c>
      <c r="AK10" s="118">
        <f t="shared" ref="AK10:AK42" si="14">SQRT(((AI10*AI10)+(AJ10*AJ10)))</f>
        <v>3.6055512755363845</v>
      </c>
      <c r="AL10" s="116">
        <v>753.8810000000002</v>
      </c>
      <c r="AM10" s="116">
        <v>-3296.2470000000003</v>
      </c>
      <c r="AN10" s="118">
        <f t="shared" ref="AN10:AN41" si="15">AI10+(AL10-AG10)*1000</f>
        <v>-4.9999999997680789</v>
      </c>
      <c r="AO10" s="118">
        <f t="shared" ref="AO10:AO41" si="16">AJ10+(AM10-AH10)*1000</f>
        <v>-4.5474735088646412E-10</v>
      </c>
      <c r="AP10" s="118">
        <f t="shared" ref="AP10:AP41" si="17">SQRT(((AN10*AN10)+(AO10*AO10)))</f>
        <v>4.9999999997680789</v>
      </c>
      <c r="AQ10" s="116">
        <v>753.87900000000025</v>
      </c>
      <c r="AR10" s="116">
        <v>-3296.241</v>
      </c>
      <c r="AS10" s="118">
        <f t="shared" ref="AS10:AS66" si="18">AN10+(AQ10-AL10)*1000</f>
        <v>-6.9999999997207851</v>
      </c>
      <c r="AT10" s="118">
        <f t="shared" ref="AT10:AT66" si="19">AO10+(AR10-AM10)*1000</f>
        <v>5.9999999998581188</v>
      </c>
      <c r="AU10" s="118">
        <f t="shared" ref="AU10:AU66" si="20">SQRT(((AS10*AS10)+(AT10*AT10)))</f>
        <v>9.2195444569885563</v>
      </c>
      <c r="AV10" s="116">
        <v>753.88200000000029</v>
      </c>
      <c r="AW10" s="116">
        <v>-3296.24</v>
      </c>
      <c r="AX10" s="125">
        <f t="shared" ref="AX10:AX66" si="21">AS10+(AV10-AQ10)*1000</f>
        <v>-3.9999999996780389</v>
      </c>
      <c r="AY10" s="118">
        <f t="shared" ref="AY10:AY66" si="22">AT10+(AW10-AR10)*1000</f>
        <v>7.0000000000618456</v>
      </c>
      <c r="AZ10" s="118">
        <f t="shared" ref="AZ10:AZ66" si="23">SQRT(((AX10*AX10)+(AY10*AY10)))</f>
        <v>8.0622577481925095</v>
      </c>
      <c r="BA10" s="116">
        <v>753.88600000000031</v>
      </c>
      <c r="BB10" s="116">
        <v>-3296.2429999999999</v>
      </c>
      <c r="BC10" s="118">
        <f t="shared" ref="BC10:BC66" si="24">AX10+(BA10-AV10)*1000</f>
        <v>3.4106051316484809E-10</v>
      </c>
      <c r="BD10" s="118">
        <f t="shared" ref="BD10:BD66" si="25">AY10+(BB10-AW10)*1000</f>
        <v>3.9999999999054126</v>
      </c>
      <c r="BE10" s="118">
        <f t="shared" ref="BE10:BE66" si="26">SQRT(((BC10*BC10)+(BD10*BD10)))</f>
        <v>3.9999999999054126</v>
      </c>
      <c r="BF10" s="127">
        <v>753.88600000000031</v>
      </c>
      <c r="BG10" s="127">
        <v>-3296.2460000000001</v>
      </c>
      <c r="BH10" s="118">
        <f t="shared" ref="BH10" si="27">BC10+(BF10-BA10)*1000</f>
        <v>3.4106051316484809E-10</v>
      </c>
      <c r="BI10" s="118">
        <f t="shared" ref="BI10" si="28">BD10+(BG10-BB10)*1000</f>
        <v>0.99999999974897946</v>
      </c>
      <c r="BJ10" s="118">
        <f t="shared" ref="BJ10" si="29">SQRT(((BH10*BH10)+(BI10*BI10)))</f>
        <v>0.99999999974897946</v>
      </c>
      <c r="BK10" s="127">
        <v>753.88300000000027</v>
      </c>
      <c r="BL10" s="127">
        <v>-3296.2460000000001</v>
      </c>
      <c r="BM10" s="118">
        <f t="shared" ref="BM10" si="30">BH10+(BK10-BF10)*1000</f>
        <v>-2.9999999997016857</v>
      </c>
      <c r="BN10" s="118">
        <f t="shared" ref="BN10" si="31">BI10+(BL10-BG10)*1000</f>
        <v>0.99999999974897946</v>
      </c>
      <c r="BO10" s="118">
        <f t="shared" ref="BO10" si="32">SQRT(((BM10*BM10)+(BN10*BN10)))</f>
        <v>3.1622776598059938</v>
      </c>
      <c r="BP10" s="127">
        <v>753.88400000000024</v>
      </c>
      <c r="BQ10" s="127">
        <v>-3296.2470000000003</v>
      </c>
      <c r="BR10" s="118">
        <f t="shared" ref="BR10:BR66" si="33">BM10+(BP10-BK10)*1000</f>
        <v>-1.9999999997253326</v>
      </c>
      <c r="BS10" s="118">
        <f t="shared" ref="BS10:BS66" si="34">BN10+(BQ10-BL10)*1000</f>
        <v>-4.5474735088646412E-10</v>
      </c>
      <c r="BT10" s="118">
        <f t="shared" ref="BT10:BT66" si="35">SQRT(((BR10*BR10)+(BS10*BS10)))</f>
        <v>1.9999999997253326</v>
      </c>
      <c r="BU10" s="127">
        <v>753.88300000000027</v>
      </c>
      <c r="BV10" s="127">
        <v>-3296.2460000000001</v>
      </c>
      <c r="BW10" s="118">
        <f t="shared" ref="BW10:BW66" si="36">BR10+(BU10-BP10)*1000</f>
        <v>-2.9999999997016857</v>
      </c>
      <c r="BX10" s="118">
        <f t="shared" ref="BX10:BX66" si="37">BS10+(BV10-BQ10)*1000</f>
        <v>0.99999999974897946</v>
      </c>
      <c r="BY10" s="118">
        <f t="shared" ref="BY10:BY66" si="38">SQRT(((BW10*BW10)+(BX10*BX10)))</f>
        <v>3.1622776598059938</v>
      </c>
      <c r="BZ10" s="115">
        <f>B10</f>
        <v>1</v>
      </c>
    </row>
    <row r="11" spans="2:80" ht="15.95" customHeight="1" x14ac:dyDescent="0.25">
      <c r="B11" s="115">
        <v>2</v>
      </c>
      <c r="C11" s="116">
        <v>758.19799999999998</v>
      </c>
      <c r="D11" s="116">
        <v>-3301.36</v>
      </c>
      <c r="E11" s="117">
        <v>0</v>
      </c>
      <c r="F11" s="117">
        <v>0</v>
      </c>
      <c r="G11" s="118">
        <f t="shared" si="0"/>
        <v>0</v>
      </c>
      <c r="H11" s="116">
        <v>758.19500000000005</v>
      </c>
      <c r="I11" s="116">
        <v>-3301.3609999999999</v>
      </c>
      <c r="J11" s="117">
        <v>0</v>
      </c>
      <c r="K11" s="117">
        <v>0</v>
      </c>
      <c r="L11" s="118">
        <v>0</v>
      </c>
      <c r="M11" s="116">
        <v>758.19499999999994</v>
      </c>
      <c r="N11" s="116">
        <v>-3301.3679999999999</v>
      </c>
      <c r="O11" s="117">
        <f t="shared" ref="O11:O31" si="39">J11+(M11-H11)*1000</f>
        <v>-1.1368683772161603E-10</v>
      </c>
      <c r="P11" s="117">
        <f t="shared" ref="P11:P31" si="40">K11+(N11-I11)*1000</f>
        <v>-7.0000000000618456</v>
      </c>
      <c r="Q11" s="118">
        <f t="shared" ref="Q11:Q31" si="41">SQRT(((O11*O11)+(P11*P11)))</f>
        <v>7.0000000000618456</v>
      </c>
      <c r="R11" s="116">
        <v>758.19299999999998</v>
      </c>
      <c r="S11" s="116">
        <v>-3301.3629999999998</v>
      </c>
      <c r="T11" s="118">
        <f t="shared" ref="T11:T42" si="42">O11+(R11-M11)*1000</f>
        <v>-2.0000000000663931</v>
      </c>
      <c r="U11" s="118">
        <f t="shared" ref="U11:U42" si="43">P11+(S11-N11)*1000</f>
        <v>-1.9999999999527063</v>
      </c>
      <c r="V11" s="118">
        <f t="shared" ref="V11:V42" si="44">SQRT(((T11*T11)+(U11*U11)))</f>
        <v>2.8284271247596955</v>
      </c>
      <c r="W11" s="116">
        <v>758.19600000000003</v>
      </c>
      <c r="X11" s="116">
        <v>-3301.3609999999999</v>
      </c>
      <c r="Y11" s="118">
        <f t="shared" ref="Y11:Y42" si="45">T11+(W11-R11)*1000</f>
        <v>0.99999999997635314</v>
      </c>
      <c r="Z11" s="118">
        <f t="shared" ref="Z11:Z42" si="46">U11+(X11-S11)*1000</f>
        <v>0</v>
      </c>
      <c r="AA11" s="118">
        <f t="shared" ref="AA11:AA42" si="47">SQRT(((Y11*Y11)+(Z11*Z11)))</f>
        <v>0.99999999997635314</v>
      </c>
      <c r="AB11" s="129">
        <v>758.197</v>
      </c>
      <c r="AC11" s="129">
        <v>-3301.357</v>
      </c>
      <c r="AD11" s="118">
        <f t="shared" si="9"/>
        <v>1.9999999999527063</v>
      </c>
      <c r="AE11" s="118">
        <f t="shared" si="10"/>
        <v>3.9999999999054126</v>
      </c>
      <c r="AF11" s="118">
        <f t="shared" si="11"/>
        <v>4.4721359548938278</v>
      </c>
      <c r="AG11" s="116">
        <v>758.19600000000003</v>
      </c>
      <c r="AH11" s="116">
        <v>-3301.3620000000001</v>
      </c>
      <c r="AI11" s="118">
        <f t="shared" si="12"/>
        <v>0.99999999997635314</v>
      </c>
      <c r="AJ11" s="118">
        <f t="shared" si="13"/>
        <v>-1.0000000002037268</v>
      </c>
      <c r="AK11" s="118">
        <f t="shared" si="14"/>
        <v>1.4142135625004308</v>
      </c>
      <c r="AL11" s="116">
        <v>758.19799999999998</v>
      </c>
      <c r="AM11" s="116">
        <v>-3301.364</v>
      </c>
      <c r="AN11" s="118">
        <f t="shared" si="15"/>
        <v>2.9999999999290594</v>
      </c>
      <c r="AO11" s="118">
        <f t="shared" si="16"/>
        <v>-3.0000000001564331</v>
      </c>
      <c r="AP11" s="118">
        <f t="shared" si="17"/>
        <v>4.2426406871797377</v>
      </c>
      <c r="AQ11" s="116">
        <v>758.202</v>
      </c>
      <c r="AR11" s="116">
        <v>-3301.3579999999997</v>
      </c>
      <c r="AS11" s="118">
        <f t="shared" si="18"/>
        <v>6.9999999999481588</v>
      </c>
      <c r="AT11" s="118">
        <f t="shared" si="19"/>
        <v>3.0000000001564331</v>
      </c>
      <c r="AU11" s="118">
        <f t="shared" si="20"/>
        <v>7.6157731058778806</v>
      </c>
      <c r="AV11" s="116">
        <v>758.2</v>
      </c>
      <c r="AW11" s="116">
        <v>-3301.3579999999997</v>
      </c>
      <c r="AX11" s="125">
        <f t="shared" si="21"/>
        <v>4.9999999999954525</v>
      </c>
      <c r="AY11" s="118">
        <f t="shared" si="22"/>
        <v>3.0000000001564331</v>
      </c>
      <c r="AZ11" s="118">
        <f t="shared" si="23"/>
        <v>5.8309518949218848</v>
      </c>
      <c r="BA11" s="116">
        <v>758.20400000000006</v>
      </c>
      <c r="BB11" s="116">
        <v>-3301.3539999999998</v>
      </c>
      <c r="BC11" s="118">
        <f t="shared" si="24"/>
        <v>9.0000000000145519</v>
      </c>
      <c r="BD11" s="118">
        <f t="shared" si="25"/>
        <v>7.0000000000618456</v>
      </c>
      <c r="BE11" s="118">
        <f t="shared" si="26"/>
        <v>11.401754251040837</v>
      </c>
      <c r="BF11" s="127">
        <v>758.20200000000011</v>
      </c>
      <c r="BG11" s="127">
        <v>-3301.35</v>
      </c>
      <c r="BH11" s="118">
        <f t="shared" ref="BH11:BH75" si="48">BC11+(BF11-BA11)*1000</f>
        <v>7.0000000000618456</v>
      </c>
      <c r="BI11" s="118">
        <f t="shared" ref="BI11:BI75" si="49">BD11+(BG11-BB11)*1000</f>
        <v>10.999999999967258</v>
      </c>
      <c r="BJ11" s="118">
        <f t="shared" ref="BJ11:BJ75" si="50">SQRT(((BH11*BH11)+(BI11*BI11)))</f>
        <v>13.038404810410878</v>
      </c>
      <c r="BK11" s="127">
        <v>758.20400000000006</v>
      </c>
      <c r="BL11" s="127">
        <v>-3301.3469999999998</v>
      </c>
      <c r="BM11" s="118">
        <f t="shared" ref="BM11:BM66" si="51">BH11+(BK11-BF11)*1000</f>
        <v>9.0000000000145519</v>
      </c>
      <c r="BN11" s="118">
        <f t="shared" ref="BN11:BN66" si="52">BI11+(BL11-BG11)*1000</f>
        <v>14.000000000123691</v>
      </c>
      <c r="BO11" s="118">
        <f t="shared" ref="BO11:BO66" si="53">SQRT(((BM11*BM11)+(BN11*BN11)))</f>
        <v>16.643316977205153</v>
      </c>
      <c r="BP11" s="127">
        <v>758.20100000000002</v>
      </c>
      <c r="BQ11" s="127">
        <v>-3301.348</v>
      </c>
      <c r="BR11" s="118">
        <f t="shared" si="33"/>
        <v>5.9999999999718057</v>
      </c>
      <c r="BS11" s="118">
        <f t="shared" si="34"/>
        <v>12.999999999919964</v>
      </c>
      <c r="BT11" s="118">
        <f t="shared" si="35"/>
        <v>14.31782106319187</v>
      </c>
      <c r="BU11" s="127">
        <v>758.20100000000002</v>
      </c>
      <c r="BV11" s="127">
        <v>-3301.3469999999998</v>
      </c>
      <c r="BW11" s="118">
        <f t="shared" si="36"/>
        <v>5.9999999999718057</v>
      </c>
      <c r="BX11" s="118">
        <f t="shared" si="37"/>
        <v>14.000000000123691</v>
      </c>
      <c r="BY11" s="118">
        <f t="shared" si="38"/>
        <v>15.2315462118304</v>
      </c>
      <c r="BZ11" s="115">
        <f t="shared" ref="BZ11:BZ75" si="54">B11</f>
        <v>2</v>
      </c>
    </row>
    <row r="12" spans="2:80" ht="15.95" customHeight="1" x14ac:dyDescent="0.25">
      <c r="B12" s="115">
        <v>3</v>
      </c>
      <c r="C12" s="116">
        <v>761.70399999999995</v>
      </c>
      <c r="D12" s="116">
        <v>-3305.5239999999999</v>
      </c>
      <c r="E12" s="117">
        <v>0</v>
      </c>
      <c r="F12" s="117">
        <v>0</v>
      </c>
      <c r="G12" s="118">
        <f t="shared" si="0"/>
        <v>0</v>
      </c>
      <c r="H12" s="116">
        <v>761.70299999999997</v>
      </c>
      <c r="I12" s="116">
        <v>-3305.5239999999999</v>
      </c>
      <c r="J12" s="117">
        <v>0</v>
      </c>
      <c r="K12" s="117">
        <v>0</v>
      </c>
      <c r="L12" s="118">
        <v>0</v>
      </c>
      <c r="M12" s="116">
        <v>761.70099999999991</v>
      </c>
      <c r="N12" s="116">
        <v>-3305.5309999999999</v>
      </c>
      <c r="O12" s="117">
        <f t="shared" si="39"/>
        <v>-2.0000000000663931</v>
      </c>
      <c r="P12" s="117">
        <f t="shared" si="40"/>
        <v>-7.0000000000618456</v>
      </c>
      <c r="Q12" s="118">
        <f t="shared" si="41"/>
        <v>7.2801098893582239</v>
      </c>
      <c r="R12" s="116">
        <v>761.69899999999996</v>
      </c>
      <c r="S12" s="116">
        <v>-3305.527</v>
      </c>
      <c r="T12" s="118">
        <f t="shared" si="42"/>
        <v>-4.0000000000190994</v>
      </c>
      <c r="U12" s="118">
        <f t="shared" si="43"/>
        <v>-3.0000000001564331</v>
      </c>
      <c r="V12" s="118">
        <f t="shared" si="44"/>
        <v>5.0000000001091394</v>
      </c>
      <c r="W12" s="116">
        <v>761.702</v>
      </c>
      <c r="X12" s="116">
        <v>-3305.5250000000001</v>
      </c>
      <c r="Y12" s="118">
        <f t="shared" si="45"/>
        <v>-0.99999999997635314</v>
      </c>
      <c r="Z12" s="118">
        <f t="shared" si="46"/>
        <v>-1.0000000002037268</v>
      </c>
      <c r="AA12" s="118">
        <f t="shared" si="47"/>
        <v>1.4142135625004308</v>
      </c>
      <c r="AB12" s="129">
        <v>761.70500000000004</v>
      </c>
      <c r="AC12" s="129">
        <v>-3305.527</v>
      </c>
      <c r="AD12" s="118">
        <f t="shared" si="9"/>
        <v>2.0000000000663931</v>
      </c>
      <c r="AE12" s="118">
        <f t="shared" si="10"/>
        <v>-3.0000000001564331</v>
      </c>
      <c r="AF12" s="118">
        <f t="shared" si="11"/>
        <v>3.6055512756309778</v>
      </c>
      <c r="AG12" s="116">
        <v>761.69899999999996</v>
      </c>
      <c r="AH12" s="116">
        <v>-3305.52</v>
      </c>
      <c r="AI12" s="118">
        <f t="shared" si="12"/>
        <v>-4.0000000000190994</v>
      </c>
      <c r="AJ12" s="118">
        <f t="shared" si="13"/>
        <v>3.9999999999054126</v>
      </c>
      <c r="AK12" s="118">
        <f t="shared" si="14"/>
        <v>5.6568542494390019</v>
      </c>
      <c r="AL12" s="116">
        <v>761.70099999999991</v>
      </c>
      <c r="AM12" s="116">
        <v>-3305.5189999999998</v>
      </c>
      <c r="AN12" s="118">
        <f t="shared" si="15"/>
        <v>-2.0000000000663931</v>
      </c>
      <c r="AO12" s="118">
        <f t="shared" si="16"/>
        <v>5.0000000001091394</v>
      </c>
      <c r="AP12" s="118">
        <f t="shared" si="17"/>
        <v>5.3851648072604954</v>
      </c>
      <c r="AQ12" s="116">
        <v>761.70699999999988</v>
      </c>
      <c r="AR12" s="116">
        <v>-3305.511</v>
      </c>
      <c r="AS12" s="118">
        <f t="shared" si="18"/>
        <v>3.9999999999054126</v>
      </c>
      <c r="AT12" s="118">
        <f t="shared" si="19"/>
        <v>12.999999999919964</v>
      </c>
      <c r="AU12" s="118">
        <f t="shared" si="20"/>
        <v>13.601470508631131</v>
      </c>
      <c r="AV12" s="116">
        <v>761.70799999999986</v>
      </c>
      <c r="AW12" s="116">
        <v>-3305.511</v>
      </c>
      <c r="AX12" s="125">
        <f t="shared" si="21"/>
        <v>4.9999999998817657</v>
      </c>
      <c r="AY12" s="118">
        <f t="shared" si="22"/>
        <v>12.999999999919964</v>
      </c>
      <c r="AZ12" s="118">
        <f t="shared" si="23"/>
        <v>13.928388277066976</v>
      </c>
      <c r="BA12" s="116">
        <v>761.70499999999981</v>
      </c>
      <c r="BB12" s="116">
        <v>-3305.5140000000001</v>
      </c>
      <c r="BC12" s="118">
        <f t="shared" si="24"/>
        <v>1.9999999998390194</v>
      </c>
      <c r="BD12" s="118">
        <f t="shared" si="25"/>
        <v>9.9999999997635314</v>
      </c>
      <c r="BE12" s="118">
        <f t="shared" si="26"/>
        <v>10.198039026922123</v>
      </c>
      <c r="BF12" s="127">
        <v>761.70199999999977</v>
      </c>
      <c r="BG12" s="127">
        <v>-3305.5160000000001</v>
      </c>
      <c r="BH12" s="118">
        <f t="shared" si="48"/>
        <v>-1.0000000002037268</v>
      </c>
      <c r="BI12" s="118">
        <f t="shared" si="49"/>
        <v>7.9999999998108251</v>
      </c>
      <c r="BJ12" s="118">
        <f t="shared" si="50"/>
        <v>8.0622577481361049</v>
      </c>
      <c r="BK12" s="127">
        <v>761.69899999999973</v>
      </c>
      <c r="BL12" s="127">
        <v>-3305.5120000000002</v>
      </c>
      <c r="BM12" s="118">
        <f t="shared" si="51"/>
        <v>-4.0000000002464731</v>
      </c>
      <c r="BN12" s="118">
        <f t="shared" si="52"/>
        <v>11.999999999716238</v>
      </c>
      <c r="BO12" s="118">
        <f t="shared" si="53"/>
        <v>12.649110640482258</v>
      </c>
      <c r="BP12" s="127">
        <v>761.70099999999968</v>
      </c>
      <c r="BQ12" s="127">
        <v>-3305.5120000000002</v>
      </c>
      <c r="BR12" s="118">
        <f t="shared" si="33"/>
        <v>-2.0000000002937668</v>
      </c>
      <c r="BS12" s="118">
        <f t="shared" si="34"/>
        <v>11.999999999716238</v>
      </c>
      <c r="BT12" s="118">
        <f t="shared" si="35"/>
        <v>12.165525060364834</v>
      </c>
      <c r="BU12" s="127">
        <v>761.69799999999964</v>
      </c>
      <c r="BV12" s="127">
        <v>-3305.5130000000004</v>
      </c>
      <c r="BW12" s="118">
        <f t="shared" si="36"/>
        <v>-5.000000000336513</v>
      </c>
      <c r="BX12" s="118">
        <f t="shared" si="37"/>
        <v>10.999999999512511</v>
      </c>
      <c r="BY12" s="118">
        <f t="shared" si="38"/>
        <v>12.083045973290028</v>
      </c>
      <c r="BZ12" s="115">
        <f t="shared" si="54"/>
        <v>3</v>
      </c>
    </row>
    <row r="13" spans="2:80" ht="15.95" customHeight="1" x14ac:dyDescent="0.25">
      <c r="B13" s="115">
        <v>4</v>
      </c>
      <c r="C13" s="116">
        <v>765.25300000000004</v>
      </c>
      <c r="D13" s="116">
        <v>-3309.7240000000002</v>
      </c>
      <c r="E13" s="117">
        <v>0</v>
      </c>
      <c r="F13" s="117">
        <v>0</v>
      </c>
      <c r="G13" s="118">
        <f t="shared" si="0"/>
        <v>0</v>
      </c>
      <c r="H13" s="116">
        <v>765.24699999999996</v>
      </c>
      <c r="I13" s="116">
        <v>-3309.723</v>
      </c>
      <c r="J13" s="117">
        <v>0</v>
      </c>
      <c r="K13" s="117">
        <v>0</v>
      </c>
      <c r="L13" s="118">
        <v>0</v>
      </c>
      <c r="M13" s="116">
        <v>765.25600000000009</v>
      </c>
      <c r="N13" s="116">
        <v>-3309.7200000000003</v>
      </c>
      <c r="O13" s="117">
        <f t="shared" si="39"/>
        <v>9.0000000001282388</v>
      </c>
      <c r="P13" s="117">
        <f t="shared" si="40"/>
        <v>2.9999999997016857</v>
      </c>
      <c r="Q13" s="118">
        <f t="shared" si="41"/>
        <v>9.4868329805324603</v>
      </c>
      <c r="R13" s="116">
        <v>765.25500000000011</v>
      </c>
      <c r="S13" s="116">
        <v>-3309.7180000000003</v>
      </c>
      <c r="T13" s="118">
        <f t="shared" si="42"/>
        <v>8.0000000001518856</v>
      </c>
      <c r="U13" s="118">
        <f t="shared" si="43"/>
        <v>4.999999999654392</v>
      </c>
      <c r="V13" s="118">
        <f t="shared" si="44"/>
        <v>9.4339811320022307</v>
      </c>
      <c r="W13" s="116">
        <v>765.25900000000013</v>
      </c>
      <c r="X13" s="116">
        <v>-3309.7140000000004</v>
      </c>
      <c r="Y13" s="119">
        <f t="shared" si="45"/>
        <v>12.000000000170985</v>
      </c>
      <c r="Z13" s="118">
        <f t="shared" si="46"/>
        <v>8.9999999995598046</v>
      </c>
      <c r="AA13" s="118">
        <f t="shared" si="47"/>
        <v>14.999999999872671</v>
      </c>
      <c r="AB13" s="129">
        <v>765.25700000000018</v>
      </c>
      <c r="AC13" s="129">
        <v>-3309.7090000000003</v>
      </c>
      <c r="AD13" s="118">
        <f t="shared" si="9"/>
        <v>10.000000000218279</v>
      </c>
      <c r="AE13" s="118">
        <f t="shared" si="10"/>
        <v>13.999999999668944</v>
      </c>
      <c r="AF13" s="118">
        <f t="shared" si="11"/>
        <v>17.204650533942733</v>
      </c>
      <c r="AG13" s="116">
        <v>765.25400000000013</v>
      </c>
      <c r="AH13" s="116">
        <v>-3309.7170000000006</v>
      </c>
      <c r="AI13" s="118">
        <f t="shared" si="12"/>
        <v>7.0000000001755325</v>
      </c>
      <c r="AJ13" s="118">
        <f t="shared" si="13"/>
        <v>5.9999999994033715</v>
      </c>
      <c r="AK13" s="118">
        <f t="shared" si="14"/>
        <v>9.2195444570378804</v>
      </c>
      <c r="AL13" s="116">
        <v>765.25900000000013</v>
      </c>
      <c r="AM13" s="116">
        <v>-3309.7180000000008</v>
      </c>
      <c r="AN13" s="118">
        <f t="shared" si="15"/>
        <v>12.000000000170985</v>
      </c>
      <c r="AO13" s="118">
        <f t="shared" si="16"/>
        <v>4.9999999991996447</v>
      </c>
      <c r="AP13" s="118">
        <f t="shared" si="17"/>
        <v>12.999999999850003</v>
      </c>
      <c r="AQ13" s="116">
        <v>765.25300000000016</v>
      </c>
      <c r="AR13" s="116">
        <v>-3309.7150000000011</v>
      </c>
      <c r="AS13" s="118">
        <f t="shared" si="18"/>
        <v>6.0000000001991793</v>
      </c>
      <c r="AT13" s="118">
        <f t="shared" si="19"/>
        <v>7.9999999989013304</v>
      </c>
      <c r="AU13" s="118">
        <f t="shared" si="20"/>
        <v>9.9999999992405719</v>
      </c>
      <c r="AV13" s="116">
        <v>765.25400000000013</v>
      </c>
      <c r="AW13" s="116">
        <v>-3309.7140000000009</v>
      </c>
      <c r="AX13" s="125">
        <f t="shared" si="21"/>
        <v>7.0000000001755325</v>
      </c>
      <c r="AY13" s="118">
        <f t="shared" si="22"/>
        <v>8.9999999991050572</v>
      </c>
      <c r="AZ13" s="118">
        <f t="shared" si="23"/>
        <v>11.401754250392722</v>
      </c>
      <c r="BA13" s="116">
        <v>765.25600000000009</v>
      </c>
      <c r="BB13" s="116">
        <v>-3309.7110000000007</v>
      </c>
      <c r="BC13" s="118">
        <f t="shared" si="24"/>
        <v>9.0000000001282388</v>
      </c>
      <c r="BD13" s="118">
        <f t="shared" si="25"/>
        <v>11.99999999926149</v>
      </c>
      <c r="BE13" s="118">
        <f t="shared" si="26"/>
        <v>14.999999999486135</v>
      </c>
      <c r="BF13" s="127">
        <v>765.25300000000004</v>
      </c>
      <c r="BG13" s="127">
        <v>-3309.7130000000006</v>
      </c>
      <c r="BH13" s="118">
        <f t="shared" si="48"/>
        <v>6.0000000000854925</v>
      </c>
      <c r="BI13" s="118">
        <f t="shared" si="49"/>
        <v>9.999999999308784</v>
      </c>
      <c r="BJ13" s="118">
        <f t="shared" si="50"/>
        <v>11.661903789141874</v>
      </c>
      <c r="BK13" s="127">
        <v>765.25</v>
      </c>
      <c r="BL13" s="127">
        <v>-3309.7130000000006</v>
      </c>
      <c r="BM13" s="118">
        <f t="shared" si="51"/>
        <v>3.0000000000427463</v>
      </c>
      <c r="BN13" s="118">
        <f t="shared" si="52"/>
        <v>9.999999999308784</v>
      </c>
      <c r="BO13" s="118">
        <f t="shared" si="53"/>
        <v>10.440306508260768</v>
      </c>
      <c r="BP13" s="127">
        <v>765.24900000000002</v>
      </c>
      <c r="BQ13" s="127">
        <v>-3309.7130000000006</v>
      </c>
      <c r="BR13" s="118">
        <f t="shared" si="33"/>
        <v>2.0000000000663931</v>
      </c>
      <c r="BS13" s="118">
        <f t="shared" si="34"/>
        <v>9.999999999308784</v>
      </c>
      <c r="BT13" s="118">
        <f t="shared" si="35"/>
        <v>10.198039026520798</v>
      </c>
      <c r="BU13" s="127">
        <v>765.24599999999998</v>
      </c>
      <c r="BV13" s="127">
        <v>-3309.7140000000009</v>
      </c>
      <c r="BW13" s="118">
        <f t="shared" si="36"/>
        <v>-0.99999999997635314</v>
      </c>
      <c r="BX13" s="118">
        <f t="shared" si="37"/>
        <v>8.9999999991050572</v>
      </c>
      <c r="BY13" s="118">
        <f t="shared" si="38"/>
        <v>9.0553851372453362</v>
      </c>
      <c r="BZ13" s="115">
        <f t="shared" si="54"/>
        <v>4</v>
      </c>
    </row>
    <row r="14" spans="2:80" ht="15.95" customHeight="1" x14ac:dyDescent="0.25">
      <c r="B14" s="115">
        <v>5</v>
      </c>
      <c r="C14" s="116">
        <v>768.96699999999998</v>
      </c>
      <c r="D14" s="116">
        <v>-3314.0940000000001</v>
      </c>
      <c r="E14" s="117">
        <v>0</v>
      </c>
      <c r="F14" s="117">
        <v>0</v>
      </c>
      <c r="G14" s="118">
        <f t="shared" si="0"/>
        <v>0</v>
      </c>
      <c r="H14" s="116">
        <v>768.96500000000003</v>
      </c>
      <c r="I14" s="116">
        <v>-3314.0929999999998</v>
      </c>
      <c r="J14" s="117">
        <v>0</v>
      </c>
      <c r="K14" s="117">
        <v>0</v>
      </c>
      <c r="L14" s="118">
        <v>0</v>
      </c>
      <c r="M14" s="116">
        <v>768.96100000000001</v>
      </c>
      <c r="N14" s="116">
        <v>-3314.0929999999998</v>
      </c>
      <c r="O14" s="117">
        <f t="shared" si="39"/>
        <v>-4.0000000000190994</v>
      </c>
      <c r="P14" s="117">
        <f t="shared" si="40"/>
        <v>0</v>
      </c>
      <c r="Q14" s="118">
        <f t="shared" si="41"/>
        <v>4.0000000000190994</v>
      </c>
      <c r="R14" s="116">
        <v>768.95900000000006</v>
      </c>
      <c r="S14" s="116">
        <v>-3314.0899999999997</v>
      </c>
      <c r="T14" s="118">
        <f t="shared" si="42"/>
        <v>-5.9999999999718057</v>
      </c>
      <c r="U14" s="118">
        <f t="shared" si="43"/>
        <v>3.0000000001564331</v>
      </c>
      <c r="V14" s="118">
        <f t="shared" si="44"/>
        <v>6.7082039325441105</v>
      </c>
      <c r="W14" s="116">
        <v>768.96300000000008</v>
      </c>
      <c r="X14" s="116">
        <v>-3314.0879999999997</v>
      </c>
      <c r="Y14" s="118">
        <f t="shared" si="45"/>
        <v>-1.9999999999527063</v>
      </c>
      <c r="Z14" s="118">
        <f t="shared" si="46"/>
        <v>5.0000000001091394</v>
      </c>
      <c r="AA14" s="118">
        <f t="shared" si="47"/>
        <v>5.3851648072182732</v>
      </c>
      <c r="AB14" s="129">
        <v>768.96600000000012</v>
      </c>
      <c r="AC14" s="129">
        <v>-3314.0829999999996</v>
      </c>
      <c r="AD14" s="118">
        <f t="shared" si="9"/>
        <v>1.00000000009004</v>
      </c>
      <c r="AE14" s="118">
        <f t="shared" si="10"/>
        <v>10.000000000218279</v>
      </c>
      <c r="AF14" s="118">
        <f t="shared" si="11"/>
        <v>10.049875621347045</v>
      </c>
      <c r="AG14" s="116">
        <v>768.96400000000006</v>
      </c>
      <c r="AH14" s="116">
        <v>-3314.0829999999996</v>
      </c>
      <c r="AI14" s="118">
        <f t="shared" si="12"/>
        <v>-0.99999999997635314</v>
      </c>
      <c r="AJ14" s="118">
        <f t="shared" si="13"/>
        <v>10.000000000218279</v>
      </c>
      <c r="AK14" s="118">
        <f t="shared" si="14"/>
        <v>10.049875621335733</v>
      </c>
      <c r="AL14" s="116">
        <v>768.96100000000001</v>
      </c>
      <c r="AM14" s="116">
        <v>-3314.0849999999996</v>
      </c>
      <c r="AN14" s="118">
        <f t="shared" si="15"/>
        <v>-4.0000000000190994</v>
      </c>
      <c r="AO14" s="118">
        <f t="shared" si="16"/>
        <v>8.0000000002655725</v>
      </c>
      <c r="AP14" s="118">
        <f t="shared" si="17"/>
        <v>8.9442719102452362</v>
      </c>
      <c r="AQ14" s="116">
        <v>768.96100000000001</v>
      </c>
      <c r="AR14" s="116">
        <v>-3314.0819999999994</v>
      </c>
      <c r="AS14" s="118">
        <f t="shared" si="18"/>
        <v>-4.0000000000190994</v>
      </c>
      <c r="AT14" s="118">
        <f t="shared" si="19"/>
        <v>11.000000000422006</v>
      </c>
      <c r="AU14" s="118">
        <f t="shared" si="20"/>
        <v>11.70469991112275</v>
      </c>
      <c r="AV14" s="116">
        <v>768.95600000000002</v>
      </c>
      <c r="AW14" s="116">
        <v>-3314.0799999999995</v>
      </c>
      <c r="AX14" s="125">
        <f t="shared" si="21"/>
        <v>-9.0000000000145519</v>
      </c>
      <c r="AY14" s="118">
        <f t="shared" si="22"/>
        <v>13.000000000374712</v>
      </c>
      <c r="AZ14" s="118">
        <f t="shared" si="23"/>
        <v>15.811388301158265</v>
      </c>
      <c r="BA14" s="116">
        <v>768.95299999999997</v>
      </c>
      <c r="BB14" s="116">
        <v>-3314.0819999999994</v>
      </c>
      <c r="BC14" s="118">
        <f t="shared" si="24"/>
        <v>-12.000000000057298</v>
      </c>
      <c r="BD14" s="118">
        <f t="shared" si="25"/>
        <v>11.000000000422006</v>
      </c>
      <c r="BE14" s="118">
        <f t="shared" si="26"/>
        <v>16.278820596427103</v>
      </c>
      <c r="BF14" s="127">
        <v>768.95600000000002</v>
      </c>
      <c r="BG14" s="127">
        <v>-3314.0789999999993</v>
      </c>
      <c r="BH14" s="118">
        <f t="shared" si="48"/>
        <v>-9.0000000000145519</v>
      </c>
      <c r="BI14" s="118">
        <f t="shared" si="49"/>
        <v>14.000000000578439</v>
      </c>
      <c r="BJ14" s="118">
        <f t="shared" si="50"/>
        <v>16.643316977587677</v>
      </c>
      <c r="BK14" s="127">
        <v>768.95799999999997</v>
      </c>
      <c r="BL14" s="127">
        <v>-3314.0749999999994</v>
      </c>
      <c r="BM14" s="118">
        <f t="shared" si="51"/>
        <v>-7.0000000000618456</v>
      </c>
      <c r="BN14" s="118">
        <f t="shared" si="52"/>
        <v>18.000000000483851</v>
      </c>
      <c r="BO14" s="118">
        <f t="shared" si="53"/>
        <v>19.313207916301334</v>
      </c>
      <c r="BP14" s="127">
        <v>768.95600000000002</v>
      </c>
      <c r="BQ14" s="127">
        <v>-3314.0729999999994</v>
      </c>
      <c r="BR14" s="118">
        <f t="shared" si="33"/>
        <v>-9.0000000000145519</v>
      </c>
      <c r="BS14" s="118">
        <f t="shared" si="34"/>
        <v>20.000000000436557</v>
      </c>
      <c r="BT14" s="118">
        <f t="shared" si="35"/>
        <v>21.931712199865387</v>
      </c>
      <c r="BU14" s="127">
        <v>768.95400000000006</v>
      </c>
      <c r="BV14" s="127">
        <v>-3314.0699999999993</v>
      </c>
      <c r="BW14" s="118">
        <f t="shared" si="36"/>
        <v>-10.999999999967258</v>
      </c>
      <c r="BX14" s="118">
        <f t="shared" si="37"/>
        <v>23.000000000592991</v>
      </c>
      <c r="BY14" s="118">
        <f t="shared" si="38"/>
        <v>25.495097568484756</v>
      </c>
      <c r="BZ14" s="115">
        <f t="shared" si="54"/>
        <v>5</v>
      </c>
    </row>
    <row r="15" spans="2:80" ht="15.95" customHeight="1" x14ac:dyDescent="0.25">
      <c r="B15" s="115">
        <v>6</v>
      </c>
      <c r="C15" s="116">
        <v>774.89700000000005</v>
      </c>
      <c r="D15" s="116">
        <v>-3315.6930000000002</v>
      </c>
      <c r="E15" s="117">
        <v>0</v>
      </c>
      <c r="F15" s="117">
        <v>0</v>
      </c>
      <c r="G15" s="118">
        <f t="shared" si="0"/>
        <v>0</v>
      </c>
      <c r="H15" s="116">
        <v>774.90099999999995</v>
      </c>
      <c r="I15" s="116">
        <v>-3315.69</v>
      </c>
      <c r="J15" s="117">
        <v>0</v>
      </c>
      <c r="K15" s="117">
        <v>0</v>
      </c>
      <c r="L15" s="118">
        <v>0</v>
      </c>
      <c r="M15" s="116">
        <v>774.90300000000002</v>
      </c>
      <c r="N15" s="116">
        <v>-3315.701</v>
      </c>
      <c r="O15" s="117">
        <f t="shared" si="39"/>
        <v>2.0000000000663931</v>
      </c>
      <c r="P15" s="117">
        <f t="shared" si="40"/>
        <v>-10.999999999967258</v>
      </c>
      <c r="Q15" s="118">
        <f t="shared" si="41"/>
        <v>11.180339887478612</v>
      </c>
      <c r="R15" s="116">
        <v>774.90100000000007</v>
      </c>
      <c r="S15" s="116">
        <v>-3315.6979999999999</v>
      </c>
      <c r="T15" s="118">
        <f t="shared" si="42"/>
        <v>1.1368683772161603E-10</v>
      </c>
      <c r="U15" s="118">
        <f t="shared" si="43"/>
        <v>-7.9999999998108251</v>
      </c>
      <c r="V15" s="118">
        <f t="shared" si="44"/>
        <v>7.9999999998108251</v>
      </c>
      <c r="W15" s="116">
        <v>774.90200000000004</v>
      </c>
      <c r="X15" s="116">
        <v>-3315.6959999999999</v>
      </c>
      <c r="Y15" s="118">
        <f t="shared" si="45"/>
        <v>1.00000000009004</v>
      </c>
      <c r="Z15" s="118">
        <f t="shared" si="46"/>
        <v>-5.9999999998581188</v>
      </c>
      <c r="AA15" s="118">
        <f t="shared" si="47"/>
        <v>6.0827625301730714</v>
      </c>
      <c r="AB15" s="129">
        <v>774.89800000000002</v>
      </c>
      <c r="AC15" s="129">
        <v>-3315.6909999999998</v>
      </c>
      <c r="AD15" s="118">
        <f t="shared" si="9"/>
        <v>-2.9999999999290594</v>
      </c>
      <c r="AE15" s="118">
        <f t="shared" si="10"/>
        <v>-0.99999999974897946</v>
      </c>
      <c r="AF15" s="118">
        <f t="shared" si="11"/>
        <v>3.1622776600216995</v>
      </c>
      <c r="AG15" s="116">
        <v>774.904</v>
      </c>
      <c r="AH15" s="116">
        <v>-3315.6990000000001</v>
      </c>
      <c r="AI15" s="118">
        <f t="shared" si="12"/>
        <v>3.0000000000427463</v>
      </c>
      <c r="AJ15" s="118">
        <f t="shared" si="13"/>
        <v>-9.0000000000145519</v>
      </c>
      <c r="AK15" s="118">
        <f t="shared" si="14"/>
        <v>9.4868329805324603</v>
      </c>
      <c r="AL15" s="116">
        <v>774.90700000000004</v>
      </c>
      <c r="AM15" s="116">
        <v>-3315.6959999999999</v>
      </c>
      <c r="AN15" s="118">
        <f t="shared" si="15"/>
        <v>6.0000000000854925</v>
      </c>
      <c r="AO15" s="118">
        <f t="shared" si="16"/>
        <v>-5.9999999998581188</v>
      </c>
      <c r="AP15" s="118">
        <f t="shared" si="17"/>
        <v>8.4852813741986974</v>
      </c>
      <c r="AQ15" s="116">
        <v>774.89700000000005</v>
      </c>
      <c r="AR15" s="116">
        <v>-3315.6970000000001</v>
      </c>
      <c r="AS15" s="118">
        <f t="shared" si="18"/>
        <v>-3.9999999999054126</v>
      </c>
      <c r="AT15" s="118">
        <f t="shared" si="19"/>
        <v>-7.0000000000618456</v>
      </c>
      <c r="AU15" s="118">
        <f t="shared" si="20"/>
        <v>8.0622577483053188</v>
      </c>
      <c r="AV15" s="116">
        <v>774.89200000000005</v>
      </c>
      <c r="AW15" s="116">
        <v>-3315.6950000000002</v>
      </c>
      <c r="AX15" s="125">
        <f t="shared" si="21"/>
        <v>-8.9999999999008651</v>
      </c>
      <c r="AY15" s="118">
        <f t="shared" si="22"/>
        <v>-5.0000000001091394</v>
      </c>
      <c r="AZ15" s="118">
        <f t="shared" si="23"/>
        <v>10.295630140953344</v>
      </c>
      <c r="BA15" s="116">
        <v>774.8900000000001</v>
      </c>
      <c r="BB15" s="116">
        <v>-3315.6960000000004</v>
      </c>
      <c r="BC15" s="118">
        <f t="shared" si="24"/>
        <v>-10.999999999853571</v>
      </c>
      <c r="BD15" s="118">
        <f t="shared" si="25"/>
        <v>-6.0000000003128662</v>
      </c>
      <c r="BE15" s="118">
        <f t="shared" si="26"/>
        <v>12.529964086162936</v>
      </c>
      <c r="BF15" s="127">
        <v>774.8900000000001</v>
      </c>
      <c r="BG15" s="127">
        <v>-3315.6940000000004</v>
      </c>
      <c r="BH15" s="118">
        <f t="shared" si="48"/>
        <v>-10.999999999853571</v>
      </c>
      <c r="BI15" s="118">
        <f t="shared" si="49"/>
        <v>-4.0000000003601599</v>
      </c>
      <c r="BJ15" s="118">
        <f t="shared" si="50"/>
        <v>11.704699910705095</v>
      </c>
      <c r="BK15" s="127">
        <v>774.8900000000001</v>
      </c>
      <c r="BL15" s="127">
        <v>-3315.6960000000004</v>
      </c>
      <c r="BM15" s="118">
        <f t="shared" si="51"/>
        <v>-10.999999999853571</v>
      </c>
      <c r="BN15" s="118">
        <f t="shared" si="52"/>
        <v>-6.0000000003128662</v>
      </c>
      <c r="BO15" s="118">
        <f t="shared" si="53"/>
        <v>12.529964086162936</v>
      </c>
      <c r="BP15" s="127">
        <v>774.88900000000012</v>
      </c>
      <c r="BQ15" s="127">
        <v>-3315.6970000000006</v>
      </c>
      <c r="BR15" s="118">
        <f t="shared" si="33"/>
        <v>-11.999999999829924</v>
      </c>
      <c r="BS15" s="118">
        <f t="shared" si="34"/>
        <v>-7.000000000516593</v>
      </c>
      <c r="BT15" s="118">
        <f t="shared" si="35"/>
        <v>13.892443989563192</v>
      </c>
      <c r="BU15" s="127">
        <v>774.88700000000017</v>
      </c>
      <c r="BV15" s="127">
        <v>-3315.6990000000005</v>
      </c>
      <c r="BW15" s="118">
        <f t="shared" si="36"/>
        <v>-13.999999999782631</v>
      </c>
      <c r="BX15" s="118">
        <f t="shared" si="37"/>
        <v>-9.0000000004692993</v>
      </c>
      <c r="BY15" s="118">
        <f t="shared" si="38"/>
        <v>16.643316977164169</v>
      </c>
      <c r="BZ15" s="115">
        <f t="shared" si="54"/>
        <v>6</v>
      </c>
    </row>
    <row r="16" spans="2:80" ht="15.95" customHeight="1" x14ac:dyDescent="0.25">
      <c r="B16" s="115">
        <v>7</v>
      </c>
      <c r="C16" s="116">
        <v>779.52099999999996</v>
      </c>
      <c r="D16" s="116">
        <v>-3315.52</v>
      </c>
      <c r="E16" s="117">
        <v>0</v>
      </c>
      <c r="F16" s="117">
        <v>0</v>
      </c>
      <c r="G16" s="118">
        <f t="shared" si="0"/>
        <v>0</v>
      </c>
      <c r="H16" s="116">
        <v>779.52</v>
      </c>
      <c r="I16" s="116">
        <v>-3315.5189999999998</v>
      </c>
      <c r="J16" s="117">
        <v>0</v>
      </c>
      <c r="K16" s="117">
        <v>0</v>
      </c>
      <c r="L16" s="118">
        <v>0</v>
      </c>
      <c r="M16" s="116">
        <v>779.524</v>
      </c>
      <c r="N16" s="116">
        <v>-3315.5259999999998</v>
      </c>
      <c r="O16" s="117">
        <f t="shared" si="39"/>
        <v>4.0000000000190994</v>
      </c>
      <c r="P16" s="117">
        <f t="shared" si="40"/>
        <v>-7.0000000000618456</v>
      </c>
      <c r="Q16" s="118">
        <f t="shared" si="41"/>
        <v>8.0622577483617235</v>
      </c>
      <c r="R16" s="116">
        <v>779.52099999999996</v>
      </c>
      <c r="S16" s="116">
        <v>-3315.5229999999997</v>
      </c>
      <c r="T16" s="118">
        <f t="shared" si="42"/>
        <v>0.99999999997635314</v>
      </c>
      <c r="U16" s="118">
        <f t="shared" si="43"/>
        <v>-3.9999999999054126</v>
      </c>
      <c r="V16" s="118">
        <f t="shared" si="44"/>
        <v>4.1231056255201617</v>
      </c>
      <c r="W16" s="116">
        <v>779.52499999999998</v>
      </c>
      <c r="X16" s="116">
        <v>-3315.5199999999995</v>
      </c>
      <c r="Y16" s="118">
        <f t="shared" si="45"/>
        <v>4.9999999999954525</v>
      </c>
      <c r="Z16" s="118">
        <f t="shared" si="46"/>
        <v>-0.99999999974897946</v>
      </c>
      <c r="AA16" s="118">
        <f t="shared" si="47"/>
        <v>5.0990195135390968</v>
      </c>
      <c r="AB16" s="129">
        <v>779.529</v>
      </c>
      <c r="AC16" s="129">
        <v>-3315.5230000000001</v>
      </c>
      <c r="AD16" s="118">
        <f t="shared" si="9"/>
        <v>9.0000000000145519</v>
      </c>
      <c r="AE16" s="118">
        <f t="shared" si="10"/>
        <v>-4.0000000003601599</v>
      </c>
      <c r="AF16" s="118">
        <f t="shared" si="11"/>
        <v>9.8488578019556776</v>
      </c>
      <c r="AG16" s="116">
        <v>779.53</v>
      </c>
      <c r="AH16" s="116">
        <v>-3315.5219999999995</v>
      </c>
      <c r="AI16" s="118">
        <f t="shared" si="12"/>
        <v>9.9999999999909051</v>
      </c>
      <c r="AJ16" s="118">
        <f t="shared" si="13"/>
        <v>-2.9999999997016857</v>
      </c>
      <c r="AK16" s="118">
        <f t="shared" si="14"/>
        <v>10.44030650881612</v>
      </c>
      <c r="AL16" s="116">
        <v>779.52800000000002</v>
      </c>
      <c r="AM16" s="116">
        <v>-3315.5179999999996</v>
      </c>
      <c r="AN16" s="118">
        <f t="shared" si="15"/>
        <v>8.0000000000381988</v>
      </c>
      <c r="AO16" s="118">
        <f t="shared" si="16"/>
        <v>1.0000000002037268</v>
      </c>
      <c r="AP16" s="118">
        <f t="shared" si="17"/>
        <v>8.0622577483617235</v>
      </c>
      <c r="AQ16" s="116">
        <v>779.52300000000002</v>
      </c>
      <c r="AR16" s="116">
        <v>-3315.5199999999995</v>
      </c>
      <c r="AS16" s="118">
        <f t="shared" si="18"/>
        <v>3.0000000000427463</v>
      </c>
      <c r="AT16" s="118">
        <f t="shared" si="19"/>
        <v>-0.99999999974897946</v>
      </c>
      <c r="AU16" s="118">
        <f t="shared" si="20"/>
        <v>3.1622776601295524</v>
      </c>
      <c r="AV16" s="116">
        <v>779.52</v>
      </c>
      <c r="AW16" s="116">
        <v>-3315.5219999999995</v>
      </c>
      <c r="AX16" s="125">
        <f t="shared" si="21"/>
        <v>0</v>
      </c>
      <c r="AY16" s="118">
        <f t="shared" si="22"/>
        <v>-2.9999999997016857</v>
      </c>
      <c r="AZ16" s="118">
        <f t="shared" si="23"/>
        <v>2.9999999997016857</v>
      </c>
      <c r="BA16" s="116">
        <v>779.52199999999993</v>
      </c>
      <c r="BB16" s="116">
        <v>-3315.5189999999993</v>
      </c>
      <c r="BC16" s="118">
        <f t="shared" si="24"/>
        <v>1.9999999999527063</v>
      </c>
      <c r="BD16" s="118">
        <f t="shared" si="25"/>
        <v>4.5474735088646412E-10</v>
      </c>
      <c r="BE16" s="118">
        <f t="shared" si="26"/>
        <v>1.9999999999527063</v>
      </c>
      <c r="BF16" s="127">
        <v>779.52499999999998</v>
      </c>
      <c r="BG16" s="127">
        <v>-3315.5189999999993</v>
      </c>
      <c r="BH16" s="118">
        <f t="shared" si="48"/>
        <v>4.9999999999954525</v>
      </c>
      <c r="BI16" s="118">
        <f t="shared" si="49"/>
        <v>4.5474735088646412E-10</v>
      </c>
      <c r="BJ16" s="118">
        <f t="shared" si="50"/>
        <v>4.9999999999954525</v>
      </c>
      <c r="BK16" s="127">
        <v>779.52499999999998</v>
      </c>
      <c r="BL16" s="127">
        <v>-3315.5199999999995</v>
      </c>
      <c r="BM16" s="118">
        <f t="shared" si="51"/>
        <v>4.9999999999954525</v>
      </c>
      <c r="BN16" s="118">
        <f t="shared" si="52"/>
        <v>-0.99999999974897946</v>
      </c>
      <c r="BO16" s="118">
        <f t="shared" si="53"/>
        <v>5.0990195135390968</v>
      </c>
      <c r="BP16" s="127">
        <v>779.52699999999993</v>
      </c>
      <c r="BQ16" s="127">
        <v>-3315.5169999999994</v>
      </c>
      <c r="BR16" s="118">
        <f t="shared" si="33"/>
        <v>6.9999999999481588</v>
      </c>
      <c r="BS16" s="118">
        <f t="shared" si="34"/>
        <v>2.0000000004074536</v>
      </c>
      <c r="BT16" s="118">
        <f t="shared" si="35"/>
        <v>7.2801098893426079</v>
      </c>
      <c r="BU16" s="127">
        <v>779.52599999999995</v>
      </c>
      <c r="BV16" s="127">
        <v>-3315.5149999999994</v>
      </c>
      <c r="BW16" s="118">
        <f t="shared" si="36"/>
        <v>5.9999999999718057</v>
      </c>
      <c r="BX16" s="118">
        <f t="shared" si="37"/>
        <v>4.0000000003601599</v>
      </c>
      <c r="BY16" s="118">
        <f t="shared" si="38"/>
        <v>7.2111025511043003</v>
      </c>
      <c r="BZ16" s="115">
        <f t="shared" si="54"/>
        <v>7</v>
      </c>
    </row>
    <row r="17" spans="2:80" ht="15.95" customHeight="1" x14ac:dyDescent="0.25">
      <c r="B17" s="115">
        <v>8</v>
      </c>
      <c r="C17" s="116">
        <v>786.197</v>
      </c>
      <c r="D17" s="116">
        <v>-3315.2649999999999</v>
      </c>
      <c r="E17" s="117">
        <v>0</v>
      </c>
      <c r="F17" s="117">
        <v>0</v>
      </c>
      <c r="G17" s="118">
        <f t="shared" si="0"/>
        <v>0</v>
      </c>
      <c r="H17" s="116">
        <v>786.197</v>
      </c>
      <c r="I17" s="116">
        <v>-3315.2669999999998</v>
      </c>
      <c r="J17" s="117">
        <v>0</v>
      </c>
      <c r="K17" s="117">
        <v>0</v>
      </c>
      <c r="L17" s="118">
        <v>0</v>
      </c>
      <c r="M17" s="116">
        <v>786.19200000000001</v>
      </c>
      <c r="N17" s="116">
        <v>-3315.261</v>
      </c>
      <c r="O17" s="117">
        <f t="shared" si="39"/>
        <v>-4.9999999999954525</v>
      </c>
      <c r="P17" s="117">
        <f t="shared" si="40"/>
        <v>5.9999999998581188</v>
      </c>
      <c r="Q17" s="118">
        <f t="shared" si="41"/>
        <v>7.810249675794747</v>
      </c>
      <c r="R17" s="116">
        <v>786.18799999999999</v>
      </c>
      <c r="S17" s="116">
        <v>-3315.2570000000001</v>
      </c>
      <c r="T17" s="118">
        <f t="shared" si="42"/>
        <v>-9.0000000000145519</v>
      </c>
      <c r="U17" s="118">
        <f t="shared" si="43"/>
        <v>9.9999999997635314</v>
      </c>
      <c r="V17" s="118">
        <f t="shared" si="44"/>
        <v>13.453624046907679</v>
      </c>
      <c r="W17" s="116">
        <v>786.19200000000001</v>
      </c>
      <c r="X17" s="116">
        <v>-3315.2550000000001</v>
      </c>
      <c r="Y17" s="118">
        <f t="shared" si="45"/>
        <v>-4.9999999999954525</v>
      </c>
      <c r="Z17" s="118">
        <f t="shared" si="46"/>
        <v>11.999999999716238</v>
      </c>
      <c r="AA17" s="118">
        <f t="shared" si="47"/>
        <v>12.999999999736316</v>
      </c>
      <c r="AB17" s="129">
        <v>786.19500000000005</v>
      </c>
      <c r="AC17" s="129">
        <v>-3315.2570000000001</v>
      </c>
      <c r="AD17" s="118">
        <f t="shared" si="9"/>
        <v>-1.9999999999527063</v>
      </c>
      <c r="AE17" s="118">
        <f t="shared" si="10"/>
        <v>9.9999999997635314</v>
      </c>
      <c r="AF17" s="118">
        <f t="shared" si="11"/>
        <v>10.198039026944418</v>
      </c>
      <c r="AG17" s="116">
        <v>786.19799999999998</v>
      </c>
      <c r="AH17" s="116">
        <v>-3315.259</v>
      </c>
      <c r="AI17" s="118">
        <f t="shared" si="12"/>
        <v>0.99999999997635314</v>
      </c>
      <c r="AJ17" s="118">
        <f t="shared" si="13"/>
        <v>7.9999999998108251</v>
      </c>
      <c r="AK17" s="118">
        <f t="shared" si="14"/>
        <v>8.0622577481079034</v>
      </c>
      <c r="AL17" s="116">
        <v>786.19899999999996</v>
      </c>
      <c r="AM17" s="116">
        <v>-3315.2579999999998</v>
      </c>
      <c r="AN17" s="118">
        <f t="shared" si="15"/>
        <v>1.9999999999527063</v>
      </c>
      <c r="AO17" s="118">
        <f t="shared" si="16"/>
        <v>9.0000000000145519</v>
      </c>
      <c r="AP17" s="118">
        <f t="shared" si="17"/>
        <v>9.2195444572968341</v>
      </c>
      <c r="AQ17" s="116">
        <v>786.20099999999991</v>
      </c>
      <c r="AR17" s="116">
        <v>-3315.2559999999999</v>
      </c>
      <c r="AS17" s="118">
        <f t="shared" si="18"/>
        <v>3.9999999999054126</v>
      </c>
      <c r="AT17" s="118">
        <f t="shared" si="19"/>
        <v>10.999999999967258</v>
      </c>
      <c r="AU17" s="118">
        <f t="shared" si="20"/>
        <v>11.704699910656529</v>
      </c>
      <c r="AV17" s="116">
        <v>786.19899999999996</v>
      </c>
      <c r="AW17" s="116">
        <v>-3315.2539999999999</v>
      </c>
      <c r="AX17" s="125">
        <f t="shared" si="21"/>
        <v>1.9999999999527063</v>
      </c>
      <c r="AY17" s="118">
        <f t="shared" si="22"/>
        <v>12.999999999919964</v>
      </c>
      <c r="AZ17" s="118">
        <f t="shared" si="23"/>
        <v>13.15294643787961</v>
      </c>
      <c r="BA17" s="116">
        <v>786.197</v>
      </c>
      <c r="BB17" s="116">
        <v>-3315.2509999999997</v>
      </c>
      <c r="BC17" s="118">
        <f t="shared" si="24"/>
        <v>0</v>
      </c>
      <c r="BD17" s="118">
        <f t="shared" si="25"/>
        <v>16.000000000076398</v>
      </c>
      <c r="BE17" s="118">
        <f t="shared" si="26"/>
        <v>16.000000000076398</v>
      </c>
      <c r="BF17" s="127">
        <v>786.19399999999996</v>
      </c>
      <c r="BG17" s="127">
        <v>-3315.2539999999999</v>
      </c>
      <c r="BH17" s="118">
        <f t="shared" si="48"/>
        <v>-3.0000000000427463</v>
      </c>
      <c r="BI17" s="118">
        <f t="shared" si="49"/>
        <v>12.999999999919964</v>
      </c>
      <c r="BJ17" s="118">
        <f t="shared" si="50"/>
        <v>13.34166406405796</v>
      </c>
      <c r="BK17" s="127">
        <v>786.19599999999991</v>
      </c>
      <c r="BL17" s="127">
        <v>-3315.2550000000001</v>
      </c>
      <c r="BM17" s="118">
        <f t="shared" si="51"/>
        <v>-1.00000000009004</v>
      </c>
      <c r="BN17" s="118">
        <f t="shared" si="52"/>
        <v>11.999999999716238</v>
      </c>
      <c r="BO17" s="118">
        <f t="shared" si="53"/>
        <v>12.041594578516991</v>
      </c>
      <c r="BP17" s="127">
        <v>786.19699999999989</v>
      </c>
      <c r="BQ17" s="127">
        <v>-3315.2550000000001</v>
      </c>
      <c r="BR17" s="118">
        <f t="shared" si="33"/>
        <v>-1.1368683772161603E-10</v>
      </c>
      <c r="BS17" s="118">
        <f t="shared" si="34"/>
        <v>11.999999999716238</v>
      </c>
      <c r="BT17" s="118">
        <f t="shared" si="35"/>
        <v>11.999999999716238</v>
      </c>
      <c r="BU17" s="127">
        <v>786.19899999999984</v>
      </c>
      <c r="BV17" s="127">
        <v>-3315.2560000000003</v>
      </c>
      <c r="BW17" s="118">
        <f t="shared" si="36"/>
        <v>1.9999999998390194</v>
      </c>
      <c r="BX17" s="118">
        <f t="shared" si="37"/>
        <v>10.999999999512511</v>
      </c>
      <c r="BY17" s="118">
        <f t="shared" si="38"/>
        <v>11.180339886990525</v>
      </c>
      <c r="BZ17" s="115">
        <f t="shared" si="54"/>
        <v>8</v>
      </c>
    </row>
    <row r="18" spans="2:80" ht="15.95" customHeight="1" x14ac:dyDescent="0.25">
      <c r="B18" s="115">
        <v>9</v>
      </c>
      <c r="C18" s="116">
        <v>792.08699999999999</v>
      </c>
      <c r="D18" s="116">
        <v>-3315.0749999999998</v>
      </c>
      <c r="E18" s="117">
        <v>0</v>
      </c>
      <c r="F18" s="117">
        <v>0</v>
      </c>
      <c r="G18" s="118">
        <f t="shared" si="0"/>
        <v>0</v>
      </c>
      <c r="H18" s="116">
        <v>792.08699999999999</v>
      </c>
      <c r="I18" s="116">
        <v>-3315.0749999999998</v>
      </c>
      <c r="J18" s="117">
        <v>0</v>
      </c>
      <c r="K18" s="117">
        <v>0</v>
      </c>
      <c r="L18" s="118">
        <v>0</v>
      </c>
      <c r="M18" s="116">
        <v>792.08600000000001</v>
      </c>
      <c r="N18" s="116">
        <v>-3315.078</v>
      </c>
      <c r="O18" s="117">
        <f t="shared" si="39"/>
        <v>-0.99999999997635314</v>
      </c>
      <c r="P18" s="117">
        <f t="shared" si="40"/>
        <v>-3.0000000001564331</v>
      </c>
      <c r="Q18" s="118">
        <f t="shared" si="41"/>
        <v>3.1622776603093068</v>
      </c>
      <c r="R18" s="116">
        <v>792.08299999999997</v>
      </c>
      <c r="S18" s="116">
        <v>-3315.0740000000001</v>
      </c>
      <c r="T18" s="118">
        <f t="shared" si="42"/>
        <v>-4.0000000000190994</v>
      </c>
      <c r="U18" s="118">
        <f t="shared" si="43"/>
        <v>0.99999999974897946</v>
      </c>
      <c r="V18" s="118">
        <f t="shared" si="44"/>
        <v>4.1231056255753087</v>
      </c>
      <c r="W18" s="116">
        <v>792.08699999999999</v>
      </c>
      <c r="X18" s="116">
        <v>-3315.07</v>
      </c>
      <c r="Y18" s="118">
        <f t="shared" si="45"/>
        <v>0</v>
      </c>
      <c r="Z18" s="118">
        <f t="shared" si="46"/>
        <v>4.999999999654392</v>
      </c>
      <c r="AA18" s="118">
        <f t="shared" si="47"/>
        <v>4.999999999654392</v>
      </c>
      <c r="AB18" s="129">
        <v>792.09199999999998</v>
      </c>
      <c r="AC18" s="129">
        <v>-3315.0640000000003</v>
      </c>
      <c r="AD18" s="118">
        <f t="shared" si="9"/>
        <v>4.9999999999954525</v>
      </c>
      <c r="AE18" s="118">
        <f t="shared" si="10"/>
        <v>10.999999999512511</v>
      </c>
      <c r="AF18" s="118">
        <f t="shared" si="11"/>
        <v>12.083045973148897</v>
      </c>
      <c r="AG18" s="116">
        <v>792.09199999999998</v>
      </c>
      <c r="AH18" s="116">
        <v>-3315.0740000000001</v>
      </c>
      <c r="AI18" s="118">
        <f t="shared" si="12"/>
        <v>4.9999999999954525</v>
      </c>
      <c r="AJ18" s="118">
        <f t="shared" si="13"/>
        <v>0.99999999974897946</v>
      </c>
      <c r="AK18" s="118">
        <f t="shared" si="14"/>
        <v>5.0990195135390968</v>
      </c>
      <c r="AL18" s="116">
        <v>792.09</v>
      </c>
      <c r="AM18" s="116">
        <v>-3315.0709999999999</v>
      </c>
      <c r="AN18" s="118">
        <f t="shared" si="15"/>
        <v>3.0000000000427463</v>
      </c>
      <c r="AO18" s="118">
        <f t="shared" si="16"/>
        <v>3.9999999999054126</v>
      </c>
      <c r="AP18" s="118">
        <f t="shared" si="17"/>
        <v>4.9999999999499778</v>
      </c>
      <c r="AQ18" s="116">
        <v>792.08900000000006</v>
      </c>
      <c r="AR18" s="116">
        <v>-3315.0709999999999</v>
      </c>
      <c r="AS18" s="118">
        <f t="shared" si="18"/>
        <v>2.0000000000663931</v>
      </c>
      <c r="AT18" s="118">
        <f t="shared" si="19"/>
        <v>3.9999999999054126</v>
      </c>
      <c r="AU18" s="118">
        <f t="shared" si="20"/>
        <v>4.4721359549446698</v>
      </c>
      <c r="AV18" s="116">
        <v>792.0920000000001</v>
      </c>
      <c r="AW18" s="116">
        <v>-3315.0699999999997</v>
      </c>
      <c r="AX18" s="125">
        <f t="shared" si="21"/>
        <v>5.0000000001091394</v>
      </c>
      <c r="AY18" s="118">
        <f t="shared" si="22"/>
        <v>5.0000000001091394</v>
      </c>
      <c r="AZ18" s="118">
        <f t="shared" si="23"/>
        <v>7.0710678120198214</v>
      </c>
      <c r="BA18" s="116">
        <v>792.09100000000012</v>
      </c>
      <c r="BB18" s="116">
        <v>-3315.0699999999997</v>
      </c>
      <c r="BC18" s="118">
        <f t="shared" si="24"/>
        <v>4.0000000001327862</v>
      </c>
      <c r="BD18" s="118">
        <f t="shared" si="25"/>
        <v>5.0000000001091394</v>
      </c>
      <c r="BE18" s="118">
        <f t="shared" si="26"/>
        <v>6.4031242376010233</v>
      </c>
      <c r="BF18" s="127">
        <v>792.09400000000016</v>
      </c>
      <c r="BG18" s="127">
        <v>-3315.0669999999996</v>
      </c>
      <c r="BH18" s="118">
        <f t="shared" si="48"/>
        <v>7.0000000001755325</v>
      </c>
      <c r="BI18" s="118">
        <f t="shared" si="49"/>
        <v>8.0000000002655725</v>
      </c>
      <c r="BJ18" s="118">
        <f t="shared" si="50"/>
        <v>10.630145813050103</v>
      </c>
      <c r="BK18" s="127">
        <v>792.09100000000012</v>
      </c>
      <c r="BL18" s="127">
        <v>-3315.0689999999995</v>
      </c>
      <c r="BM18" s="118">
        <f t="shared" si="51"/>
        <v>4.0000000001327862</v>
      </c>
      <c r="BN18" s="118">
        <f t="shared" si="52"/>
        <v>6.0000000003128662</v>
      </c>
      <c r="BO18" s="118">
        <f t="shared" si="53"/>
        <v>7.2111025512619555</v>
      </c>
      <c r="BP18" s="127">
        <v>792.08800000000008</v>
      </c>
      <c r="BQ18" s="127">
        <v>-3315.0709999999995</v>
      </c>
      <c r="BR18" s="118">
        <f t="shared" si="33"/>
        <v>1.00000000009004</v>
      </c>
      <c r="BS18" s="118">
        <f t="shared" si="34"/>
        <v>4.0000000003601599</v>
      </c>
      <c r="BT18" s="118">
        <f t="shared" si="35"/>
        <v>4.123105625988905</v>
      </c>
      <c r="BU18" s="127">
        <v>792.08900000000006</v>
      </c>
      <c r="BV18" s="127">
        <v>-3315.0709999999995</v>
      </c>
      <c r="BW18" s="118">
        <f t="shared" si="36"/>
        <v>2.0000000000663931</v>
      </c>
      <c r="BX18" s="118">
        <f t="shared" si="37"/>
        <v>4.0000000003601599</v>
      </c>
      <c r="BY18" s="118">
        <f t="shared" si="38"/>
        <v>4.4721359553514084</v>
      </c>
      <c r="BZ18" s="115">
        <f t="shared" si="54"/>
        <v>9</v>
      </c>
    </row>
    <row r="19" spans="2:80" ht="15.95" customHeight="1" x14ac:dyDescent="0.25">
      <c r="B19" s="115">
        <v>10</v>
      </c>
      <c r="C19" s="116">
        <v>798.66700000000003</v>
      </c>
      <c r="D19" s="116">
        <v>-3314.8609999999999</v>
      </c>
      <c r="E19" s="117">
        <v>0</v>
      </c>
      <c r="F19" s="117">
        <v>0</v>
      </c>
      <c r="G19" s="118">
        <f t="shared" si="0"/>
        <v>0</v>
      </c>
      <c r="H19" s="116">
        <v>798.66499999999996</v>
      </c>
      <c r="I19" s="116">
        <v>-3314.8620000000001</v>
      </c>
      <c r="J19" s="117">
        <v>0</v>
      </c>
      <c r="K19" s="117">
        <v>0</v>
      </c>
      <c r="L19" s="118">
        <v>0</v>
      </c>
      <c r="M19" s="116">
        <v>798.67499999999995</v>
      </c>
      <c r="N19" s="116">
        <v>-3314.8820000000001</v>
      </c>
      <c r="O19" s="117">
        <f t="shared" si="39"/>
        <v>9.9999999999909051</v>
      </c>
      <c r="P19" s="122">
        <f t="shared" si="40"/>
        <v>-19.99999999998181</v>
      </c>
      <c r="Q19" s="119">
        <f t="shared" si="41"/>
        <v>22.360679774977559</v>
      </c>
      <c r="R19" s="116">
        <v>798.67399999999998</v>
      </c>
      <c r="S19" s="116">
        <v>-3314.8780000000002</v>
      </c>
      <c r="T19" s="118">
        <f t="shared" si="42"/>
        <v>9.0000000000145519</v>
      </c>
      <c r="U19" s="118">
        <f t="shared" si="43"/>
        <v>-16.000000000076398</v>
      </c>
      <c r="V19" s="118">
        <f t="shared" si="44"/>
        <v>18.357559750759538</v>
      </c>
      <c r="W19" s="116">
        <v>798.67599999999993</v>
      </c>
      <c r="X19" s="116">
        <v>-3314.875</v>
      </c>
      <c r="Y19" s="118">
        <f t="shared" si="45"/>
        <v>10.999999999967258</v>
      </c>
      <c r="Z19" s="118">
        <f t="shared" si="46"/>
        <v>-12.999999999919964</v>
      </c>
      <c r="AA19" s="118">
        <f t="shared" si="47"/>
        <v>17.029386365844154</v>
      </c>
      <c r="AB19" s="129">
        <v>798.6819999999999</v>
      </c>
      <c r="AC19" s="129">
        <v>-3314.8780000000002</v>
      </c>
      <c r="AD19" s="119">
        <f t="shared" si="9"/>
        <v>16.999999999939064</v>
      </c>
      <c r="AE19" s="118">
        <f t="shared" si="10"/>
        <v>-16.000000000076398</v>
      </c>
      <c r="AF19" s="119">
        <f t="shared" si="11"/>
        <v>23.345235059865491</v>
      </c>
      <c r="AG19" s="116">
        <v>798.68</v>
      </c>
      <c r="AH19" s="116">
        <v>-3314.8719999999998</v>
      </c>
      <c r="AI19" s="118">
        <f t="shared" si="12"/>
        <v>14.999999999986358</v>
      </c>
      <c r="AJ19" s="118">
        <f t="shared" si="13"/>
        <v>-9.9999999997635314</v>
      </c>
      <c r="AK19" s="118">
        <f t="shared" si="14"/>
        <v>18.027756377177425</v>
      </c>
      <c r="AL19" s="116">
        <v>798.68399999999997</v>
      </c>
      <c r="AM19" s="116">
        <v>-3314.8689999999997</v>
      </c>
      <c r="AN19" s="118">
        <f t="shared" si="15"/>
        <v>19.000000000005457</v>
      </c>
      <c r="AO19" s="118">
        <f t="shared" si="16"/>
        <v>-6.9999999996070983</v>
      </c>
      <c r="AP19" s="118">
        <f t="shared" si="17"/>
        <v>20.248456731185879</v>
      </c>
      <c r="AQ19" s="116">
        <v>798.68299999999999</v>
      </c>
      <c r="AR19" s="116">
        <v>-3314.8659999999995</v>
      </c>
      <c r="AS19" s="123">
        <f t="shared" si="18"/>
        <v>18.000000000029104</v>
      </c>
      <c r="AT19" s="118">
        <f t="shared" si="19"/>
        <v>-3.9999999994506652</v>
      </c>
      <c r="AU19" s="118">
        <f t="shared" si="20"/>
        <v>18.439088914495017</v>
      </c>
      <c r="AV19" s="116">
        <v>798.67899999999997</v>
      </c>
      <c r="AW19" s="116">
        <v>-3314.8689999999997</v>
      </c>
      <c r="AX19" s="125">
        <f t="shared" si="21"/>
        <v>14.000000000010004</v>
      </c>
      <c r="AY19" s="118">
        <f t="shared" si="22"/>
        <v>-6.9999999996070983</v>
      </c>
      <c r="AZ19" s="118">
        <f t="shared" si="23"/>
        <v>15.652475842331764</v>
      </c>
      <c r="BA19" s="116">
        <v>798.68</v>
      </c>
      <c r="BB19" s="116">
        <v>-3314.8689999999997</v>
      </c>
      <c r="BC19" s="118">
        <f t="shared" si="24"/>
        <v>14.999999999986358</v>
      </c>
      <c r="BD19" s="118">
        <f t="shared" si="25"/>
        <v>-6.9999999996070983</v>
      </c>
      <c r="BE19" s="118">
        <f t="shared" si="26"/>
        <v>16.552945357068335</v>
      </c>
      <c r="BF19" s="127">
        <v>798.6819999999999</v>
      </c>
      <c r="BG19" s="127">
        <v>-3314.8689999999997</v>
      </c>
      <c r="BH19" s="118">
        <f t="shared" si="48"/>
        <v>16.999999999939064</v>
      </c>
      <c r="BI19" s="118">
        <f t="shared" si="49"/>
        <v>-6.9999999996070983</v>
      </c>
      <c r="BJ19" s="118">
        <f t="shared" si="50"/>
        <v>18.384776310644291</v>
      </c>
      <c r="BK19" s="127">
        <v>798.68599999999992</v>
      </c>
      <c r="BL19" s="127">
        <v>-3314.8689999999997</v>
      </c>
      <c r="BM19" s="118">
        <f t="shared" si="51"/>
        <v>20.999999999958163</v>
      </c>
      <c r="BN19" s="118">
        <f t="shared" si="52"/>
        <v>-6.9999999996070983</v>
      </c>
      <c r="BO19" s="118">
        <f t="shared" si="53"/>
        <v>22.135943621014718</v>
      </c>
      <c r="BP19" s="127">
        <v>798.68799999999987</v>
      </c>
      <c r="BQ19" s="127">
        <v>-3314.8689999999997</v>
      </c>
      <c r="BR19" s="119">
        <f t="shared" si="33"/>
        <v>22.99999999991087</v>
      </c>
      <c r="BS19" s="118">
        <f t="shared" si="34"/>
        <v>-6.9999999996070983</v>
      </c>
      <c r="BT19" s="118">
        <f t="shared" si="35"/>
        <v>24.041630560142949</v>
      </c>
      <c r="BU19" s="127">
        <v>798.68499999999983</v>
      </c>
      <c r="BV19" s="127">
        <v>-3314.87</v>
      </c>
      <c r="BW19" s="118">
        <f t="shared" si="36"/>
        <v>19.999999999868123</v>
      </c>
      <c r="BX19" s="118">
        <f t="shared" si="37"/>
        <v>-7.9999999998108251</v>
      </c>
      <c r="BY19" s="118">
        <f t="shared" si="38"/>
        <v>21.540659228345312</v>
      </c>
      <c r="BZ19" s="115">
        <f t="shared" si="54"/>
        <v>10</v>
      </c>
    </row>
    <row r="20" spans="2:80" ht="15.95" customHeight="1" x14ac:dyDescent="0.25">
      <c r="B20" s="115">
        <v>11</v>
      </c>
      <c r="C20" s="116">
        <v>804.04600000000005</v>
      </c>
      <c r="D20" s="116">
        <v>-3314.7060000000001</v>
      </c>
      <c r="E20" s="117">
        <v>0</v>
      </c>
      <c r="F20" s="117">
        <v>0</v>
      </c>
      <c r="G20" s="118">
        <f t="shared" si="0"/>
        <v>0</v>
      </c>
      <c r="H20" s="116">
        <v>804.04700000000003</v>
      </c>
      <c r="I20" s="116">
        <v>-3314.7089999999998</v>
      </c>
      <c r="J20" s="117">
        <v>0</v>
      </c>
      <c r="K20" s="117">
        <v>0</v>
      </c>
      <c r="L20" s="118">
        <v>0</v>
      </c>
      <c r="M20" s="116">
        <v>804.05399999999997</v>
      </c>
      <c r="N20" s="116">
        <v>-3314.71</v>
      </c>
      <c r="O20" s="117">
        <f t="shared" si="39"/>
        <v>6.9999999999481588</v>
      </c>
      <c r="P20" s="117">
        <f t="shared" si="40"/>
        <v>-1.0000000002037268</v>
      </c>
      <c r="Q20" s="118">
        <f t="shared" si="41"/>
        <v>7.0710678118429664</v>
      </c>
      <c r="R20" s="116">
        <v>804.05099999999993</v>
      </c>
      <c r="S20" s="116">
        <v>-3314.7049999999999</v>
      </c>
      <c r="T20" s="118">
        <f t="shared" si="42"/>
        <v>3.9999999999054126</v>
      </c>
      <c r="U20" s="118">
        <f t="shared" si="43"/>
        <v>3.9999999999054126</v>
      </c>
      <c r="V20" s="118">
        <f t="shared" si="44"/>
        <v>5.6568542493586129</v>
      </c>
      <c r="W20" s="116">
        <v>804.05199999999991</v>
      </c>
      <c r="X20" s="116">
        <v>-3314.7</v>
      </c>
      <c r="Y20" s="118">
        <f t="shared" si="45"/>
        <v>4.9999999998817657</v>
      </c>
      <c r="Z20" s="118">
        <f t="shared" si="46"/>
        <v>9.0000000000145519</v>
      </c>
      <c r="AA20" s="118">
        <f t="shared" si="47"/>
        <v>10.295630140942301</v>
      </c>
      <c r="AB20" s="129">
        <v>804.0569999999999</v>
      </c>
      <c r="AC20" s="129">
        <v>-3314.6949999999997</v>
      </c>
      <c r="AD20" s="118">
        <f t="shared" si="9"/>
        <v>9.9999999998772182</v>
      </c>
      <c r="AE20" s="118">
        <f t="shared" si="10"/>
        <v>14.000000000123691</v>
      </c>
      <c r="AF20" s="118">
        <f t="shared" si="11"/>
        <v>17.204650534114538</v>
      </c>
      <c r="AG20" s="116">
        <v>804.05199999999991</v>
      </c>
      <c r="AH20" s="116">
        <v>-3314.6989999999996</v>
      </c>
      <c r="AI20" s="118">
        <f t="shared" si="12"/>
        <v>4.9999999998817657</v>
      </c>
      <c r="AJ20" s="118">
        <f t="shared" si="13"/>
        <v>10.000000000218279</v>
      </c>
      <c r="AK20" s="118">
        <f t="shared" si="14"/>
        <v>11.180339887641306</v>
      </c>
      <c r="AL20" s="116">
        <v>804.05399999999986</v>
      </c>
      <c r="AM20" s="116">
        <v>-3314.6949999999997</v>
      </c>
      <c r="AN20" s="118">
        <f t="shared" si="15"/>
        <v>6.999999999834472</v>
      </c>
      <c r="AO20" s="118">
        <f t="shared" si="16"/>
        <v>14.000000000123691</v>
      </c>
      <c r="AP20" s="118">
        <f t="shared" si="17"/>
        <v>15.652475842535134</v>
      </c>
      <c r="AQ20" s="116">
        <v>804.04899999999986</v>
      </c>
      <c r="AR20" s="116">
        <v>-3314.692</v>
      </c>
      <c r="AS20" s="118">
        <f t="shared" si="18"/>
        <v>1.9999999998390194</v>
      </c>
      <c r="AT20" s="118">
        <f t="shared" si="19"/>
        <v>16.999999999825377</v>
      </c>
      <c r="AU20" s="118">
        <f t="shared" si="20"/>
        <v>17.117242768431453</v>
      </c>
      <c r="AV20" s="116">
        <v>804.05099999999982</v>
      </c>
      <c r="AW20" s="116">
        <v>-3314.6909999999998</v>
      </c>
      <c r="AX20" s="125">
        <f t="shared" si="21"/>
        <v>3.9999999997917257</v>
      </c>
      <c r="AY20" s="118">
        <f t="shared" si="22"/>
        <v>18.000000000029104</v>
      </c>
      <c r="AZ20" s="118">
        <f t="shared" si="23"/>
        <v>18.439088914569005</v>
      </c>
      <c r="BA20" s="116">
        <v>804.05099999999982</v>
      </c>
      <c r="BB20" s="116">
        <v>-3314.692</v>
      </c>
      <c r="BC20" s="118">
        <f t="shared" si="24"/>
        <v>3.9999999997917257</v>
      </c>
      <c r="BD20" s="118">
        <f t="shared" si="25"/>
        <v>16.999999999825377</v>
      </c>
      <c r="BE20" s="118">
        <f t="shared" si="26"/>
        <v>17.464249196355297</v>
      </c>
      <c r="BF20" s="127">
        <v>804.04999999999984</v>
      </c>
      <c r="BG20" s="127">
        <v>-3314.694</v>
      </c>
      <c r="BH20" s="118">
        <f t="shared" si="48"/>
        <v>2.9999999998153726</v>
      </c>
      <c r="BI20" s="118">
        <f t="shared" si="49"/>
        <v>14.999999999872671</v>
      </c>
      <c r="BJ20" s="118">
        <f t="shared" si="50"/>
        <v>15.297058540617289</v>
      </c>
      <c r="BK20" s="127">
        <v>804.05399999999986</v>
      </c>
      <c r="BL20" s="127">
        <v>-3314.6929999999998</v>
      </c>
      <c r="BM20" s="118">
        <f t="shared" si="51"/>
        <v>6.999999999834472</v>
      </c>
      <c r="BN20" s="118">
        <f t="shared" si="52"/>
        <v>16.000000000076398</v>
      </c>
      <c r="BO20" s="118">
        <f t="shared" si="53"/>
        <v>17.464249196576628</v>
      </c>
      <c r="BP20" s="127">
        <v>804.05599999999981</v>
      </c>
      <c r="BQ20" s="127">
        <v>-3314.6899999999996</v>
      </c>
      <c r="BR20" s="118">
        <f t="shared" si="33"/>
        <v>8.9999999997871782</v>
      </c>
      <c r="BS20" s="118">
        <f t="shared" si="34"/>
        <v>19.000000000232831</v>
      </c>
      <c r="BT20" s="118">
        <f t="shared" si="35"/>
        <v>21.02379604174795</v>
      </c>
      <c r="BU20" s="127">
        <v>804.05499999999984</v>
      </c>
      <c r="BV20" s="127">
        <v>-3314.6899999999996</v>
      </c>
      <c r="BW20" s="118">
        <f t="shared" si="36"/>
        <v>7.9999999998108251</v>
      </c>
      <c r="BX20" s="118">
        <f t="shared" si="37"/>
        <v>19.000000000232831</v>
      </c>
      <c r="BY20" s="118">
        <f t="shared" si="38"/>
        <v>20.615528128229478</v>
      </c>
      <c r="BZ20" s="115">
        <f t="shared" si="54"/>
        <v>11</v>
      </c>
    </row>
    <row r="21" spans="2:80" ht="15.95" customHeight="1" x14ac:dyDescent="0.25">
      <c r="B21" s="115">
        <v>12</v>
      </c>
      <c r="C21" s="116">
        <v>809.928</v>
      </c>
      <c r="D21" s="116">
        <v>-3314.498</v>
      </c>
      <c r="E21" s="117">
        <v>0</v>
      </c>
      <c r="F21" s="117">
        <v>0</v>
      </c>
      <c r="G21" s="118">
        <f t="shared" si="0"/>
        <v>0</v>
      </c>
      <c r="H21" s="116">
        <v>809.92399999999998</v>
      </c>
      <c r="I21" s="116">
        <v>-3314.5</v>
      </c>
      <c r="J21" s="117">
        <v>0</v>
      </c>
      <c r="K21" s="117">
        <v>0</v>
      </c>
      <c r="L21" s="118">
        <v>0</v>
      </c>
      <c r="M21" s="116">
        <v>809.93600000000004</v>
      </c>
      <c r="N21" s="116">
        <v>-3314.5</v>
      </c>
      <c r="O21" s="117">
        <f t="shared" si="39"/>
        <v>12.000000000057298</v>
      </c>
      <c r="P21" s="117">
        <f t="shared" si="40"/>
        <v>0</v>
      </c>
      <c r="Q21" s="118">
        <f t="shared" si="41"/>
        <v>12.000000000057298</v>
      </c>
      <c r="R21" s="116">
        <v>809.93200000000002</v>
      </c>
      <c r="S21" s="116">
        <v>-3314.4949999999999</v>
      </c>
      <c r="T21" s="118">
        <f t="shared" si="42"/>
        <v>8.0000000000381988</v>
      </c>
      <c r="U21" s="118">
        <f t="shared" si="43"/>
        <v>5.0000000001091394</v>
      </c>
      <c r="V21" s="118">
        <f t="shared" si="44"/>
        <v>9.4339811321468403</v>
      </c>
      <c r="W21" s="116">
        <v>809.93500000000006</v>
      </c>
      <c r="X21" s="116">
        <v>-3314.4919999999997</v>
      </c>
      <c r="Y21" s="118">
        <f t="shared" si="45"/>
        <v>11.000000000080945</v>
      </c>
      <c r="Z21" s="118">
        <f t="shared" si="46"/>
        <v>8.0000000002655725</v>
      </c>
      <c r="AA21" s="118">
        <f t="shared" si="47"/>
        <v>13.601470508957108</v>
      </c>
      <c r="AB21" s="129">
        <v>809.94100000000003</v>
      </c>
      <c r="AC21" s="129">
        <v>-3314.4869999999996</v>
      </c>
      <c r="AD21" s="119">
        <f t="shared" si="9"/>
        <v>17.000000000052751</v>
      </c>
      <c r="AE21" s="118">
        <f t="shared" si="10"/>
        <v>13.000000000374712</v>
      </c>
      <c r="AF21" s="118">
        <f t="shared" si="11"/>
        <v>21.400934559302218</v>
      </c>
      <c r="AG21" s="116">
        <v>809.93600000000004</v>
      </c>
      <c r="AH21" s="116">
        <v>-3314.4959999999996</v>
      </c>
      <c r="AI21" s="118">
        <f t="shared" si="12"/>
        <v>12.000000000057298</v>
      </c>
      <c r="AJ21" s="118">
        <f t="shared" si="13"/>
        <v>4.0000000003601599</v>
      </c>
      <c r="AK21" s="118">
        <f t="shared" si="14"/>
        <v>12.649110640841768</v>
      </c>
      <c r="AL21" s="116">
        <v>809.94100000000003</v>
      </c>
      <c r="AM21" s="116">
        <v>-3314.4939999999997</v>
      </c>
      <c r="AN21" s="118">
        <f t="shared" si="15"/>
        <v>17.000000000052751</v>
      </c>
      <c r="AO21" s="118">
        <f t="shared" si="16"/>
        <v>6.0000000003128662</v>
      </c>
      <c r="AP21" s="118">
        <f t="shared" si="17"/>
        <v>18.027756377473818</v>
      </c>
      <c r="AQ21" s="116">
        <v>809.93899999999996</v>
      </c>
      <c r="AR21" s="116">
        <v>-3314.4879999999994</v>
      </c>
      <c r="AS21" s="118">
        <f t="shared" si="18"/>
        <v>14.999999999986358</v>
      </c>
      <c r="AT21" s="118">
        <f t="shared" si="19"/>
        <v>12.000000000625732</v>
      </c>
      <c r="AU21" s="118">
        <f t="shared" si="20"/>
        <v>19.209372712678785</v>
      </c>
      <c r="AV21" s="116">
        <v>809.93799999999999</v>
      </c>
      <c r="AW21" s="116">
        <v>-3314.4869999999992</v>
      </c>
      <c r="AX21" s="125">
        <f t="shared" si="21"/>
        <v>14.000000000010004</v>
      </c>
      <c r="AY21" s="118">
        <f t="shared" si="22"/>
        <v>13.000000000829459</v>
      </c>
      <c r="AZ21" s="118">
        <f t="shared" si="23"/>
        <v>19.104973175114537</v>
      </c>
      <c r="BA21" s="116">
        <v>809.94200000000001</v>
      </c>
      <c r="BB21" s="116">
        <v>-3314.4869999999992</v>
      </c>
      <c r="BC21" s="118">
        <f t="shared" si="24"/>
        <v>18.000000000029104</v>
      </c>
      <c r="BD21" s="118">
        <f t="shared" si="25"/>
        <v>13.000000000829459</v>
      </c>
      <c r="BE21" s="118">
        <f t="shared" si="26"/>
        <v>22.203603311683754</v>
      </c>
      <c r="BF21" s="127">
        <v>809.94200000000001</v>
      </c>
      <c r="BG21" s="127">
        <v>-3314.4829999999993</v>
      </c>
      <c r="BH21" s="118">
        <f t="shared" si="48"/>
        <v>18.000000000029104</v>
      </c>
      <c r="BI21" s="118">
        <f t="shared" si="49"/>
        <v>17.000000000734872</v>
      </c>
      <c r="BJ21" s="118">
        <f t="shared" si="50"/>
        <v>24.758836806805633</v>
      </c>
      <c r="BK21" s="127">
        <v>809.94399999999996</v>
      </c>
      <c r="BL21" s="127">
        <v>-3314.4829999999993</v>
      </c>
      <c r="BM21" s="118">
        <f t="shared" si="51"/>
        <v>19.99999999998181</v>
      </c>
      <c r="BN21" s="118">
        <f t="shared" si="52"/>
        <v>17.000000000734872</v>
      </c>
      <c r="BO21" s="118">
        <f t="shared" si="53"/>
        <v>26.248809497275452</v>
      </c>
      <c r="BP21" s="127">
        <v>809.94499999999994</v>
      </c>
      <c r="BQ21" s="127">
        <v>-3314.4799999999991</v>
      </c>
      <c r="BR21" s="118">
        <f t="shared" si="33"/>
        <v>20.999999999958163</v>
      </c>
      <c r="BS21" s="118">
        <f t="shared" si="34"/>
        <v>20.000000000891305</v>
      </c>
      <c r="BT21" s="118">
        <f t="shared" si="35"/>
        <v>29.000000000584397</v>
      </c>
      <c r="BU21" s="127">
        <v>809.94399999999996</v>
      </c>
      <c r="BV21" s="127">
        <v>-3314.4789999999989</v>
      </c>
      <c r="BW21" s="118">
        <f t="shared" si="36"/>
        <v>19.99999999998181</v>
      </c>
      <c r="BX21" s="118">
        <f t="shared" si="37"/>
        <v>21.000000001095032</v>
      </c>
      <c r="BY21" s="118">
        <f t="shared" si="38"/>
        <v>29.00000000078041</v>
      </c>
      <c r="BZ21" s="115">
        <f t="shared" si="54"/>
        <v>12</v>
      </c>
    </row>
    <row r="22" spans="2:80" ht="15.95" customHeight="1" x14ac:dyDescent="0.25">
      <c r="B22" s="115">
        <v>13</v>
      </c>
      <c r="C22" s="116">
        <v>815.46900000000005</v>
      </c>
      <c r="D22" s="116">
        <v>-3314.348</v>
      </c>
      <c r="E22" s="117">
        <v>0</v>
      </c>
      <c r="F22" s="117">
        <v>0</v>
      </c>
      <c r="G22" s="118">
        <f t="shared" si="0"/>
        <v>0</v>
      </c>
      <c r="H22" s="116">
        <v>815.471</v>
      </c>
      <c r="I22" s="116">
        <v>-3314.3510000000001</v>
      </c>
      <c r="J22" s="117">
        <v>0</v>
      </c>
      <c r="K22" s="117">
        <v>0</v>
      </c>
      <c r="L22" s="118">
        <v>0</v>
      </c>
      <c r="M22" s="116">
        <v>815.48099999999999</v>
      </c>
      <c r="N22" s="116">
        <v>-3314.355</v>
      </c>
      <c r="O22" s="117">
        <f t="shared" si="39"/>
        <v>9.9999999999909051</v>
      </c>
      <c r="P22" s="117">
        <f t="shared" si="40"/>
        <v>-3.9999999999054126</v>
      </c>
      <c r="Q22" s="118">
        <f t="shared" si="41"/>
        <v>10.770329614225435</v>
      </c>
      <c r="R22" s="116">
        <v>815.47699999999998</v>
      </c>
      <c r="S22" s="116">
        <v>-3314.3530000000001</v>
      </c>
      <c r="T22" s="118">
        <f t="shared" si="42"/>
        <v>5.9999999999718057</v>
      </c>
      <c r="U22" s="118">
        <f t="shared" si="43"/>
        <v>-1.9999999999527063</v>
      </c>
      <c r="V22" s="118">
        <f t="shared" si="44"/>
        <v>6.3245553202950555</v>
      </c>
      <c r="W22" s="116">
        <v>815.48099999999999</v>
      </c>
      <c r="X22" s="116">
        <v>-3314.3510000000001</v>
      </c>
      <c r="Y22" s="118">
        <f t="shared" si="45"/>
        <v>9.9999999999909051</v>
      </c>
      <c r="Z22" s="118">
        <f t="shared" si="46"/>
        <v>0</v>
      </c>
      <c r="AA22" s="118">
        <f t="shared" si="47"/>
        <v>9.9999999999909051</v>
      </c>
      <c r="AB22" s="129">
        <v>815.48</v>
      </c>
      <c r="AC22" s="129">
        <v>-3314.346</v>
      </c>
      <c r="AD22" s="118">
        <f t="shared" si="9"/>
        <v>9.0000000000145519</v>
      </c>
      <c r="AE22" s="118">
        <f t="shared" si="10"/>
        <v>5.0000000001091394</v>
      </c>
      <c r="AF22" s="118">
        <f t="shared" si="11"/>
        <v>10.295630141052724</v>
      </c>
      <c r="AG22" s="116">
        <v>815.48099999999999</v>
      </c>
      <c r="AH22" s="116">
        <v>-3314.3510000000001</v>
      </c>
      <c r="AI22" s="118">
        <f t="shared" si="12"/>
        <v>9.9999999999909051</v>
      </c>
      <c r="AJ22" s="118">
        <f t="shared" si="13"/>
        <v>0</v>
      </c>
      <c r="AK22" s="118">
        <f t="shared" si="14"/>
        <v>9.9999999999909051</v>
      </c>
      <c r="AL22" s="116">
        <v>815.48400000000004</v>
      </c>
      <c r="AM22" s="116">
        <v>-3314.3470000000002</v>
      </c>
      <c r="AN22" s="118">
        <f t="shared" si="15"/>
        <v>13.000000000033651</v>
      </c>
      <c r="AO22" s="118">
        <f t="shared" si="16"/>
        <v>3.9999999999054126</v>
      </c>
      <c r="AP22" s="118">
        <f t="shared" si="17"/>
        <v>13.601470508739789</v>
      </c>
      <c r="AQ22" s="116">
        <v>815.48200000000008</v>
      </c>
      <c r="AR22" s="116">
        <v>-3314.346</v>
      </c>
      <c r="AS22" s="118">
        <f t="shared" si="18"/>
        <v>11.000000000080945</v>
      </c>
      <c r="AT22" s="118">
        <f t="shared" si="19"/>
        <v>5.0000000001091394</v>
      </c>
      <c r="AU22" s="118">
        <f t="shared" si="20"/>
        <v>12.083045973713423</v>
      </c>
      <c r="AV22" s="116">
        <v>815.48100000000011</v>
      </c>
      <c r="AW22" s="116">
        <v>-3314.3449999999998</v>
      </c>
      <c r="AX22" s="125">
        <f t="shared" si="21"/>
        <v>10.000000000104592</v>
      </c>
      <c r="AY22" s="118">
        <f t="shared" si="22"/>
        <v>6.0000000003128662</v>
      </c>
      <c r="AZ22" s="118">
        <f t="shared" si="23"/>
        <v>11.661903789941256</v>
      </c>
      <c r="BA22" s="116">
        <v>815.48300000000006</v>
      </c>
      <c r="BB22" s="116">
        <v>-3314.3469999999998</v>
      </c>
      <c r="BC22" s="118">
        <f t="shared" si="24"/>
        <v>12.000000000057298</v>
      </c>
      <c r="BD22" s="118">
        <f t="shared" si="25"/>
        <v>4.0000000003601599</v>
      </c>
      <c r="BE22" s="118">
        <f t="shared" si="26"/>
        <v>12.649110640841768</v>
      </c>
      <c r="BF22" s="127">
        <v>815.48300000000006</v>
      </c>
      <c r="BG22" s="127">
        <v>-3314.348</v>
      </c>
      <c r="BH22" s="118">
        <f t="shared" si="48"/>
        <v>12.000000000057298</v>
      </c>
      <c r="BI22" s="118">
        <f t="shared" si="49"/>
        <v>3.0000000001564331</v>
      </c>
      <c r="BJ22" s="118">
        <f t="shared" si="50"/>
        <v>12.36931687694651</v>
      </c>
      <c r="BK22" s="127">
        <v>815.48700000000008</v>
      </c>
      <c r="BL22" s="127">
        <v>-3314.3469999999998</v>
      </c>
      <c r="BM22" s="118">
        <f t="shared" si="51"/>
        <v>16.000000000076398</v>
      </c>
      <c r="BN22" s="118">
        <f t="shared" si="52"/>
        <v>4.0000000003601599</v>
      </c>
      <c r="BO22" s="118">
        <f t="shared" si="53"/>
        <v>16.49242250263211</v>
      </c>
      <c r="BP22" s="127">
        <v>815.48900000000003</v>
      </c>
      <c r="BQ22" s="127">
        <v>-3314.3489999999997</v>
      </c>
      <c r="BR22" s="118">
        <f t="shared" si="33"/>
        <v>18.000000000029104</v>
      </c>
      <c r="BS22" s="118">
        <f t="shared" si="34"/>
        <v>2.0000000004074536</v>
      </c>
      <c r="BT22" s="118">
        <f t="shared" si="35"/>
        <v>18.110770276348756</v>
      </c>
      <c r="BU22" s="127">
        <v>815.49099999999999</v>
      </c>
      <c r="BV22" s="127">
        <v>-3314.3489999999997</v>
      </c>
      <c r="BW22" s="118">
        <f t="shared" si="36"/>
        <v>19.99999999998181</v>
      </c>
      <c r="BX22" s="118">
        <f t="shared" si="37"/>
        <v>2.0000000004074536</v>
      </c>
      <c r="BY22" s="118">
        <f t="shared" si="38"/>
        <v>20.099751242264222</v>
      </c>
      <c r="BZ22" s="115">
        <f t="shared" si="54"/>
        <v>13</v>
      </c>
    </row>
    <row r="23" spans="2:80" s="111" customFormat="1" ht="15.95" customHeight="1" x14ac:dyDescent="0.25">
      <c r="B23" s="115">
        <v>14</v>
      </c>
      <c r="C23" s="116">
        <v>821.34400000000005</v>
      </c>
      <c r="D23" s="116">
        <v>-3314.194</v>
      </c>
      <c r="E23" s="117">
        <v>0</v>
      </c>
      <c r="F23" s="117">
        <v>0</v>
      </c>
      <c r="G23" s="118">
        <f t="shared" si="0"/>
        <v>0</v>
      </c>
      <c r="H23" s="116">
        <v>821.346</v>
      </c>
      <c r="I23" s="116">
        <v>-3314.1959999999999</v>
      </c>
      <c r="J23" s="117">
        <v>0</v>
      </c>
      <c r="K23" s="117">
        <v>0</v>
      </c>
      <c r="L23" s="118">
        <v>0</v>
      </c>
      <c r="M23" s="116">
        <v>821.35400000000004</v>
      </c>
      <c r="N23" s="116">
        <v>-3314.1970000000001</v>
      </c>
      <c r="O23" s="117">
        <f t="shared" si="39"/>
        <v>8.0000000000381988</v>
      </c>
      <c r="P23" s="117">
        <f t="shared" si="40"/>
        <v>-1.0000000002037268</v>
      </c>
      <c r="Q23" s="118">
        <f t="shared" si="41"/>
        <v>8.0622577483617235</v>
      </c>
      <c r="R23" s="116">
        <v>821.35300000000007</v>
      </c>
      <c r="S23" s="116">
        <v>-3314.1950000000002</v>
      </c>
      <c r="T23" s="118">
        <f t="shared" si="42"/>
        <v>7.0000000000618456</v>
      </c>
      <c r="U23" s="118">
        <f t="shared" si="43"/>
        <v>0.99999999974897946</v>
      </c>
      <c r="V23" s="118">
        <f t="shared" si="44"/>
        <v>7.0710678118911998</v>
      </c>
      <c r="W23" s="116">
        <v>821.35500000000002</v>
      </c>
      <c r="X23" s="116">
        <v>-3314.192</v>
      </c>
      <c r="Y23" s="118">
        <f t="shared" si="45"/>
        <v>9.0000000000145519</v>
      </c>
      <c r="Z23" s="118">
        <f t="shared" si="46"/>
        <v>3.9999999999054126</v>
      </c>
      <c r="AA23" s="118">
        <f t="shared" si="47"/>
        <v>9.8488578017709862</v>
      </c>
      <c r="AB23" s="129">
        <v>821.351</v>
      </c>
      <c r="AC23" s="129">
        <v>-3314.1950000000002</v>
      </c>
      <c r="AD23" s="118">
        <f t="shared" si="9"/>
        <v>4.9999999999954525</v>
      </c>
      <c r="AE23" s="118">
        <f t="shared" si="10"/>
        <v>0.99999999974897946</v>
      </c>
      <c r="AF23" s="118">
        <f t="shared" si="11"/>
        <v>5.0990195135390968</v>
      </c>
      <c r="AG23" s="116">
        <v>821.35199999999998</v>
      </c>
      <c r="AH23" s="116">
        <v>-3314.1959999999999</v>
      </c>
      <c r="AI23" s="118">
        <f t="shared" si="12"/>
        <v>5.9999999999718057</v>
      </c>
      <c r="AJ23" s="118">
        <f t="shared" si="13"/>
        <v>0</v>
      </c>
      <c r="AK23" s="118">
        <f t="shared" si="14"/>
        <v>5.9999999999718057</v>
      </c>
      <c r="AL23" s="116">
        <v>821.35500000000002</v>
      </c>
      <c r="AM23" s="116">
        <v>-3314.1929999999998</v>
      </c>
      <c r="AN23" s="118">
        <f t="shared" si="15"/>
        <v>9.0000000000145519</v>
      </c>
      <c r="AO23" s="118">
        <f t="shared" si="16"/>
        <v>3.0000000001564331</v>
      </c>
      <c r="AP23" s="118">
        <f t="shared" si="17"/>
        <v>9.486832980568412</v>
      </c>
      <c r="AQ23" s="116">
        <v>821.35200000000009</v>
      </c>
      <c r="AR23" s="116">
        <v>-3314.1869999999999</v>
      </c>
      <c r="AS23" s="118">
        <f t="shared" si="18"/>
        <v>6.0000000000854925</v>
      </c>
      <c r="AT23" s="118">
        <f t="shared" si="19"/>
        <v>9.0000000000145519</v>
      </c>
      <c r="AU23" s="118">
        <f t="shared" si="20"/>
        <v>10.816653826451498</v>
      </c>
      <c r="AV23" s="116">
        <v>821.34700000000009</v>
      </c>
      <c r="AW23" s="116">
        <v>-3314.1889999999999</v>
      </c>
      <c r="AX23" s="125">
        <f t="shared" si="21"/>
        <v>1.00000000009004</v>
      </c>
      <c r="AY23" s="118">
        <f t="shared" si="22"/>
        <v>7.0000000000618456</v>
      </c>
      <c r="AZ23" s="118">
        <f t="shared" si="23"/>
        <v>7.0710678119394332</v>
      </c>
      <c r="BA23" s="116">
        <v>821.34500000000014</v>
      </c>
      <c r="BB23" s="116">
        <v>-3314.1909999999998</v>
      </c>
      <c r="BC23" s="118">
        <f t="shared" si="24"/>
        <v>-0.9999999998626663</v>
      </c>
      <c r="BD23" s="118">
        <f t="shared" si="25"/>
        <v>5.0000000001091394</v>
      </c>
      <c r="BE23" s="118">
        <f t="shared" si="26"/>
        <v>5.0990195136728715</v>
      </c>
      <c r="BF23" s="127">
        <v>821.34600000000012</v>
      </c>
      <c r="BG23" s="127">
        <v>-3314.1899999999996</v>
      </c>
      <c r="BH23" s="118">
        <f t="shared" si="48"/>
        <v>1.1368683772161603E-10</v>
      </c>
      <c r="BI23" s="118">
        <f t="shared" si="49"/>
        <v>6.0000000003128662</v>
      </c>
      <c r="BJ23" s="118">
        <f t="shared" si="50"/>
        <v>6.0000000003128662</v>
      </c>
      <c r="BK23" s="127">
        <v>821.34800000000007</v>
      </c>
      <c r="BL23" s="127">
        <v>-3314.1909999999998</v>
      </c>
      <c r="BM23" s="118">
        <f t="shared" si="51"/>
        <v>2.0000000000663931</v>
      </c>
      <c r="BN23" s="118">
        <f t="shared" si="52"/>
        <v>5.0000000001091394</v>
      </c>
      <c r="BO23" s="118">
        <f t="shared" si="53"/>
        <v>5.3851648072604954</v>
      </c>
      <c r="BP23" s="127">
        <v>821.34500000000003</v>
      </c>
      <c r="BQ23" s="127">
        <v>-3314.192</v>
      </c>
      <c r="BR23" s="118">
        <f t="shared" si="33"/>
        <v>-0.99999999997635314</v>
      </c>
      <c r="BS23" s="118">
        <f t="shared" si="34"/>
        <v>3.9999999999054126</v>
      </c>
      <c r="BT23" s="118">
        <f t="shared" si="35"/>
        <v>4.1231056255201617</v>
      </c>
      <c r="BU23" s="127">
        <v>821.34199999999998</v>
      </c>
      <c r="BV23" s="127">
        <v>-3314.1909999999998</v>
      </c>
      <c r="BW23" s="118">
        <f t="shared" si="36"/>
        <v>-4.0000000000190994</v>
      </c>
      <c r="BX23" s="118">
        <f t="shared" si="37"/>
        <v>5.0000000001091394</v>
      </c>
      <c r="BY23" s="118">
        <f t="shared" si="38"/>
        <v>6.4031242375300037</v>
      </c>
      <c r="BZ23" s="115">
        <f t="shared" si="54"/>
        <v>14</v>
      </c>
      <c r="CA23"/>
      <c r="CB23"/>
    </row>
    <row r="24" spans="2:80" s="111" customFormat="1" ht="15.95" customHeight="1" x14ac:dyDescent="0.25">
      <c r="B24" s="115">
        <v>15</v>
      </c>
      <c r="C24" s="116">
        <v>826.93200000000002</v>
      </c>
      <c r="D24" s="116">
        <v>-3314.0439999999999</v>
      </c>
      <c r="E24" s="117">
        <v>0</v>
      </c>
      <c r="F24" s="117">
        <v>0</v>
      </c>
      <c r="G24" s="118">
        <f t="shared" si="0"/>
        <v>0</v>
      </c>
      <c r="H24" s="116">
        <v>826.93200000000002</v>
      </c>
      <c r="I24" s="116">
        <v>-3314.0419999999999</v>
      </c>
      <c r="J24" s="117">
        <v>0</v>
      </c>
      <c r="K24" s="117">
        <v>0</v>
      </c>
      <c r="L24" s="118">
        <v>0</v>
      </c>
      <c r="M24" s="116">
        <v>826.93799999999999</v>
      </c>
      <c r="N24" s="116">
        <v>-3314.0419999999999</v>
      </c>
      <c r="O24" s="117">
        <f t="shared" si="39"/>
        <v>5.9999999999718057</v>
      </c>
      <c r="P24" s="117">
        <f t="shared" si="40"/>
        <v>0</v>
      </c>
      <c r="Q24" s="118">
        <f t="shared" si="41"/>
        <v>5.9999999999718057</v>
      </c>
      <c r="R24" s="116">
        <v>826.93600000000004</v>
      </c>
      <c r="S24" s="116">
        <v>-3314.04</v>
      </c>
      <c r="T24" s="118">
        <f t="shared" si="42"/>
        <v>4.0000000000190994</v>
      </c>
      <c r="U24" s="118">
        <f t="shared" si="43"/>
        <v>1.9999999999527063</v>
      </c>
      <c r="V24" s="118">
        <f t="shared" si="44"/>
        <v>4.4721359549955118</v>
      </c>
      <c r="W24" s="116">
        <v>826.93100000000004</v>
      </c>
      <c r="X24" s="116">
        <v>-3314.038</v>
      </c>
      <c r="Y24" s="118">
        <f t="shared" si="45"/>
        <v>-0.99999999997635314</v>
      </c>
      <c r="Z24" s="118">
        <f t="shared" si="46"/>
        <v>3.9999999999054126</v>
      </c>
      <c r="AA24" s="118">
        <f t="shared" si="47"/>
        <v>4.1231056255201617</v>
      </c>
      <c r="AB24" s="129">
        <v>826.92700000000002</v>
      </c>
      <c r="AC24" s="129">
        <v>-3314.0390000000002</v>
      </c>
      <c r="AD24" s="118">
        <f t="shared" si="9"/>
        <v>-4.9999999999954525</v>
      </c>
      <c r="AE24" s="118">
        <f t="shared" si="10"/>
        <v>2.9999999997016857</v>
      </c>
      <c r="AF24" s="118">
        <f t="shared" si="11"/>
        <v>5.83095189468792</v>
      </c>
      <c r="AG24" s="116">
        <v>826.92700000000002</v>
      </c>
      <c r="AH24" s="116">
        <v>-3314.0340000000001</v>
      </c>
      <c r="AI24" s="118">
        <f t="shared" si="12"/>
        <v>-4.9999999999954525</v>
      </c>
      <c r="AJ24" s="118">
        <f t="shared" si="13"/>
        <v>7.9999999998108251</v>
      </c>
      <c r="AK24" s="118">
        <f t="shared" si="14"/>
        <v>9.4339811318937734</v>
      </c>
      <c r="AL24" s="116">
        <v>826.93200000000002</v>
      </c>
      <c r="AM24" s="116">
        <v>-3314.03</v>
      </c>
      <c r="AN24" s="118">
        <f t="shared" si="15"/>
        <v>0</v>
      </c>
      <c r="AO24" s="118">
        <f t="shared" si="16"/>
        <v>11.999999999716238</v>
      </c>
      <c r="AP24" s="118">
        <f t="shared" si="17"/>
        <v>11.999999999716238</v>
      </c>
      <c r="AQ24" s="116">
        <v>826.93299999999999</v>
      </c>
      <c r="AR24" s="116">
        <v>-3314.0280000000002</v>
      </c>
      <c r="AS24" s="118">
        <f t="shared" si="18"/>
        <v>0.99999999997635314</v>
      </c>
      <c r="AT24" s="118">
        <f t="shared" si="19"/>
        <v>13.999999999668944</v>
      </c>
      <c r="AU24" s="118">
        <f t="shared" si="20"/>
        <v>14.035668847286301</v>
      </c>
      <c r="AV24" s="116">
        <v>826.93200000000002</v>
      </c>
      <c r="AW24" s="116">
        <v>-3314.0280000000002</v>
      </c>
      <c r="AX24" s="125">
        <f t="shared" si="21"/>
        <v>0</v>
      </c>
      <c r="AY24" s="118">
        <f t="shared" si="22"/>
        <v>13.999999999668944</v>
      </c>
      <c r="AZ24" s="118">
        <f t="shared" si="23"/>
        <v>13.999999999668944</v>
      </c>
      <c r="BA24" s="116">
        <v>826.93100000000004</v>
      </c>
      <c r="BB24" s="116">
        <v>-3314.0250000000001</v>
      </c>
      <c r="BC24" s="118">
        <f t="shared" si="24"/>
        <v>-0.99999999997635314</v>
      </c>
      <c r="BD24" s="118">
        <f t="shared" si="25"/>
        <v>16.999999999825377</v>
      </c>
      <c r="BE24" s="118">
        <f t="shared" si="26"/>
        <v>17.029386365750693</v>
      </c>
      <c r="BF24" s="127">
        <v>826.93100000000004</v>
      </c>
      <c r="BG24" s="127">
        <v>-3314.0280000000002</v>
      </c>
      <c r="BH24" s="118">
        <f t="shared" si="48"/>
        <v>-0.99999999997635314</v>
      </c>
      <c r="BI24" s="118">
        <f t="shared" si="49"/>
        <v>13.999999999668944</v>
      </c>
      <c r="BJ24" s="118">
        <f t="shared" si="50"/>
        <v>14.035668847286301</v>
      </c>
      <c r="BK24" s="127">
        <v>826.93400000000008</v>
      </c>
      <c r="BL24" s="127">
        <v>-3314.03</v>
      </c>
      <c r="BM24" s="118">
        <f t="shared" si="51"/>
        <v>2.0000000000663931</v>
      </c>
      <c r="BN24" s="118">
        <f t="shared" si="52"/>
        <v>11.999999999716238</v>
      </c>
      <c r="BO24" s="118">
        <f t="shared" si="53"/>
        <v>12.165525060327452</v>
      </c>
      <c r="BP24" s="127">
        <v>826.93200000000013</v>
      </c>
      <c r="BQ24" s="127">
        <v>-3314.029</v>
      </c>
      <c r="BR24" s="118">
        <f t="shared" si="33"/>
        <v>1.1368683772161603E-10</v>
      </c>
      <c r="BS24" s="118">
        <f t="shared" si="34"/>
        <v>12.999999999919964</v>
      </c>
      <c r="BT24" s="118">
        <f t="shared" si="35"/>
        <v>12.999999999919964</v>
      </c>
      <c r="BU24" s="127">
        <v>826.93000000000018</v>
      </c>
      <c r="BV24" s="127">
        <v>-3314.029</v>
      </c>
      <c r="BW24" s="118">
        <f t="shared" si="36"/>
        <v>-1.9999999998390194</v>
      </c>
      <c r="BX24" s="118">
        <f t="shared" si="37"/>
        <v>12.999999999919964</v>
      </c>
      <c r="BY24" s="118">
        <f t="shared" si="38"/>
        <v>13.152946437862322</v>
      </c>
      <c r="BZ24" s="115">
        <f t="shared" si="54"/>
        <v>15</v>
      </c>
      <c r="CA24"/>
      <c r="CB24"/>
    </row>
    <row r="25" spans="2:80" s="111" customFormat="1" ht="15.95" customHeight="1" x14ac:dyDescent="0.25">
      <c r="B25" s="115">
        <v>16</v>
      </c>
      <c r="C25" s="116">
        <v>832.22</v>
      </c>
      <c r="D25" s="116">
        <v>-3315.9360000000001</v>
      </c>
      <c r="E25" s="117">
        <v>0</v>
      </c>
      <c r="F25" s="117">
        <v>0</v>
      </c>
      <c r="G25" s="118">
        <f t="shared" si="0"/>
        <v>0</v>
      </c>
      <c r="H25" s="116">
        <v>832.22199999999998</v>
      </c>
      <c r="I25" s="116">
        <v>-3315.9340000000002</v>
      </c>
      <c r="J25" s="117">
        <v>0</v>
      </c>
      <c r="K25" s="117">
        <v>0</v>
      </c>
      <c r="L25" s="118">
        <v>0</v>
      </c>
      <c r="M25" s="116">
        <v>832.22699999999998</v>
      </c>
      <c r="N25" s="116">
        <v>-3315.9349999999999</v>
      </c>
      <c r="O25" s="117">
        <f t="shared" si="39"/>
        <v>4.9999999999954525</v>
      </c>
      <c r="P25" s="117">
        <f t="shared" si="40"/>
        <v>-0.99999999974897946</v>
      </c>
      <c r="Q25" s="118">
        <f t="shared" si="41"/>
        <v>5.0990195135390968</v>
      </c>
      <c r="R25" s="116">
        <v>832.22399999999993</v>
      </c>
      <c r="S25" s="116">
        <v>-3315.93</v>
      </c>
      <c r="T25" s="118">
        <f t="shared" si="42"/>
        <v>1.9999999999527063</v>
      </c>
      <c r="U25" s="118">
        <f t="shared" si="43"/>
        <v>4.0000000003601599</v>
      </c>
      <c r="V25" s="118">
        <f t="shared" si="44"/>
        <v>4.4721359553005655</v>
      </c>
      <c r="W25" s="116">
        <v>832.22299999999996</v>
      </c>
      <c r="X25" s="116">
        <v>-3315.9290000000001</v>
      </c>
      <c r="Y25" s="118">
        <f t="shared" si="45"/>
        <v>0.99999999997635314</v>
      </c>
      <c r="Z25" s="118">
        <f t="shared" si="46"/>
        <v>5.0000000001091394</v>
      </c>
      <c r="AA25" s="118">
        <f t="shared" si="47"/>
        <v>5.0990195136951675</v>
      </c>
      <c r="AB25" s="129">
        <v>832.21999999999991</v>
      </c>
      <c r="AC25" s="129">
        <v>-3315.9320000000002</v>
      </c>
      <c r="AD25" s="118">
        <f t="shared" si="9"/>
        <v>-2.0000000000663931</v>
      </c>
      <c r="AE25" s="118">
        <f t="shared" si="10"/>
        <v>1.9999999999527063</v>
      </c>
      <c r="AF25" s="118">
        <f t="shared" si="11"/>
        <v>2.8284271247596955</v>
      </c>
      <c r="AG25" s="116">
        <v>832.221</v>
      </c>
      <c r="AH25" s="116">
        <v>-3315.9340000000002</v>
      </c>
      <c r="AI25" s="118">
        <f t="shared" si="12"/>
        <v>-0.99999999997635314</v>
      </c>
      <c r="AJ25" s="118">
        <f t="shared" si="13"/>
        <v>0</v>
      </c>
      <c r="AK25" s="118">
        <f t="shared" si="14"/>
        <v>0.99999999997635314</v>
      </c>
      <c r="AL25" s="116">
        <v>832.21900000000005</v>
      </c>
      <c r="AM25" s="116">
        <v>-3315.931</v>
      </c>
      <c r="AN25" s="118">
        <f t="shared" si="15"/>
        <v>-2.9999999999290594</v>
      </c>
      <c r="AO25" s="118">
        <f t="shared" si="16"/>
        <v>3.0000000001564331</v>
      </c>
      <c r="AP25" s="118">
        <f t="shared" si="17"/>
        <v>4.2426406871797377</v>
      </c>
      <c r="AQ25" s="116">
        <v>832.22199999999998</v>
      </c>
      <c r="AR25" s="116">
        <v>-3315.9319999999998</v>
      </c>
      <c r="AS25" s="118">
        <f t="shared" si="18"/>
        <v>0</v>
      </c>
      <c r="AT25" s="118">
        <f t="shared" si="19"/>
        <v>2.0000000004074536</v>
      </c>
      <c r="AU25" s="118">
        <f t="shared" si="20"/>
        <v>2.0000000004074536</v>
      </c>
      <c r="AV25" s="116">
        <v>832.21600000000001</v>
      </c>
      <c r="AW25" s="116">
        <v>-3315.9309999999996</v>
      </c>
      <c r="AX25" s="125">
        <f t="shared" si="21"/>
        <v>-5.9999999999718057</v>
      </c>
      <c r="AY25" s="118">
        <f t="shared" si="22"/>
        <v>3.0000000006111804</v>
      </c>
      <c r="AZ25" s="118">
        <f t="shared" si="23"/>
        <v>6.7082039327474794</v>
      </c>
      <c r="BA25" s="116">
        <v>832.21799999999996</v>
      </c>
      <c r="BB25" s="116">
        <v>-3315.9269999999997</v>
      </c>
      <c r="BC25" s="118">
        <f t="shared" si="24"/>
        <v>-4.0000000000190994</v>
      </c>
      <c r="BD25" s="118">
        <f t="shared" si="25"/>
        <v>7.000000000516593</v>
      </c>
      <c r="BE25" s="118">
        <f t="shared" si="26"/>
        <v>8.0622577487565543</v>
      </c>
      <c r="BF25" s="127">
        <v>832.21499999999992</v>
      </c>
      <c r="BG25" s="127">
        <v>-3315.9269999999997</v>
      </c>
      <c r="BH25" s="118">
        <f t="shared" si="48"/>
        <v>-7.0000000000618456</v>
      </c>
      <c r="BI25" s="118">
        <f t="shared" si="49"/>
        <v>7.000000000516593</v>
      </c>
      <c r="BJ25" s="118">
        <f t="shared" si="50"/>
        <v>9.8994949370206839</v>
      </c>
      <c r="BK25" s="127">
        <v>832.21299999999997</v>
      </c>
      <c r="BL25" s="127">
        <v>-3315.93</v>
      </c>
      <c r="BM25" s="118">
        <f t="shared" si="51"/>
        <v>-9.0000000000145519</v>
      </c>
      <c r="BN25" s="118">
        <f t="shared" si="52"/>
        <v>4.0000000003601599</v>
      </c>
      <c r="BO25" s="118">
        <f t="shared" si="53"/>
        <v>9.8488578019556776</v>
      </c>
      <c r="BP25" s="127">
        <v>832.21100000000001</v>
      </c>
      <c r="BQ25" s="127">
        <v>-3315.9269999999997</v>
      </c>
      <c r="BR25" s="118">
        <f t="shared" si="33"/>
        <v>-10.999999999967258</v>
      </c>
      <c r="BS25" s="118">
        <f t="shared" si="34"/>
        <v>7.000000000516593</v>
      </c>
      <c r="BT25" s="118">
        <f t="shared" si="35"/>
        <v>13.03840481065502</v>
      </c>
      <c r="BU25" s="127">
        <v>832.20799999999997</v>
      </c>
      <c r="BV25" s="127">
        <v>-3315.9279999999999</v>
      </c>
      <c r="BW25" s="118">
        <f t="shared" si="36"/>
        <v>-14.000000000010004</v>
      </c>
      <c r="BX25" s="118">
        <f t="shared" si="37"/>
        <v>6.0000000003128662</v>
      </c>
      <c r="BY25" s="118">
        <f t="shared" si="38"/>
        <v>15.231546211860255</v>
      </c>
      <c r="BZ25" s="115">
        <f t="shared" si="54"/>
        <v>16</v>
      </c>
      <c r="CA25"/>
      <c r="CB25"/>
    </row>
    <row r="26" spans="2:80" s="111" customFormat="1" ht="15.95" customHeight="1" x14ac:dyDescent="0.25">
      <c r="B26" s="115">
        <v>17</v>
      </c>
      <c r="C26" s="116">
        <v>837.45</v>
      </c>
      <c r="D26" s="116">
        <v>-3315.67</v>
      </c>
      <c r="E26" s="117">
        <v>0</v>
      </c>
      <c r="F26" s="117">
        <v>0</v>
      </c>
      <c r="G26" s="118">
        <f t="shared" si="0"/>
        <v>0</v>
      </c>
      <c r="H26" s="116">
        <v>837.44900000000007</v>
      </c>
      <c r="I26" s="116">
        <v>-3315.67</v>
      </c>
      <c r="J26" s="117">
        <v>0</v>
      </c>
      <c r="K26" s="117">
        <v>0</v>
      </c>
      <c r="L26" s="118">
        <v>0</v>
      </c>
      <c r="M26" s="116">
        <v>837.45899999999995</v>
      </c>
      <c r="N26" s="116">
        <v>-3315.6689999999999</v>
      </c>
      <c r="O26" s="117">
        <f t="shared" si="39"/>
        <v>9.9999999998772182</v>
      </c>
      <c r="P26" s="117">
        <f t="shared" si="40"/>
        <v>1.0000000002037268</v>
      </c>
      <c r="Q26" s="118">
        <f t="shared" si="41"/>
        <v>10.049875621018989</v>
      </c>
      <c r="R26" s="116">
        <v>837.4559999999999</v>
      </c>
      <c r="S26" s="116">
        <v>-3315.6669999999999</v>
      </c>
      <c r="T26" s="118">
        <f t="shared" si="42"/>
        <v>6.999999999834472</v>
      </c>
      <c r="U26" s="118">
        <f t="shared" si="43"/>
        <v>3.0000000001564331</v>
      </c>
      <c r="V26" s="118">
        <f t="shared" si="44"/>
        <v>7.6157731057733864</v>
      </c>
      <c r="W26" s="116">
        <v>837.45100000000002</v>
      </c>
      <c r="X26" s="116">
        <v>-3315.6619999999998</v>
      </c>
      <c r="Y26" s="118">
        <f t="shared" si="45"/>
        <v>1.9999999999527063</v>
      </c>
      <c r="Z26" s="118">
        <f t="shared" si="46"/>
        <v>8.0000000002655725</v>
      </c>
      <c r="AA26" s="118">
        <f t="shared" si="47"/>
        <v>8.246211251481494</v>
      </c>
      <c r="AB26" s="129">
        <v>837.44600000000003</v>
      </c>
      <c r="AC26" s="129">
        <v>-3315.6659999999997</v>
      </c>
      <c r="AD26" s="118">
        <f t="shared" si="9"/>
        <v>-3.0000000000427463</v>
      </c>
      <c r="AE26" s="118">
        <f t="shared" si="10"/>
        <v>4.0000000003601599</v>
      </c>
      <c r="AF26" s="118">
        <f t="shared" si="11"/>
        <v>5.0000000003137757</v>
      </c>
      <c r="AG26" s="116">
        <v>837.44600000000003</v>
      </c>
      <c r="AH26" s="116">
        <v>-3315.6579999999999</v>
      </c>
      <c r="AI26" s="118">
        <f t="shared" si="12"/>
        <v>-3.0000000000427463</v>
      </c>
      <c r="AJ26" s="118">
        <f t="shared" si="13"/>
        <v>12.000000000170985</v>
      </c>
      <c r="AK26" s="118">
        <f t="shared" si="14"/>
        <v>12.369316877029229</v>
      </c>
      <c r="AL26" s="116">
        <v>837.44600000000003</v>
      </c>
      <c r="AM26" s="116">
        <v>-3315.6549999999997</v>
      </c>
      <c r="AN26" s="118">
        <f t="shared" si="15"/>
        <v>-3.0000000000427463</v>
      </c>
      <c r="AO26" s="118">
        <f t="shared" si="16"/>
        <v>15.000000000327418</v>
      </c>
      <c r="AP26" s="118">
        <f t="shared" si="17"/>
        <v>15.297058541107798</v>
      </c>
      <c r="AQ26" s="116">
        <v>837.4430000000001</v>
      </c>
      <c r="AR26" s="116">
        <v>-3315.6529999999998</v>
      </c>
      <c r="AS26" s="118">
        <f t="shared" si="18"/>
        <v>-5.9999999999718057</v>
      </c>
      <c r="AT26" s="118">
        <f t="shared" si="19"/>
        <v>17.000000000280124</v>
      </c>
      <c r="AU26" s="118">
        <f t="shared" si="20"/>
        <v>18.027756377574718</v>
      </c>
      <c r="AV26" s="116">
        <v>837.44400000000007</v>
      </c>
      <c r="AW26" s="116">
        <v>-3315.6529999999998</v>
      </c>
      <c r="AX26" s="125">
        <f t="shared" si="21"/>
        <v>-4.9999999999954525</v>
      </c>
      <c r="AY26" s="118">
        <f t="shared" si="22"/>
        <v>17.000000000280124</v>
      </c>
      <c r="AZ26" s="118">
        <f t="shared" si="23"/>
        <v>17.720045146936808</v>
      </c>
      <c r="BA26" s="116">
        <v>837.44400000000007</v>
      </c>
      <c r="BB26" s="116">
        <v>-3315.6509999999998</v>
      </c>
      <c r="BC26" s="118">
        <f t="shared" si="24"/>
        <v>-4.9999999999954525</v>
      </c>
      <c r="BD26" s="118">
        <f t="shared" si="25"/>
        <v>19.000000000232831</v>
      </c>
      <c r="BE26" s="118">
        <f t="shared" si="26"/>
        <v>19.646882704612509</v>
      </c>
      <c r="BF26" s="127">
        <v>837.44100000000003</v>
      </c>
      <c r="BG26" s="127">
        <v>-3315.6509999999998</v>
      </c>
      <c r="BH26" s="118">
        <f t="shared" si="48"/>
        <v>-8.0000000000381988</v>
      </c>
      <c r="BI26" s="118">
        <f t="shared" si="49"/>
        <v>19.000000000232831</v>
      </c>
      <c r="BJ26" s="118">
        <f t="shared" si="50"/>
        <v>20.61552812831771</v>
      </c>
      <c r="BK26" s="127">
        <v>837.44200000000001</v>
      </c>
      <c r="BL26" s="127">
        <v>-3315.6499999999996</v>
      </c>
      <c r="BM26" s="118">
        <f t="shared" si="51"/>
        <v>-7.0000000000618456</v>
      </c>
      <c r="BN26" s="118">
        <f t="shared" si="52"/>
        <v>20.000000000436557</v>
      </c>
      <c r="BO26" s="118">
        <f t="shared" si="53"/>
        <v>21.18962010084957</v>
      </c>
      <c r="BP26" s="127">
        <v>837.44399999999996</v>
      </c>
      <c r="BQ26" s="127">
        <v>-3315.6499999999996</v>
      </c>
      <c r="BR26" s="118">
        <f t="shared" si="33"/>
        <v>-5.0000000001091394</v>
      </c>
      <c r="BS26" s="118">
        <f t="shared" si="34"/>
        <v>20.000000000436557</v>
      </c>
      <c r="BT26" s="118">
        <f t="shared" si="35"/>
        <v>20.615528128538298</v>
      </c>
      <c r="BU26" s="127">
        <v>837.44399999999996</v>
      </c>
      <c r="BV26" s="127">
        <v>-3315.6509999999998</v>
      </c>
      <c r="BW26" s="118">
        <f t="shared" si="36"/>
        <v>-5.0000000001091394</v>
      </c>
      <c r="BX26" s="118">
        <f t="shared" si="37"/>
        <v>19.000000000232831</v>
      </c>
      <c r="BY26" s="118">
        <f t="shared" si="38"/>
        <v>19.646882704641442</v>
      </c>
      <c r="BZ26" s="115">
        <f t="shared" si="54"/>
        <v>17</v>
      </c>
      <c r="CA26"/>
      <c r="CB26"/>
    </row>
    <row r="27" spans="2:80" s="111" customFormat="1" ht="15.95" customHeight="1" x14ac:dyDescent="0.25">
      <c r="B27" s="115">
        <v>18</v>
      </c>
      <c r="C27" s="116">
        <v>843.25300000000004</v>
      </c>
      <c r="D27" s="116">
        <v>-3315.3710000000001</v>
      </c>
      <c r="E27" s="117">
        <v>0</v>
      </c>
      <c r="F27" s="117">
        <v>0</v>
      </c>
      <c r="G27" s="118">
        <f t="shared" si="0"/>
        <v>0</v>
      </c>
      <c r="H27" s="116">
        <v>843.25700000000006</v>
      </c>
      <c r="I27" s="116">
        <v>-3315.3710000000001</v>
      </c>
      <c r="J27" s="117">
        <v>0</v>
      </c>
      <c r="K27" s="117">
        <v>0</v>
      </c>
      <c r="L27" s="118">
        <v>0</v>
      </c>
      <c r="M27" s="116">
        <v>843.26599999999996</v>
      </c>
      <c r="N27" s="116">
        <v>-3315.3670000000002</v>
      </c>
      <c r="O27" s="117">
        <f t="shared" si="39"/>
        <v>8.9999999999008651</v>
      </c>
      <c r="P27" s="117">
        <f t="shared" si="40"/>
        <v>3.9999999999054126</v>
      </c>
      <c r="Q27" s="118">
        <f t="shared" si="41"/>
        <v>9.8488578016670978</v>
      </c>
      <c r="R27" s="116">
        <v>843.26400000000001</v>
      </c>
      <c r="S27" s="116">
        <v>-3315.3650000000002</v>
      </c>
      <c r="T27" s="118">
        <f t="shared" si="42"/>
        <v>6.9999999999481588</v>
      </c>
      <c r="U27" s="118">
        <f t="shared" si="43"/>
        <v>5.9999999998581188</v>
      </c>
      <c r="V27" s="118">
        <f t="shared" si="44"/>
        <v>9.2195444571611915</v>
      </c>
      <c r="W27" s="116">
        <v>843.26099999999997</v>
      </c>
      <c r="X27" s="116">
        <v>-3315.3629999999998</v>
      </c>
      <c r="Y27" s="118">
        <f t="shared" si="45"/>
        <v>3.9999999999054126</v>
      </c>
      <c r="Z27" s="118">
        <f t="shared" si="46"/>
        <v>8.0000000002655725</v>
      </c>
      <c r="AA27" s="118">
        <f t="shared" si="47"/>
        <v>8.9442719101943933</v>
      </c>
      <c r="AB27" s="129">
        <v>843.26699999999994</v>
      </c>
      <c r="AC27" s="129">
        <v>-3315.3599999999997</v>
      </c>
      <c r="AD27" s="118">
        <f t="shared" si="9"/>
        <v>9.9999999998772182</v>
      </c>
      <c r="AE27" s="118">
        <f t="shared" si="10"/>
        <v>11.000000000422006</v>
      </c>
      <c r="AF27" s="118">
        <f t="shared" si="11"/>
        <v>14.866068747548173</v>
      </c>
      <c r="AG27" s="116">
        <v>843.26199999999994</v>
      </c>
      <c r="AH27" s="116">
        <v>-3315.364</v>
      </c>
      <c r="AI27" s="118">
        <f t="shared" si="12"/>
        <v>4.9999999998817657</v>
      </c>
      <c r="AJ27" s="118">
        <f t="shared" si="13"/>
        <v>7.0000000000618456</v>
      </c>
      <c r="AK27" s="118">
        <f t="shared" si="14"/>
        <v>8.6023252670242307</v>
      </c>
      <c r="AL27" s="116">
        <v>843.26299999999992</v>
      </c>
      <c r="AM27" s="116">
        <v>-3315.3629999999998</v>
      </c>
      <c r="AN27" s="118">
        <f t="shared" si="15"/>
        <v>5.9999999998581188</v>
      </c>
      <c r="AO27" s="118">
        <f t="shared" si="16"/>
        <v>8.0000000002655725</v>
      </c>
      <c r="AP27" s="118">
        <f t="shared" si="17"/>
        <v>10.000000000127329</v>
      </c>
      <c r="AQ27" s="116">
        <v>843.26599999999985</v>
      </c>
      <c r="AR27" s="116">
        <v>-3315.3619999999996</v>
      </c>
      <c r="AS27" s="118">
        <f t="shared" si="18"/>
        <v>8.9999999997871782</v>
      </c>
      <c r="AT27" s="118">
        <f t="shared" si="19"/>
        <v>9.0000000004692993</v>
      </c>
      <c r="AU27" s="118">
        <f t="shared" si="20"/>
        <v>12.727922061539212</v>
      </c>
      <c r="AV27" s="116">
        <v>843.25999999999988</v>
      </c>
      <c r="AW27" s="116">
        <v>-3315.3589999999995</v>
      </c>
      <c r="AX27" s="125">
        <f t="shared" si="21"/>
        <v>2.9999999998153726</v>
      </c>
      <c r="AY27" s="118">
        <f t="shared" si="22"/>
        <v>12.000000000625732</v>
      </c>
      <c r="AZ27" s="118">
        <f t="shared" si="23"/>
        <v>12.369316877415253</v>
      </c>
      <c r="BA27" s="116">
        <v>843.2589999999999</v>
      </c>
      <c r="BB27" s="116">
        <v>-3315.3549999999996</v>
      </c>
      <c r="BC27" s="118">
        <f t="shared" si="24"/>
        <v>1.9999999998390194</v>
      </c>
      <c r="BD27" s="118">
        <f t="shared" si="25"/>
        <v>16.000000000531145</v>
      </c>
      <c r="BE27" s="118">
        <f t="shared" si="26"/>
        <v>16.124515497104177</v>
      </c>
      <c r="BF27" s="127">
        <v>843.25799999999992</v>
      </c>
      <c r="BG27" s="127">
        <v>-3315.3529999999996</v>
      </c>
      <c r="BH27" s="118">
        <f t="shared" si="48"/>
        <v>0.9999999998626663</v>
      </c>
      <c r="BI27" s="118">
        <f t="shared" si="49"/>
        <v>18.000000000483851</v>
      </c>
      <c r="BJ27" s="118">
        <f t="shared" si="50"/>
        <v>18.027756377795434</v>
      </c>
      <c r="BK27" s="127">
        <v>843.25999999999988</v>
      </c>
      <c r="BL27" s="127">
        <v>-3315.3549999999996</v>
      </c>
      <c r="BM27" s="118">
        <f t="shared" si="51"/>
        <v>2.9999999998153726</v>
      </c>
      <c r="BN27" s="118">
        <f t="shared" si="52"/>
        <v>16.000000000531145</v>
      </c>
      <c r="BO27" s="118">
        <f t="shared" si="53"/>
        <v>16.278820596587728</v>
      </c>
      <c r="BP27" s="127">
        <v>843.26099999999985</v>
      </c>
      <c r="BQ27" s="127">
        <v>-3315.3549999999996</v>
      </c>
      <c r="BR27" s="118">
        <f t="shared" si="33"/>
        <v>3.9999999997917257</v>
      </c>
      <c r="BS27" s="118">
        <f t="shared" si="34"/>
        <v>16.000000000531145</v>
      </c>
      <c r="BT27" s="118">
        <f t="shared" si="35"/>
        <v>16.492422502935415</v>
      </c>
      <c r="BU27" s="127">
        <v>843.25999999999988</v>
      </c>
      <c r="BV27" s="127">
        <v>-3315.3539999999994</v>
      </c>
      <c r="BW27" s="118">
        <f t="shared" si="36"/>
        <v>2.9999999998153726</v>
      </c>
      <c r="BX27" s="118">
        <f t="shared" si="37"/>
        <v>17.000000000734872</v>
      </c>
      <c r="BY27" s="118">
        <f t="shared" si="38"/>
        <v>17.262676502323671</v>
      </c>
      <c r="BZ27" s="115">
        <f t="shared" si="54"/>
        <v>18</v>
      </c>
      <c r="CA27"/>
      <c r="CB27"/>
    </row>
    <row r="28" spans="2:80" s="111" customFormat="1" ht="15.95" customHeight="1" x14ac:dyDescent="0.25">
      <c r="B28" s="115">
        <v>19</v>
      </c>
      <c r="C28" s="116">
        <v>851.10699999999997</v>
      </c>
      <c r="D28" s="116">
        <v>-3315.0909999999999</v>
      </c>
      <c r="E28" s="117">
        <v>0</v>
      </c>
      <c r="F28" s="117">
        <v>0</v>
      </c>
      <c r="G28" s="118">
        <f t="shared" si="0"/>
        <v>0</v>
      </c>
      <c r="H28" s="116">
        <v>851.10299999999995</v>
      </c>
      <c r="I28" s="116">
        <v>-3315.0940000000001</v>
      </c>
      <c r="J28" s="117">
        <v>0</v>
      </c>
      <c r="K28" s="117">
        <v>0</v>
      </c>
      <c r="L28" s="118">
        <v>0</v>
      </c>
      <c r="M28" s="116">
        <v>851.11</v>
      </c>
      <c r="N28" s="116">
        <v>-3315.0830000000001</v>
      </c>
      <c r="O28" s="117">
        <f t="shared" si="39"/>
        <v>7.0000000000618456</v>
      </c>
      <c r="P28" s="117">
        <f t="shared" si="40"/>
        <v>10.999999999967258</v>
      </c>
      <c r="Q28" s="118">
        <f t="shared" si="41"/>
        <v>13.038404810410878</v>
      </c>
      <c r="R28" s="116">
        <v>851.10900000000004</v>
      </c>
      <c r="S28" s="116">
        <v>-3315.0790000000002</v>
      </c>
      <c r="T28" s="118">
        <f t="shared" si="42"/>
        <v>6.0000000000854925</v>
      </c>
      <c r="U28" s="118">
        <f t="shared" si="43"/>
        <v>14.999999999872671</v>
      </c>
      <c r="V28" s="118">
        <f t="shared" si="44"/>
        <v>16.155494421317041</v>
      </c>
      <c r="W28" s="116">
        <v>851.10599999999999</v>
      </c>
      <c r="X28" s="116">
        <v>-3315.0810000000001</v>
      </c>
      <c r="Y28" s="118">
        <f t="shared" si="45"/>
        <v>3.0000000000427463</v>
      </c>
      <c r="Z28" s="118">
        <f t="shared" si="46"/>
        <v>12.999999999919964</v>
      </c>
      <c r="AA28" s="118">
        <f t="shared" si="47"/>
        <v>13.34166406405796</v>
      </c>
      <c r="AB28" s="129">
        <v>851.10500000000002</v>
      </c>
      <c r="AC28" s="129">
        <v>-3315.0810000000001</v>
      </c>
      <c r="AD28" s="118">
        <f t="shared" si="9"/>
        <v>2.0000000000663931</v>
      </c>
      <c r="AE28" s="118">
        <f t="shared" si="10"/>
        <v>12.999999999919964</v>
      </c>
      <c r="AF28" s="118">
        <f t="shared" si="11"/>
        <v>13.152946437896896</v>
      </c>
      <c r="AG28" s="116">
        <v>851.10599999999999</v>
      </c>
      <c r="AH28" s="116">
        <v>-3315.085</v>
      </c>
      <c r="AI28" s="118">
        <f t="shared" si="12"/>
        <v>3.0000000000427463</v>
      </c>
      <c r="AJ28" s="118">
        <f t="shared" si="13"/>
        <v>9.0000000000145519</v>
      </c>
      <c r="AK28" s="118">
        <f t="shared" si="14"/>
        <v>9.4868329805324603</v>
      </c>
      <c r="AL28" s="116">
        <v>851.10299999999995</v>
      </c>
      <c r="AM28" s="116">
        <v>-3315.085</v>
      </c>
      <c r="AN28" s="118">
        <f t="shared" si="15"/>
        <v>0</v>
      </c>
      <c r="AO28" s="118">
        <f t="shared" si="16"/>
        <v>9.0000000000145519</v>
      </c>
      <c r="AP28" s="118">
        <f t="shared" si="17"/>
        <v>9.0000000000145519</v>
      </c>
      <c r="AQ28" s="116">
        <v>851.1</v>
      </c>
      <c r="AR28" s="116">
        <v>-3315.0829999999996</v>
      </c>
      <c r="AS28" s="118">
        <f t="shared" si="18"/>
        <v>-2.9999999999290594</v>
      </c>
      <c r="AT28" s="118">
        <f t="shared" si="19"/>
        <v>11.000000000422006</v>
      </c>
      <c r="AU28" s="118">
        <f t="shared" si="20"/>
        <v>11.401754251379849</v>
      </c>
      <c r="AV28" s="116">
        <v>851.09900000000005</v>
      </c>
      <c r="AW28" s="116">
        <v>-3315.0809999999997</v>
      </c>
      <c r="AX28" s="125">
        <f t="shared" si="21"/>
        <v>-3.9999999999054126</v>
      </c>
      <c r="AY28" s="118">
        <f t="shared" si="22"/>
        <v>13.000000000374712</v>
      </c>
      <c r="AZ28" s="118">
        <f t="shared" si="23"/>
        <v>13.601470509065768</v>
      </c>
      <c r="BA28" s="116">
        <v>851.09700000000009</v>
      </c>
      <c r="BB28" s="116">
        <v>-3315.0779999999995</v>
      </c>
      <c r="BC28" s="118">
        <f t="shared" si="24"/>
        <v>-5.9999999998581188</v>
      </c>
      <c r="BD28" s="118">
        <f t="shared" si="25"/>
        <v>16.000000000531145</v>
      </c>
      <c r="BE28" s="118">
        <f t="shared" si="26"/>
        <v>17.088007491082571</v>
      </c>
      <c r="BF28" s="127">
        <v>851.09500000000014</v>
      </c>
      <c r="BG28" s="127">
        <v>-3315.0779999999995</v>
      </c>
      <c r="BH28" s="118">
        <f t="shared" si="48"/>
        <v>-7.9999999998108251</v>
      </c>
      <c r="BI28" s="118">
        <f t="shared" si="49"/>
        <v>16.000000000531145</v>
      </c>
      <c r="BJ28" s="118">
        <f t="shared" si="50"/>
        <v>17.888543820388787</v>
      </c>
      <c r="BK28" s="127">
        <v>851.09400000000016</v>
      </c>
      <c r="BL28" s="127">
        <v>-3315.0759999999996</v>
      </c>
      <c r="BM28" s="118">
        <f t="shared" si="51"/>
        <v>-8.9999999997871782</v>
      </c>
      <c r="BN28" s="118">
        <f t="shared" si="52"/>
        <v>18.000000000483851</v>
      </c>
      <c r="BO28" s="118">
        <f t="shared" si="53"/>
        <v>20.124611797835701</v>
      </c>
      <c r="BP28" s="127">
        <v>851.09200000000021</v>
      </c>
      <c r="BQ28" s="127">
        <v>-3315.0759999999996</v>
      </c>
      <c r="BR28" s="118">
        <f t="shared" si="33"/>
        <v>-10.999999999739885</v>
      </c>
      <c r="BS28" s="118">
        <f t="shared" si="34"/>
        <v>18.000000000483851</v>
      </c>
      <c r="BT28" s="118">
        <f t="shared" si="35"/>
        <v>21.09502311000621</v>
      </c>
      <c r="BU28" s="127">
        <v>851.09000000000026</v>
      </c>
      <c r="BV28" s="127">
        <v>-3315.0759999999996</v>
      </c>
      <c r="BW28" s="118">
        <f t="shared" si="36"/>
        <v>-12.999999999692591</v>
      </c>
      <c r="BX28" s="118">
        <f t="shared" si="37"/>
        <v>18.000000000483851</v>
      </c>
      <c r="BY28" s="118">
        <f t="shared" si="38"/>
        <v>22.203603311386779</v>
      </c>
      <c r="BZ28" s="115">
        <f t="shared" si="54"/>
        <v>19</v>
      </c>
      <c r="CA28"/>
      <c r="CB28"/>
    </row>
    <row r="29" spans="2:80" s="111" customFormat="1" ht="15.95" customHeight="1" x14ac:dyDescent="0.25">
      <c r="B29" s="115">
        <v>20</v>
      </c>
      <c r="C29" s="116">
        <v>856.05100000000004</v>
      </c>
      <c r="D29" s="116">
        <v>-3314.9189999999999</v>
      </c>
      <c r="E29" s="117">
        <v>0</v>
      </c>
      <c r="F29" s="117">
        <v>0</v>
      </c>
      <c r="G29" s="118">
        <f t="shared" si="0"/>
        <v>0</v>
      </c>
      <c r="H29" s="116">
        <v>856.04900000000009</v>
      </c>
      <c r="I29" s="116">
        <v>-3314.92</v>
      </c>
      <c r="J29" s="117">
        <v>0</v>
      </c>
      <c r="K29" s="117">
        <v>0</v>
      </c>
      <c r="L29" s="118">
        <v>0</v>
      </c>
      <c r="M29" s="116">
        <v>856.04900000000009</v>
      </c>
      <c r="N29" s="116">
        <v>-3314.92</v>
      </c>
      <c r="O29" s="117">
        <f t="shared" si="39"/>
        <v>0</v>
      </c>
      <c r="P29" s="117">
        <f t="shared" si="40"/>
        <v>0</v>
      </c>
      <c r="Q29" s="118">
        <f t="shared" si="41"/>
        <v>0</v>
      </c>
      <c r="R29" s="116">
        <v>856.04700000000014</v>
      </c>
      <c r="S29" s="116">
        <v>-3314.9160000000002</v>
      </c>
      <c r="T29" s="118">
        <f t="shared" si="42"/>
        <v>-1.9999999999527063</v>
      </c>
      <c r="U29" s="118">
        <f t="shared" si="43"/>
        <v>3.9999999999054126</v>
      </c>
      <c r="V29" s="118">
        <f t="shared" si="44"/>
        <v>4.4721359548938278</v>
      </c>
      <c r="W29" s="116">
        <v>856.04700000000014</v>
      </c>
      <c r="X29" s="116">
        <v>-3314.915</v>
      </c>
      <c r="Y29" s="118">
        <f t="shared" si="45"/>
        <v>-1.9999999999527063</v>
      </c>
      <c r="Z29" s="118">
        <f t="shared" si="46"/>
        <v>5.0000000001091394</v>
      </c>
      <c r="AA29" s="118">
        <f t="shared" si="47"/>
        <v>5.3851648072182732</v>
      </c>
      <c r="AB29" s="129">
        <v>856.05100000000016</v>
      </c>
      <c r="AC29" s="129">
        <v>-3314.9110000000001</v>
      </c>
      <c r="AD29" s="118">
        <f t="shared" si="9"/>
        <v>2.0000000000663931</v>
      </c>
      <c r="AE29" s="118">
        <f t="shared" si="10"/>
        <v>9.0000000000145519</v>
      </c>
      <c r="AF29" s="118">
        <f t="shared" si="11"/>
        <v>9.2195444573214953</v>
      </c>
      <c r="AG29" s="116">
        <v>856.04900000000009</v>
      </c>
      <c r="AH29" s="116">
        <v>-3314.91</v>
      </c>
      <c r="AI29" s="118">
        <f t="shared" si="12"/>
        <v>0</v>
      </c>
      <c r="AJ29" s="118">
        <f t="shared" si="13"/>
        <v>10.000000000218279</v>
      </c>
      <c r="AK29" s="118">
        <f t="shared" si="14"/>
        <v>10.000000000218279</v>
      </c>
      <c r="AL29" s="116">
        <v>856.05500000000006</v>
      </c>
      <c r="AM29" s="116">
        <v>-3314.913</v>
      </c>
      <c r="AN29" s="118">
        <f t="shared" si="15"/>
        <v>5.9999999999718057</v>
      </c>
      <c r="AO29" s="118">
        <f t="shared" si="16"/>
        <v>7.0000000000618456</v>
      </c>
      <c r="AP29" s="118">
        <f t="shared" si="17"/>
        <v>9.2195444573214953</v>
      </c>
      <c r="AQ29" s="116">
        <v>856.05000000000007</v>
      </c>
      <c r="AR29" s="116">
        <v>-3314.9119999999998</v>
      </c>
      <c r="AS29" s="118">
        <f t="shared" si="18"/>
        <v>0.99999999997635314</v>
      </c>
      <c r="AT29" s="118">
        <f t="shared" si="19"/>
        <v>8.0000000002655725</v>
      </c>
      <c r="AU29" s="118">
        <f t="shared" si="20"/>
        <v>8.0622577485591389</v>
      </c>
      <c r="AV29" s="116">
        <v>856.05200000000002</v>
      </c>
      <c r="AW29" s="116">
        <v>-3314.9139999999998</v>
      </c>
      <c r="AX29" s="125">
        <f t="shared" si="21"/>
        <v>2.9999999999290594</v>
      </c>
      <c r="AY29" s="118">
        <f t="shared" si="22"/>
        <v>6.0000000003128662</v>
      </c>
      <c r="AZ29" s="118">
        <f t="shared" si="23"/>
        <v>6.7082039327474794</v>
      </c>
      <c r="BA29" s="116">
        <v>856.05399999999997</v>
      </c>
      <c r="BB29" s="116">
        <v>-3314.9109999999996</v>
      </c>
      <c r="BC29" s="118">
        <f t="shared" si="24"/>
        <v>4.9999999998817657</v>
      </c>
      <c r="BD29" s="118">
        <f t="shared" si="25"/>
        <v>9.0000000004692993</v>
      </c>
      <c r="BE29" s="118">
        <f t="shared" si="26"/>
        <v>10.295630141339823</v>
      </c>
      <c r="BF29" s="127">
        <v>856.05599999999993</v>
      </c>
      <c r="BG29" s="127">
        <v>-3314.9139999999998</v>
      </c>
      <c r="BH29" s="118">
        <f t="shared" si="48"/>
        <v>6.999999999834472</v>
      </c>
      <c r="BI29" s="118">
        <f t="shared" si="49"/>
        <v>6.0000000003128662</v>
      </c>
      <c r="BJ29" s="118">
        <f t="shared" si="50"/>
        <v>9.2195444573708194</v>
      </c>
      <c r="BK29" s="127">
        <v>856.06</v>
      </c>
      <c r="BL29" s="127">
        <v>-3314.915</v>
      </c>
      <c r="BM29" s="118">
        <f t="shared" si="51"/>
        <v>10.999999999853571</v>
      </c>
      <c r="BN29" s="118">
        <f t="shared" si="52"/>
        <v>5.0000000001091394</v>
      </c>
      <c r="BO29" s="118">
        <f t="shared" si="53"/>
        <v>12.083045973506431</v>
      </c>
      <c r="BP29" s="127">
        <v>856.05799999999999</v>
      </c>
      <c r="BQ29" s="127">
        <v>-3314.913</v>
      </c>
      <c r="BR29" s="118">
        <f t="shared" si="33"/>
        <v>8.9999999999008651</v>
      </c>
      <c r="BS29" s="118">
        <f t="shared" si="34"/>
        <v>7.0000000000618456</v>
      </c>
      <c r="BT29" s="118">
        <f t="shared" si="35"/>
        <v>11.401754250951097</v>
      </c>
      <c r="BU29" s="127">
        <v>856.05799999999999</v>
      </c>
      <c r="BV29" s="127">
        <v>-3314.9119999999998</v>
      </c>
      <c r="BW29" s="118">
        <f t="shared" si="36"/>
        <v>8.9999999999008651</v>
      </c>
      <c r="BX29" s="118">
        <f t="shared" si="37"/>
        <v>8.0000000002655725</v>
      </c>
      <c r="BY29" s="118">
        <f t="shared" si="38"/>
        <v>12.041594578894637</v>
      </c>
      <c r="BZ29" s="115">
        <f t="shared" si="54"/>
        <v>20</v>
      </c>
      <c r="CA29"/>
      <c r="CB29"/>
    </row>
    <row r="30" spans="2:80" s="111" customFormat="1" ht="15.95" customHeight="1" x14ac:dyDescent="0.25">
      <c r="B30" s="115">
        <v>21</v>
      </c>
      <c r="C30" s="116">
        <v>861.37599999999998</v>
      </c>
      <c r="D30" s="116">
        <v>-3314.741</v>
      </c>
      <c r="E30" s="117">
        <v>0</v>
      </c>
      <c r="F30" s="117">
        <v>0</v>
      </c>
      <c r="G30" s="118">
        <f t="shared" si="0"/>
        <v>0</v>
      </c>
      <c r="H30" s="116">
        <v>861.37300000000005</v>
      </c>
      <c r="I30" s="116">
        <v>-3314.7379999999998</v>
      </c>
      <c r="J30" s="117">
        <v>0</v>
      </c>
      <c r="K30" s="117">
        <v>0</v>
      </c>
      <c r="L30" s="118">
        <v>0</v>
      </c>
      <c r="M30" s="116">
        <v>861.37900000000002</v>
      </c>
      <c r="N30" s="116">
        <v>-3314.732</v>
      </c>
      <c r="O30" s="117">
        <f t="shared" si="39"/>
        <v>5.9999999999718057</v>
      </c>
      <c r="P30" s="117">
        <f t="shared" si="40"/>
        <v>5.9999999998581188</v>
      </c>
      <c r="Q30" s="118">
        <f t="shared" si="41"/>
        <v>8.4852813741183084</v>
      </c>
      <c r="R30" s="116">
        <v>861.37699999999995</v>
      </c>
      <c r="S30" s="116">
        <v>-3314.7370000000001</v>
      </c>
      <c r="T30" s="118">
        <f t="shared" si="42"/>
        <v>3.9999999999054126</v>
      </c>
      <c r="U30" s="118">
        <f t="shared" si="43"/>
        <v>0.99999999974897946</v>
      </c>
      <c r="V30" s="118">
        <f t="shared" si="44"/>
        <v>4.1231056254650156</v>
      </c>
      <c r="W30" s="116">
        <v>861.37599999999998</v>
      </c>
      <c r="X30" s="116">
        <v>-3314.7280000000001</v>
      </c>
      <c r="Y30" s="118">
        <f t="shared" si="45"/>
        <v>2.9999999999290594</v>
      </c>
      <c r="Z30" s="118">
        <f t="shared" si="46"/>
        <v>9.9999999997635314</v>
      </c>
      <c r="AA30" s="118">
        <f t="shared" si="47"/>
        <v>10.440306508663669</v>
      </c>
      <c r="AB30" s="129">
        <v>861.38199999999995</v>
      </c>
      <c r="AC30" s="129">
        <v>-3314.7249999999999</v>
      </c>
      <c r="AD30" s="118">
        <f t="shared" si="9"/>
        <v>8.9999999999008651</v>
      </c>
      <c r="AE30" s="118">
        <f t="shared" si="10"/>
        <v>12.999999999919964</v>
      </c>
      <c r="AF30" s="118">
        <f t="shared" si="11"/>
        <v>15.811388300719663</v>
      </c>
      <c r="AG30" s="116">
        <v>861.37400000000002</v>
      </c>
      <c r="AH30" s="116">
        <v>-3314.7249999999999</v>
      </c>
      <c r="AI30" s="118">
        <f t="shared" si="12"/>
        <v>0.99999999997635314</v>
      </c>
      <c r="AJ30" s="118">
        <f t="shared" si="13"/>
        <v>12.999999999919964</v>
      </c>
      <c r="AK30" s="118">
        <f t="shared" si="14"/>
        <v>13.038404810323684</v>
      </c>
      <c r="AL30" s="116">
        <v>861.37099999999998</v>
      </c>
      <c r="AM30" s="116">
        <v>-3314.723</v>
      </c>
      <c r="AN30" s="118">
        <f t="shared" si="15"/>
        <v>-2.0000000000663931</v>
      </c>
      <c r="AO30" s="118">
        <f t="shared" si="16"/>
        <v>14.999999999872671</v>
      </c>
      <c r="AP30" s="118">
        <f t="shared" si="17"/>
        <v>15.132745950304118</v>
      </c>
      <c r="AQ30" s="116">
        <v>861.37599999999998</v>
      </c>
      <c r="AR30" s="116">
        <v>-3314.7219999999998</v>
      </c>
      <c r="AS30" s="118">
        <f t="shared" si="18"/>
        <v>2.9999999999290594</v>
      </c>
      <c r="AT30" s="118">
        <f t="shared" si="19"/>
        <v>16.000000000076398</v>
      </c>
      <c r="AU30" s="118">
        <f t="shared" si="20"/>
        <v>16.278820596161722</v>
      </c>
      <c r="AV30" s="116">
        <v>861.37699999999995</v>
      </c>
      <c r="AW30" s="116">
        <v>-3314.7209999999995</v>
      </c>
      <c r="AX30" s="125">
        <f t="shared" si="21"/>
        <v>3.9999999999054126</v>
      </c>
      <c r="AY30" s="118">
        <f t="shared" si="22"/>
        <v>17.000000000280124</v>
      </c>
      <c r="AZ30" s="118">
        <f t="shared" si="23"/>
        <v>17.464249196823996</v>
      </c>
      <c r="BA30" s="116">
        <v>861.37599999999998</v>
      </c>
      <c r="BB30" s="116">
        <v>-3314.7219999999998</v>
      </c>
      <c r="BC30" s="118">
        <f t="shared" si="24"/>
        <v>2.9999999999290594</v>
      </c>
      <c r="BD30" s="118">
        <f t="shared" si="25"/>
        <v>16.000000000076398</v>
      </c>
      <c r="BE30" s="118">
        <f t="shared" si="26"/>
        <v>16.278820596161722</v>
      </c>
      <c r="BF30" s="127">
        <v>861.375</v>
      </c>
      <c r="BG30" s="127">
        <v>-3314.72</v>
      </c>
      <c r="BH30" s="118">
        <f t="shared" si="48"/>
        <v>1.9999999999527063</v>
      </c>
      <c r="BI30" s="118">
        <f t="shared" si="49"/>
        <v>18.000000000029104</v>
      </c>
      <c r="BJ30" s="118">
        <f t="shared" si="50"/>
        <v>18.110770276298535</v>
      </c>
      <c r="BK30" s="127">
        <v>861.37800000000004</v>
      </c>
      <c r="BL30" s="127">
        <v>-3314.72</v>
      </c>
      <c r="BM30" s="118">
        <f t="shared" si="51"/>
        <v>4.9999999999954525</v>
      </c>
      <c r="BN30" s="118">
        <f t="shared" si="52"/>
        <v>18.000000000029104</v>
      </c>
      <c r="BO30" s="118">
        <f t="shared" si="53"/>
        <v>18.681541692296229</v>
      </c>
      <c r="BP30" s="127">
        <v>861.37600000000009</v>
      </c>
      <c r="BQ30" s="127">
        <v>-3314.7219999999998</v>
      </c>
      <c r="BR30" s="118">
        <f t="shared" si="33"/>
        <v>3.0000000000427463</v>
      </c>
      <c r="BS30" s="118">
        <f t="shared" si="34"/>
        <v>16.000000000076398</v>
      </c>
      <c r="BT30" s="118">
        <f t="shared" si="35"/>
        <v>16.278820596182673</v>
      </c>
      <c r="BU30" s="127">
        <v>861.37600000000009</v>
      </c>
      <c r="BV30" s="127">
        <v>-3314.723</v>
      </c>
      <c r="BW30" s="118">
        <f t="shared" si="36"/>
        <v>3.0000000000427463</v>
      </c>
      <c r="BX30" s="118">
        <f t="shared" si="37"/>
        <v>14.999999999872671</v>
      </c>
      <c r="BY30" s="118">
        <f t="shared" si="38"/>
        <v>15.297058540661881</v>
      </c>
      <c r="BZ30" s="115">
        <f t="shared" si="54"/>
        <v>21</v>
      </c>
      <c r="CA30"/>
      <c r="CB30"/>
    </row>
    <row r="31" spans="2:80" s="111" customFormat="1" ht="15.95" customHeight="1" x14ac:dyDescent="0.25">
      <c r="B31" s="115">
        <v>22</v>
      </c>
      <c r="C31" s="116">
        <v>866.96799999999996</v>
      </c>
      <c r="D31" s="116">
        <v>-3314.547</v>
      </c>
      <c r="E31" s="117">
        <v>0</v>
      </c>
      <c r="F31" s="117">
        <v>0</v>
      </c>
      <c r="G31" s="118">
        <f t="shared" si="0"/>
        <v>0</v>
      </c>
      <c r="H31" s="116">
        <v>866.971</v>
      </c>
      <c r="I31" s="116">
        <v>-3314.5459999999998</v>
      </c>
      <c r="J31" s="117">
        <v>0</v>
      </c>
      <c r="K31" s="117">
        <v>0</v>
      </c>
      <c r="L31" s="118">
        <v>0</v>
      </c>
      <c r="M31" s="116">
        <v>866.97500000000002</v>
      </c>
      <c r="N31" s="116">
        <v>-3314.5430000000001</v>
      </c>
      <c r="O31" s="117">
        <f t="shared" si="39"/>
        <v>4.0000000000190994</v>
      </c>
      <c r="P31" s="117">
        <f t="shared" si="40"/>
        <v>2.9999999997016857</v>
      </c>
      <c r="Q31" s="118">
        <f t="shared" si="41"/>
        <v>4.999999999836291</v>
      </c>
      <c r="R31" s="116">
        <v>866.971</v>
      </c>
      <c r="S31" s="116">
        <v>-3314.547</v>
      </c>
      <c r="T31" s="118">
        <f t="shared" si="42"/>
        <v>0</v>
      </c>
      <c r="U31" s="118">
        <f t="shared" si="43"/>
        <v>-1.0000000002037268</v>
      </c>
      <c r="V31" s="118">
        <f t="shared" si="44"/>
        <v>1.0000000002037268</v>
      </c>
      <c r="W31" s="116">
        <v>866.97400000000005</v>
      </c>
      <c r="X31" s="116">
        <v>-3314.547</v>
      </c>
      <c r="Y31" s="118">
        <f t="shared" si="45"/>
        <v>3.0000000000427463</v>
      </c>
      <c r="Z31" s="118">
        <f t="shared" si="46"/>
        <v>-1.0000000002037268</v>
      </c>
      <c r="AA31" s="118">
        <f t="shared" si="47"/>
        <v>3.162277660273356</v>
      </c>
      <c r="AB31" s="129">
        <v>866.97300000000007</v>
      </c>
      <c r="AC31" s="129">
        <v>-3314.549</v>
      </c>
      <c r="AD31" s="118">
        <f t="shared" si="9"/>
        <v>2.0000000000663931</v>
      </c>
      <c r="AE31" s="118">
        <f t="shared" si="10"/>
        <v>-3.0000000001564331</v>
      </c>
      <c r="AF31" s="118">
        <f t="shared" si="11"/>
        <v>3.6055512756309778</v>
      </c>
      <c r="AG31" s="116">
        <v>866.976</v>
      </c>
      <c r="AH31" s="116">
        <v>-3314.55</v>
      </c>
      <c r="AI31" s="118">
        <f t="shared" si="12"/>
        <v>4.9999999999954525</v>
      </c>
      <c r="AJ31" s="118">
        <f t="shared" si="13"/>
        <v>-4.0000000003601599</v>
      </c>
      <c r="AK31" s="118">
        <f t="shared" si="14"/>
        <v>6.4031242376542874</v>
      </c>
      <c r="AL31" s="116">
        <v>866.97799999999995</v>
      </c>
      <c r="AM31" s="116">
        <v>-3314.549</v>
      </c>
      <c r="AN31" s="118">
        <f t="shared" si="15"/>
        <v>6.9999999999481588</v>
      </c>
      <c r="AO31" s="118">
        <f t="shared" si="16"/>
        <v>-3.0000000001564331</v>
      </c>
      <c r="AP31" s="118">
        <f t="shared" si="17"/>
        <v>7.6157731058778806</v>
      </c>
      <c r="AQ31" s="116">
        <v>866.98399999999992</v>
      </c>
      <c r="AR31" s="116">
        <v>-3314.5459999999998</v>
      </c>
      <c r="AS31" s="118">
        <f t="shared" si="18"/>
        <v>12.999999999919964</v>
      </c>
      <c r="AT31" s="118">
        <f t="shared" si="19"/>
        <v>0</v>
      </c>
      <c r="AU31" s="118">
        <f t="shared" si="20"/>
        <v>12.999999999919964</v>
      </c>
      <c r="AV31" s="116">
        <v>866.98599999999988</v>
      </c>
      <c r="AW31" s="116">
        <v>-3314.549</v>
      </c>
      <c r="AX31" s="125">
        <f t="shared" si="21"/>
        <v>14.999999999872671</v>
      </c>
      <c r="AY31" s="118">
        <f t="shared" si="22"/>
        <v>-3.0000000001564331</v>
      </c>
      <c r="AZ31" s="118">
        <f t="shared" si="23"/>
        <v>15.297058540684176</v>
      </c>
      <c r="BA31" s="116">
        <v>866.98299999999983</v>
      </c>
      <c r="BB31" s="116">
        <v>-3314.5459999999998</v>
      </c>
      <c r="BC31" s="118">
        <f t="shared" si="24"/>
        <v>11.999999999829924</v>
      </c>
      <c r="BD31" s="118">
        <f t="shared" si="25"/>
        <v>0</v>
      </c>
      <c r="BE31" s="118">
        <f t="shared" si="26"/>
        <v>11.999999999829924</v>
      </c>
      <c r="BF31" s="127">
        <v>866.98299999999983</v>
      </c>
      <c r="BG31" s="127">
        <v>-3314.5419999999999</v>
      </c>
      <c r="BH31" s="118">
        <f t="shared" si="48"/>
        <v>11.999999999829924</v>
      </c>
      <c r="BI31" s="118">
        <f t="shared" si="49"/>
        <v>3.9999999999054126</v>
      </c>
      <c r="BJ31" s="118">
        <f t="shared" si="50"/>
        <v>12.649110640482258</v>
      </c>
      <c r="BK31" s="127">
        <v>866.98499999999979</v>
      </c>
      <c r="BL31" s="127">
        <v>-3314.5419999999999</v>
      </c>
      <c r="BM31" s="118">
        <f t="shared" si="51"/>
        <v>13.999999999782631</v>
      </c>
      <c r="BN31" s="118">
        <f t="shared" si="52"/>
        <v>3.9999999999054126</v>
      </c>
      <c r="BO31" s="118">
        <f t="shared" si="53"/>
        <v>14.560219778326045</v>
      </c>
      <c r="BP31" s="127">
        <v>866.98399999999981</v>
      </c>
      <c r="BQ31" s="127">
        <v>-3314.5439999999999</v>
      </c>
      <c r="BR31" s="118">
        <f t="shared" si="33"/>
        <v>12.999999999806278</v>
      </c>
      <c r="BS31" s="118">
        <f t="shared" si="34"/>
        <v>1.9999999999527063</v>
      </c>
      <c r="BT31" s="118">
        <f t="shared" si="35"/>
        <v>13.152946437767245</v>
      </c>
      <c r="BU31" s="127">
        <v>866.98099999999977</v>
      </c>
      <c r="BV31" s="127">
        <v>-3314.5429999999997</v>
      </c>
      <c r="BW31" s="118">
        <f t="shared" si="36"/>
        <v>9.9999999997635314</v>
      </c>
      <c r="BX31" s="118">
        <f t="shared" si="37"/>
        <v>3.0000000001564331</v>
      </c>
      <c r="BY31" s="118">
        <f t="shared" si="38"/>
        <v>10.440306508729005</v>
      </c>
      <c r="BZ31" s="115">
        <f t="shared" si="54"/>
        <v>22</v>
      </c>
      <c r="CA31"/>
      <c r="CB31"/>
    </row>
    <row r="32" spans="2:80" s="111" customFormat="1" ht="15.95" customHeight="1" x14ac:dyDescent="0.25">
      <c r="B32" s="115">
        <v>23</v>
      </c>
      <c r="C32" s="186" t="s">
        <v>79</v>
      </c>
      <c r="D32" s="187"/>
      <c r="E32" s="117" t="s">
        <v>80</v>
      </c>
      <c r="F32" s="117" t="s">
        <v>80</v>
      </c>
      <c r="G32" s="117" t="s">
        <v>80</v>
      </c>
      <c r="H32" s="186" t="s">
        <v>79</v>
      </c>
      <c r="I32" s="187"/>
      <c r="J32" s="117" t="s">
        <v>80</v>
      </c>
      <c r="K32" s="117" t="s">
        <v>80</v>
      </c>
      <c r="L32" s="117" t="s">
        <v>80</v>
      </c>
      <c r="M32" s="116">
        <v>871.92600000000004</v>
      </c>
      <c r="N32" s="116">
        <v>-3314.3809999999999</v>
      </c>
      <c r="O32" s="117">
        <v>0</v>
      </c>
      <c r="P32" s="117">
        <v>0</v>
      </c>
      <c r="Q32" s="118">
        <v>0</v>
      </c>
      <c r="R32" s="116">
        <v>871.92499999999995</v>
      </c>
      <c r="S32" s="116">
        <v>-3314.384</v>
      </c>
      <c r="T32" s="118">
        <f t="shared" si="42"/>
        <v>-1.00000000009004</v>
      </c>
      <c r="U32" s="118">
        <f t="shared" si="43"/>
        <v>-3.0000000001564331</v>
      </c>
      <c r="V32" s="118">
        <f t="shared" si="44"/>
        <v>3.162277660345258</v>
      </c>
      <c r="W32" s="116">
        <v>871.93299999999999</v>
      </c>
      <c r="X32" s="116">
        <v>-3314.384</v>
      </c>
      <c r="Y32" s="118">
        <f t="shared" si="45"/>
        <v>6.9999999999481588</v>
      </c>
      <c r="Z32" s="118">
        <f t="shared" si="46"/>
        <v>-3.0000000001564331</v>
      </c>
      <c r="AA32" s="118">
        <f t="shared" si="47"/>
        <v>7.6157731058778806</v>
      </c>
      <c r="AB32" s="129">
        <v>871.92899999999997</v>
      </c>
      <c r="AC32" s="129">
        <v>-3314.3820000000001</v>
      </c>
      <c r="AD32" s="118">
        <f t="shared" si="9"/>
        <v>2.9999999999290594</v>
      </c>
      <c r="AE32" s="118">
        <f t="shared" si="10"/>
        <v>-1.0000000002037268</v>
      </c>
      <c r="AF32" s="118">
        <f t="shared" si="11"/>
        <v>3.1622776601655032</v>
      </c>
      <c r="AG32" s="116">
        <v>871.93399999999997</v>
      </c>
      <c r="AH32" s="116">
        <v>-3314.384</v>
      </c>
      <c r="AI32" s="118">
        <f t="shared" si="12"/>
        <v>7.9999999999245119</v>
      </c>
      <c r="AJ32" s="118">
        <f t="shared" si="13"/>
        <v>-3.0000000001564331</v>
      </c>
      <c r="AK32" s="118">
        <f t="shared" si="14"/>
        <v>8.5440037453017776</v>
      </c>
      <c r="AL32" s="116">
        <v>871.93299999999999</v>
      </c>
      <c r="AM32" s="116">
        <v>-3314.38</v>
      </c>
      <c r="AN32" s="118">
        <f t="shared" si="15"/>
        <v>6.9999999999481588</v>
      </c>
      <c r="AO32" s="118">
        <f t="shared" si="16"/>
        <v>0.99999999974897946</v>
      </c>
      <c r="AP32" s="118">
        <f t="shared" si="17"/>
        <v>7.0710678117786552</v>
      </c>
      <c r="AQ32" s="116">
        <v>871.93299999999999</v>
      </c>
      <c r="AR32" s="116">
        <v>-3314.38</v>
      </c>
      <c r="AS32" s="118">
        <f t="shared" si="18"/>
        <v>6.9999999999481588</v>
      </c>
      <c r="AT32" s="118">
        <f t="shared" si="19"/>
        <v>0.99999999974897946</v>
      </c>
      <c r="AU32" s="118">
        <f t="shared" si="20"/>
        <v>7.0710678117786552</v>
      </c>
      <c r="AV32" s="116">
        <v>871.93200000000002</v>
      </c>
      <c r="AW32" s="116">
        <v>-3314.3780000000002</v>
      </c>
      <c r="AX32" s="125">
        <f t="shared" si="21"/>
        <v>5.9999999999718057</v>
      </c>
      <c r="AY32" s="118">
        <f t="shared" si="22"/>
        <v>2.9999999997016857</v>
      </c>
      <c r="AZ32" s="118">
        <f t="shared" si="23"/>
        <v>6.7082039323407407</v>
      </c>
      <c r="BA32" s="116">
        <v>871.93399999999997</v>
      </c>
      <c r="BB32" s="116">
        <v>-3314.3790000000004</v>
      </c>
      <c r="BC32" s="118">
        <f t="shared" si="24"/>
        <v>7.9999999999245119</v>
      </c>
      <c r="BD32" s="118">
        <f t="shared" si="25"/>
        <v>1.9999999994979589</v>
      </c>
      <c r="BE32" s="118">
        <f t="shared" si="26"/>
        <v>8.2462112510403234</v>
      </c>
      <c r="BF32" s="127">
        <v>871.93099999999993</v>
      </c>
      <c r="BG32" s="127">
        <v>-3314.3810000000003</v>
      </c>
      <c r="BH32" s="118">
        <f t="shared" si="48"/>
        <v>4.9999999998817657</v>
      </c>
      <c r="BI32" s="118">
        <f t="shared" si="49"/>
        <v>-4.5474735088646412E-10</v>
      </c>
      <c r="BJ32" s="118">
        <f t="shared" si="50"/>
        <v>4.9999999998817657</v>
      </c>
      <c r="BK32" s="127">
        <v>871.92799999999988</v>
      </c>
      <c r="BL32" s="127">
        <v>-3314.3770000000004</v>
      </c>
      <c r="BM32" s="118">
        <f t="shared" si="51"/>
        <v>1.9999999998390194</v>
      </c>
      <c r="BN32" s="118">
        <f t="shared" si="52"/>
        <v>3.9999999994506652</v>
      </c>
      <c r="BO32" s="118">
        <f t="shared" si="53"/>
        <v>4.4721359544362471</v>
      </c>
      <c r="BP32" s="127">
        <v>871.92699999999991</v>
      </c>
      <c r="BQ32" s="127">
        <v>-3314.3780000000006</v>
      </c>
      <c r="BR32" s="118">
        <f t="shared" si="33"/>
        <v>0.9999999998626663</v>
      </c>
      <c r="BS32" s="118">
        <f t="shared" si="34"/>
        <v>2.9999999992469384</v>
      </c>
      <c r="BT32" s="118">
        <f t="shared" si="35"/>
        <v>3.1622776594105337</v>
      </c>
      <c r="BU32" s="127">
        <v>871.92799999999988</v>
      </c>
      <c r="BV32" s="127">
        <v>-3314.3780000000006</v>
      </c>
      <c r="BW32" s="118">
        <f t="shared" si="36"/>
        <v>1.9999999998390194</v>
      </c>
      <c r="BX32" s="118">
        <f t="shared" si="37"/>
        <v>2.9999999992469384</v>
      </c>
      <c r="BY32" s="118">
        <f t="shared" si="38"/>
        <v>3.605551274748108</v>
      </c>
      <c r="BZ32" s="115">
        <f t="shared" si="54"/>
        <v>23</v>
      </c>
      <c r="CA32"/>
      <c r="CB32"/>
    </row>
    <row r="33" spans="2:80" s="111" customFormat="1" ht="15.95" customHeight="1" x14ac:dyDescent="0.25">
      <c r="B33" s="115">
        <v>24</v>
      </c>
      <c r="C33" s="186" t="s">
        <v>79</v>
      </c>
      <c r="D33" s="187"/>
      <c r="E33" s="117" t="s">
        <v>80</v>
      </c>
      <c r="F33" s="117" t="s">
        <v>80</v>
      </c>
      <c r="G33" s="117" t="s">
        <v>80</v>
      </c>
      <c r="H33" s="186" t="s">
        <v>79</v>
      </c>
      <c r="I33" s="187"/>
      <c r="J33" s="117" t="s">
        <v>80</v>
      </c>
      <c r="K33" s="117" t="s">
        <v>80</v>
      </c>
      <c r="L33" s="117" t="s">
        <v>80</v>
      </c>
      <c r="M33" s="116">
        <v>877.85599999999999</v>
      </c>
      <c r="N33" s="116">
        <v>-3314.181</v>
      </c>
      <c r="O33" s="117">
        <v>0</v>
      </c>
      <c r="P33" s="117">
        <v>0</v>
      </c>
      <c r="Q33" s="118">
        <v>0</v>
      </c>
      <c r="R33" s="116">
        <v>877.85199999999998</v>
      </c>
      <c r="S33" s="116">
        <v>-3314.1880000000001</v>
      </c>
      <c r="T33" s="118">
        <f t="shared" si="42"/>
        <v>-4.0000000000190994</v>
      </c>
      <c r="U33" s="118">
        <f t="shared" si="43"/>
        <v>-7.0000000000618456</v>
      </c>
      <c r="V33" s="118">
        <f t="shared" si="44"/>
        <v>8.0622577483617235</v>
      </c>
      <c r="W33" s="116">
        <v>877.85599999999999</v>
      </c>
      <c r="X33" s="116">
        <v>-3314.1880000000001</v>
      </c>
      <c r="Y33" s="118">
        <f t="shared" si="45"/>
        <v>0</v>
      </c>
      <c r="Z33" s="118">
        <f t="shared" si="46"/>
        <v>-7.0000000000618456</v>
      </c>
      <c r="AA33" s="118">
        <f t="shared" si="47"/>
        <v>7.0000000000618456</v>
      </c>
      <c r="AB33" s="129">
        <v>877.85799999999995</v>
      </c>
      <c r="AC33" s="129">
        <v>-3314.19</v>
      </c>
      <c r="AD33" s="118">
        <f t="shared" si="9"/>
        <v>1.9999999999527063</v>
      </c>
      <c r="AE33" s="118">
        <f t="shared" si="10"/>
        <v>-9.0000000000145519</v>
      </c>
      <c r="AF33" s="118">
        <f t="shared" si="11"/>
        <v>9.2195444572968341</v>
      </c>
      <c r="AG33" s="116">
        <v>877.85799999999995</v>
      </c>
      <c r="AH33" s="116">
        <v>-3314.1910000000003</v>
      </c>
      <c r="AI33" s="118">
        <f t="shared" si="12"/>
        <v>1.9999999999527063</v>
      </c>
      <c r="AJ33" s="118">
        <f t="shared" si="13"/>
        <v>-10.000000000218279</v>
      </c>
      <c r="AK33" s="118">
        <f t="shared" si="14"/>
        <v>10.198039027390335</v>
      </c>
      <c r="AL33" s="116">
        <v>877.85899999999992</v>
      </c>
      <c r="AM33" s="116">
        <v>-3314.1870000000004</v>
      </c>
      <c r="AN33" s="118">
        <f t="shared" si="15"/>
        <v>2.9999999999290594</v>
      </c>
      <c r="AO33" s="118">
        <f t="shared" si="16"/>
        <v>-6.0000000003128662</v>
      </c>
      <c r="AP33" s="118">
        <f t="shared" si="17"/>
        <v>6.7082039327474794</v>
      </c>
      <c r="AQ33" s="116">
        <v>877.8599999999999</v>
      </c>
      <c r="AR33" s="116">
        <v>-3314.1850000000004</v>
      </c>
      <c r="AS33" s="118">
        <f t="shared" si="18"/>
        <v>3.9999999999054126</v>
      </c>
      <c r="AT33" s="118">
        <f t="shared" si="19"/>
        <v>-4.0000000003601599</v>
      </c>
      <c r="AU33" s="118">
        <f t="shared" si="20"/>
        <v>5.6568542496801681</v>
      </c>
      <c r="AV33" s="116">
        <v>877.85399999999993</v>
      </c>
      <c r="AW33" s="116">
        <v>-3314.1830000000004</v>
      </c>
      <c r="AX33" s="125">
        <f t="shared" si="21"/>
        <v>-2.0000000000663931</v>
      </c>
      <c r="AY33" s="118">
        <f t="shared" si="22"/>
        <v>-2.0000000004074536</v>
      </c>
      <c r="AZ33" s="118">
        <f t="shared" si="23"/>
        <v>2.8284271250812503</v>
      </c>
      <c r="BA33" s="116">
        <v>877.85299999999995</v>
      </c>
      <c r="BB33" s="116">
        <v>-3314.1840000000007</v>
      </c>
      <c r="BC33" s="118">
        <f t="shared" si="24"/>
        <v>-3.0000000000427463</v>
      </c>
      <c r="BD33" s="118">
        <f t="shared" si="25"/>
        <v>-3.0000000006111804</v>
      </c>
      <c r="BE33" s="118">
        <f t="shared" si="26"/>
        <v>4.2426406875816811</v>
      </c>
      <c r="BF33" s="127">
        <v>877.85199999999998</v>
      </c>
      <c r="BG33" s="127">
        <v>-3314.1840000000007</v>
      </c>
      <c r="BH33" s="118">
        <f t="shared" si="48"/>
        <v>-4.0000000000190994</v>
      </c>
      <c r="BI33" s="118">
        <f t="shared" si="49"/>
        <v>-3.0000000006111804</v>
      </c>
      <c r="BJ33" s="118">
        <f t="shared" si="50"/>
        <v>5.0000000003819878</v>
      </c>
      <c r="BK33" s="127">
        <v>877.85299999999995</v>
      </c>
      <c r="BL33" s="127">
        <v>-3314.1800000000007</v>
      </c>
      <c r="BM33" s="118">
        <f t="shared" si="51"/>
        <v>-3.0000000000427463</v>
      </c>
      <c r="BN33" s="118">
        <f t="shared" si="52"/>
        <v>0.99999999929423211</v>
      </c>
      <c r="BO33" s="118">
        <f t="shared" si="53"/>
        <v>3.1622776599857487</v>
      </c>
      <c r="BP33" s="127">
        <v>877.851</v>
      </c>
      <c r="BQ33" s="127">
        <v>-3314.1820000000007</v>
      </c>
      <c r="BR33" s="118">
        <f t="shared" si="33"/>
        <v>-4.9999999999954525</v>
      </c>
      <c r="BS33" s="118">
        <f t="shared" si="34"/>
        <v>-1.0000000006584742</v>
      </c>
      <c r="BT33" s="118">
        <f t="shared" si="35"/>
        <v>5.0990195137174634</v>
      </c>
      <c r="BU33" s="127">
        <v>877.851</v>
      </c>
      <c r="BV33" s="127">
        <v>-3314.1810000000005</v>
      </c>
      <c r="BW33" s="118">
        <f t="shared" si="36"/>
        <v>-4.9999999999954525</v>
      </c>
      <c r="BX33" s="118">
        <f t="shared" si="37"/>
        <v>-4.5474735088646412E-10</v>
      </c>
      <c r="BY33" s="118">
        <f t="shared" si="38"/>
        <v>4.9999999999954525</v>
      </c>
      <c r="BZ33" s="115">
        <f t="shared" si="54"/>
        <v>24</v>
      </c>
      <c r="CA33"/>
      <c r="CB33"/>
    </row>
    <row r="34" spans="2:80" s="111" customFormat="1" ht="15.95" customHeight="1" x14ac:dyDescent="0.25">
      <c r="B34" s="115">
        <v>25</v>
      </c>
      <c r="C34" s="186" t="s">
        <v>79</v>
      </c>
      <c r="D34" s="187"/>
      <c r="E34" s="117" t="s">
        <v>80</v>
      </c>
      <c r="F34" s="117" t="s">
        <v>80</v>
      </c>
      <c r="G34" s="117" t="s">
        <v>80</v>
      </c>
      <c r="H34" s="186" t="s">
        <v>79</v>
      </c>
      <c r="I34" s="187"/>
      <c r="J34" s="117" t="s">
        <v>80</v>
      </c>
      <c r="K34" s="117" t="s">
        <v>80</v>
      </c>
      <c r="L34" s="117" t="s">
        <v>80</v>
      </c>
      <c r="M34" s="116">
        <v>884.85599999999999</v>
      </c>
      <c r="N34" s="116">
        <v>-3313.9259999999999</v>
      </c>
      <c r="O34" s="117">
        <v>0</v>
      </c>
      <c r="P34" s="117">
        <v>0</v>
      </c>
      <c r="Q34" s="118">
        <v>0</v>
      </c>
      <c r="R34" s="116">
        <v>884.85699999999997</v>
      </c>
      <c r="S34" s="116">
        <v>-3313.9340000000002</v>
      </c>
      <c r="T34" s="118">
        <f t="shared" si="42"/>
        <v>0.99999999997635314</v>
      </c>
      <c r="U34" s="118">
        <f t="shared" si="43"/>
        <v>-8.0000000002655725</v>
      </c>
      <c r="V34" s="118">
        <f t="shared" si="44"/>
        <v>8.0622577485591389</v>
      </c>
      <c r="W34" s="116">
        <v>884.85699999999997</v>
      </c>
      <c r="X34" s="116">
        <v>-3313.9360000000001</v>
      </c>
      <c r="Y34" s="118">
        <f t="shared" si="45"/>
        <v>0.99999999997635314</v>
      </c>
      <c r="Z34" s="118">
        <f t="shared" si="46"/>
        <v>-10.000000000218279</v>
      </c>
      <c r="AA34" s="118">
        <f t="shared" si="47"/>
        <v>10.049875621335733</v>
      </c>
      <c r="AB34" s="129">
        <v>884.85500000000002</v>
      </c>
      <c r="AC34" s="129">
        <v>-3313.9349999999999</v>
      </c>
      <c r="AD34" s="118">
        <f t="shared" si="9"/>
        <v>-0.99999999997635314</v>
      </c>
      <c r="AE34" s="118">
        <f t="shared" si="10"/>
        <v>-9.0000000000145519</v>
      </c>
      <c r="AF34" s="118">
        <f t="shared" si="11"/>
        <v>9.0553851381492674</v>
      </c>
      <c r="AG34" s="116">
        <v>884.85500000000002</v>
      </c>
      <c r="AH34" s="116">
        <v>-3313.9370000000004</v>
      </c>
      <c r="AI34" s="118">
        <f t="shared" si="12"/>
        <v>-0.99999999997635314</v>
      </c>
      <c r="AJ34" s="118">
        <f t="shared" si="13"/>
        <v>-11.000000000422006</v>
      </c>
      <c r="AK34" s="118">
        <f t="shared" si="14"/>
        <v>11.045361017605392</v>
      </c>
      <c r="AL34" s="116">
        <v>884.85500000000002</v>
      </c>
      <c r="AM34" s="116">
        <v>-3313.9350000000004</v>
      </c>
      <c r="AN34" s="118">
        <f t="shared" si="15"/>
        <v>-0.99999999997635314</v>
      </c>
      <c r="AO34" s="118">
        <f t="shared" si="16"/>
        <v>-9.0000000004692993</v>
      </c>
      <c r="AP34" s="118">
        <f t="shared" si="17"/>
        <v>9.0553851386012347</v>
      </c>
      <c r="AQ34" s="116">
        <v>884.85800000000006</v>
      </c>
      <c r="AR34" s="116">
        <v>-3313.9310000000005</v>
      </c>
      <c r="AS34" s="118">
        <f t="shared" si="18"/>
        <v>2.0000000000663931</v>
      </c>
      <c r="AT34" s="118">
        <f t="shared" si="19"/>
        <v>-5.0000000005638867</v>
      </c>
      <c r="AU34" s="118">
        <f t="shared" si="20"/>
        <v>5.3851648076827177</v>
      </c>
      <c r="AV34" s="116">
        <v>884.85500000000002</v>
      </c>
      <c r="AW34" s="116">
        <v>-3313.9300000000003</v>
      </c>
      <c r="AX34" s="125">
        <f t="shared" si="21"/>
        <v>-0.99999999997635314</v>
      </c>
      <c r="AY34" s="118">
        <f t="shared" si="22"/>
        <v>-4.0000000003601599</v>
      </c>
      <c r="AZ34" s="118">
        <f t="shared" si="23"/>
        <v>4.1231056259613315</v>
      </c>
      <c r="BA34" s="116">
        <v>884.85599999999999</v>
      </c>
      <c r="BB34" s="116">
        <v>-3313.9260000000004</v>
      </c>
      <c r="BC34" s="118">
        <f t="shared" si="24"/>
        <v>0</v>
      </c>
      <c r="BD34" s="118">
        <f t="shared" si="25"/>
        <v>-4.5474735088646412E-10</v>
      </c>
      <c r="BE34" s="118">
        <f t="shared" si="26"/>
        <v>4.5474735088646412E-10</v>
      </c>
      <c r="BF34" s="127">
        <v>884.85699999999997</v>
      </c>
      <c r="BG34" s="127">
        <v>-3313.9230000000002</v>
      </c>
      <c r="BH34" s="118">
        <f t="shared" si="48"/>
        <v>0.99999999997635314</v>
      </c>
      <c r="BI34" s="118">
        <f t="shared" si="49"/>
        <v>2.9999999997016857</v>
      </c>
      <c r="BJ34" s="118">
        <f t="shared" si="50"/>
        <v>3.1622776598778959</v>
      </c>
      <c r="BK34" s="127">
        <v>884.85399999999993</v>
      </c>
      <c r="BL34" s="127">
        <v>-3313.9210000000003</v>
      </c>
      <c r="BM34" s="118">
        <f t="shared" si="51"/>
        <v>-2.0000000000663931</v>
      </c>
      <c r="BN34" s="118">
        <f t="shared" si="52"/>
        <v>4.999999999654392</v>
      </c>
      <c r="BO34" s="118">
        <f t="shared" si="53"/>
        <v>5.3851648068382731</v>
      </c>
      <c r="BP34" s="127">
        <v>884.8549999999999</v>
      </c>
      <c r="BQ34" s="127">
        <v>-3313.9230000000002</v>
      </c>
      <c r="BR34" s="118">
        <f t="shared" si="33"/>
        <v>-1.00000000009004</v>
      </c>
      <c r="BS34" s="118">
        <f t="shared" si="34"/>
        <v>2.9999999997016857</v>
      </c>
      <c r="BT34" s="118">
        <f t="shared" si="35"/>
        <v>3.1622776599138467</v>
      </c>
      <c r="BU34" s="127">
        <v>884.85699999999986</v>
      </c>
      <c r="BV34" s="127">
        <v>-3313.9230000000002</v>
      </c>
      <c r="BW34" s="118">
        <f t="shared" si="36"/>
        <v>0.9999999998626663</v>
      </c>
      <c r="BX34" s="118">
        <f t="shared" si="37"/>
        <v>2.9999999997016857</v>
      </c>
      <c r="BY34" s="118">
        <f t="shared" si="38"/>
        <v>3.1622776598419446</v>
      </c>
      <c r="BZ34" s="115">
        <f t="shared" si="54"/>
        <v>25</v>
      </c>
      <c r="CA34"/>
      <c r="CB34"/>
    </row>
    <row r="35" spans="2:80" s="111" customFormat="1" ht="15.95" customHeight="1" x14ac:dyDescent="0.25">
      <c r="B35" s="115">
        <v>26</v>
      </c>
      <c r="C35" s="186" t="s">
        <v>79</v>
      </c>
      <c r="D35" s="187"/>
      <c r="E35" s="117" t="s">
        <v>80</v>
      </c>
      <c r="F35" s="117" t="s">
        <v>80</v>
      </c>
      <c r="G35" s="117" t="s">
        <v>80</v>
      </c>
      <c r="H35" s="186" t="s">
        <v>79</v>
      </c>
      <c r="I35" s="187"/>
      <c r="J35" s="117" t="s">
        <v>80</v>
      </c>
      <c r="K35" s="117" t="s">
        <v>80</v>
      </c>
      <c r="L35" s="117" t="s">
        <v>80</v>
      </c>
      <c r="M35" s="116">
        <v>891.83299999999997</v>
      </c>
      <c r="N35" s="116">
        <v>-3313.6</v>
      </c>
      <c r="O35" s="117">
        <v>0</v>
      </c>
      <c r="P35" s="117">
        <v>0</v>
      </c>
      <c r="Q35" s="118">
        <v>0</v>
      </c>
      <c r="R35" s="116">
        <v>891.83500000000004</v>
      </c>
      <c r="S35" s="116">
        <v>-3313.6109999999999</v>
      </c>
      <c r="T35" s="118">
        <f t="shared" si="42"/>
        <v>2.0000000000663931</v>
      </c>
      <c r="U35" s="118">
        <f t="shared" si="43"/>
        <v>-10.999999999967258</v>
      </c>
      <c r="V35" s="118">
        <f t="shared" si="44"/>
        <v>11.180339887478612</v>
      </c>
      <c r="W35" s="116">
        <v>891.83</v>
      </c>
      <c r="X35" s="116">
        <v>-3313.6010000000001</v>
      </c>
      <c r="Y35" s="118">
        <f t="shared" si="45"/>
        <v>-2.9999999999290594</v>
      </c>
      <c r="Z35" s="118">
        <f t="shared" si="46"/>
        <v>-1.0000000002037268</v>
      </c>
      <c r="AA35" s="118">
        <f t="shared" si="47"/>
        <v>3.1622776601655032</v>
      </c>
      <c r="AB35" s="129">
        <v>891.83500000000004</v>
      </c>
      <c r="AC35" s="129">
        <v>-3313.6030000000001</v>
      </c>
      <c r="AD35" s="118">
        <f t="shared" si="9"/>
        <v>2.0000000000663931</v>
      </c>
      <c r="AE35" s="118">
        <f t="shared" si="10"/>
        <v>-3.0000000001564331</v>
      </c>
      <c r="AF35" s="118">
        <f t="shared" si="11"/>
        <v>3.6055512756309778</v>
      </c>
      <c r="AG35" s="116">
        <v>891.83100000000002</v>
      </c>
      <c r="AH35" s="116">
        <v>-3313.598</v>
      </c>
      <c r="AI35" s="118">
        <f t="shared" si="12"/>
        <v>-1.9999999999527063</v>
      </c>
      <c r="AJ35" s="118">
        <f t="shared" si="13"/>
        <v>1.9999999999527063</v>
      </c>
      <c r="AK35" s="118">
        <f t="shared" si="14"/>
        <v>2.8284271246793065</v>
      </c>
      <c r="AL35" s="116">
        <v>891.827</v>
      </c>
      <c r="AM35" s="116">
        <v>-3313.6010000000001</v>
      </c>
      <c r="AN35" s="118">
        <f t="shared" si="15"/>
        <v>-5.9999999999718057</v>
      </c>
      <c r="AO35" s="118">
        <f t="shared" si="16"/>
        <v>-1.0000000002037268</v>
      </c>
      <c r="AP35" s="118">
        <f t="shared" si="17"/>
        <v>6.082762530303901</v>
      </c>
      <c r="AQ35" s="116">
        <v>891.82</v>
      </c>
      <c r="AR35" s="116">
        <v>-3313.605</v>
      </c>
      <c r="AS35" s="118">
        <f t="shared" si="18"/>
        <v>-12.999999999919964</v>
      </c>
      <c r="AT35" s="118">
        <f t="shared" si="19"/>
        <v>-5.0000000001091394</v>
      </c>
      <c r="AU35" s="118">
        <f t="shared" si="20"/>
        <v>13.928388277148597</v>
      </c>
      <c r="AV35" s="116">
        <v>891.8180000000001</v>
      </c>
      <c r="AW35" s="116">
        <v>-3313.6039999999998</v>
      </c>
      <c r="AX35" s="125">
        <f t="shared" si="21"/>
        <v>-14.999999999872671</v>
      </c>
      <c r="AY35" s="118">
        <f t="shared" si="22"/>
        <v>-3.9999999999054126</v>
      </c>
      <c r="AZ35" s="118">
        <f t="shared" si="23"/>
        <v>15.524174696112622</v>
      </c>
      <c r="BA35" s="116">
        <v>891.81900000000007</v>
      </c>
      <c r="BB35" s="116">
        <v>-3313.6059999999998</v>
      </c>
      <c r="BC35" s="118">
        <f t="shared" si="24"/>
        <v>-13.999999999896318</v>
      </c>
      <c r="BD35" s="118">
        <f t="shared" si="25"/>
        <v>-5.9999999998581188</v>
      </c>
      <c r="BE35" s="118">
        <f t="shared" si="26"/>
        <v>15.231546211576628</v>
      </c>
      <c r="BF35" s="127">
        <v>891.81600000000003</v>
      </c>
      <c r="BG35" s="127">
        <v>-3313.6039999999998</v>
      </c>
      <c r="BH35" s="118">
        <f t="shared" si="48"/>
        <v>-16.999999999939064</v>
      </c>
      <c r="BI35" s="118">
        <f t="shared" si="49"/>
        <v>-3.9999999999054126</v>
      </c>
      <c r="BJ35" s="118">
        <f t="shared" si="50"/>
        <v>17.464249196491998</v>
      </c>
      <c r="BK35" s="127">
        <v>891.81299999999999</v>
      </c>
      <c r="BL35" s="127">
        <v>-3313.6039999999998</v>
      </c>
      <c r="BM35" s="118">
        <f t="shared" si="51"/>
        <v>-19.99999999998181</v>
      </c>
      <c r="BN35" s="118">
        <f t="shared" si="52"/>
        <v>-3.9999999999054126</v>
      </c>
      <c r="BO35" s="118">
        <f t="shared" si="53"/>
        <v>20.396078054334751</v>
      </c>
      <c r="BP35" s="127">
        <v>891.81100000000004</v>
      </c>
      <c r="BQ35" s="127">
        <v>-3313.6059999999998</v>
      </c>
      <c r="BR35" s="118">
        <f t="shared" si="33"/>
        <v>-21.999999999934516</v>
      </c>
      <c r="BS35" s="118">
        <f t="shared" si="34"/>
        <v>-5.9999999998581188</v>
      </c>
      <c r="BT35" s="118">
        <f t="shared" si="35"/>
        <v>22.803508501882252</v>
      </c>
      <c r="BU35" s="127">
        <v>891.81000000000006</v>
      </c>
      <c r="BV35" s="127">
        <v>-3313.6059999999998</v>
      </c>
      <c r="BW35" s="118">
        <f t="shared" si="36"/>
        <v>-22.99999999991087</v>
      </c>
      <c r="BX35" s="118">
        <f t="shared" si="37"/>
        <v>-5.9999999998581188</v>
      </c>
      <c r="BY35" s="118">
        <f t="shared" si="38"/>
        <v>23.769728647887369</v>
      </c>
      <c r="BZ35" s="115">
        <f t="shared" si="54"/>
        <v>26</v>
      </c>
      <c r="CA35"/>
      <c r="CB35"/>
    </row>
    <row r="36" spans="2:80" ht="15.95" customHeight="1" x14ac:dyDescent="0.25">
      <c r="B36" s="115">
        <v>27</v>
      </c>
      <c r="C36" s="186" t="s">
        <v>79</v>
      </c>
      <c r="D36" s="187"/>
      <c r="E36" s="117" t="s">
        <v>80</v>
      </c>
      <c r="F36" s="117" t="s">
        <v>80</v>
      </c>
      <c r="G36" s="117" t="s">
        <v>80</v>
      </c>
      <c r="H36" s="186" t="s">
        <v>79</v>
      </c>
      <c r="I36" s="187"/>
      <c r="J36" s="117" t="s">
        <v>80</v>
      </c>
      <c r="K36" s="117" t="s">
        <v>80</v>
      </c>
      <c r="L36" s="117" t="s">
        <v>80</v>
      </c>
      <c r="M36" s="116">
        <v>895.45100000000002</v>
      </c>
      <c r="N36" s="116">
        <v>-3310.5259999999998</v>
      </c>
      <c r="O36" s="117">
        <v>0</v>
      </c>
      <c r="P36" s="117">
        <v>0</v>
      </c>
      <c r="Q36" s="118">
        <v>0</v>
      </c>
      <c r="R36" s="116">
        <v>895.447</v>
      </c>
      <c r="S36" s="116">
        <v>-3310.53</v>
      </c>
      <c r="T36" s="118">
        <f t="shared" si="42"/>
        <v>-4.0000000000190994</v>
      </c>
      <c r="U36" s="118">
        <f t="shared" si="43"/>
        <v>-4.0000000003601599</v>
      </c>
      <c r="V36" s="118">
        <f t="shared" si="44"/>
        <v>5.6568542497605572</v>
      </c>
      <c r="W36" s="116">
        <v>895.45100000000002</v>
      </c>
      <c r="X36" s="116">
        <v>-3310.5250000000001</v>
      </c>
      <c r="Y36" s="118">
        <f t="shared" si="45"/>
        <v>0</v>
      </c>
      <c r="Z36" s="118">
        <f t="shared" si="46"/>
        <v>0.99999999974897946</v>
      </c>
      <c r="AA36" s="118">
        <f t="shared" si="47"/>
        <v>0.99999999974897946</v>
      </c>
      <c r="AB36" s="129">
        <v>895.44900000000007</v>
      </c>
      <c r="AC36" s="129">
        <v>-3310.5190000000002</v>
      </c>
      <c r="AD36" s="118">
        <f t="shared" si="9"/>
        <v>-1.9999999999527063</v>
      </c>
      <c r="AE36" s="118">
        <f t="shared" si="10"/>
        <v>6.9999999996070983</v>
      </c>
      <c r="AF36" s="118">
        <f t="shared" si="11"/>
        <v>7.2801098888897409</v>
      </c>
      <c r="AG36" s="116">
        <v>895.45600000000002</v>
      </c>
      <c r="AH36" s="116">
        <v>-3310.5210000000002</v>
      </c>
      <c r="AI36" s="118">
        <f t="shared" si="12"/>
        <v>4.9999999999954525</v>
      </c>
      <c r="AJ36" s="118">
        <f t="shared" si="13"/>
        <v>4.999999999654392</v>
      </c>
      <c r="AK36" s="118">
        <f t="shared" si="14"/>
        <v>7.071067811617878</v>
      </c>
      <c r="AL36" s="116">
        <v>895.45799999999997</v>
      </c>
      <c r="AM36" s="116">
        <v>-3310.5190000000002</v>
      </c>
      <c r="AN36" s="118">
        <f t="shared" si="15"/>
        <v>6.9999999999481588</v>
      </c>
      <c r="AO36" s="118">
        <f t="shared" si="16"/>
        <v>6.9999999996070983</v>
      </c>
      <c r="AP36" s="118">
        <f t="shared" si="17"/>
        <v>9.8994949362971845</v>
      </c>
      <c r="AQ36" s="116">
        <v>895.45799999999997</v>
      </c>
      <c r="AR36" s="116">
        <v>-3310.5170000000003</v>
      </c>
      <c r="AS36" s="118">
        <f t="shared" si="18"/>
        <v>6.9999999999481588</v>
      </c>
      <c r="AT36" s="118">
        <f t="shared" si="19"/>
        <v>8.9999999995598046</v>
      </c>
      <c r="AU36" s="118">
        <f t="shared" si="20"/>
        <v>11.401754250612083</v>
      </c>
      <c r="AV36" s="116">
        <v>895.45600000000002</v>
      </c>
      <c r="AW36" s="116">
        <v>-3310.5140000000001</v>
      </c>
      <c r="AX36" s="125">
        <f t="shared" si="21"/>
        <v>4.9999999999954525</v>
      </c>
      <c r="AY36" s="118">
        <f t="shared" si="22"/>
        <v>11.999999999716238</v>
      </c>
      <c r="AZ36" s="118">
        <f t="shared" si="23"/>
        <v>12.999999999736316</v>
      </c>
      <c r="BA36" s="116">
        <v>895.45799999999997</v>
      </c>
      <c r="BB36" s="116">
        <v>-3310.5120000000002</v>
      </c>
      <c r="BC36" s="118">
        <f t="shared" si="24"/>
        <v>6.9999999999481588</v>
      </c>
      <c r="BD36" s="118">
        <f t="shared" si="25"/>
        <v>13.999999999668944</v>
      </c>
      <c r="BE36" s="118">
        <f t="shared" si="26"/>
        <v>15.652475842179237</v>
      </c>
      <c r="BF36" s="127">
        <v>895.45799999999997</v>
      </c>
      <c r="BG36" s="127">
        <v>-3310.511</v>
      </c>
      <c r="BH36" s="118">
        <f t="shared" si="48"/>
        <v>6.9999999999481588</v>
      </c>
      <c r="BI36" s="118">
        <f t="shared" si="49"/>
        <v>14.999999999872671</v>
      </c>
      <c r="BJ36" s="118">
        <f t="shared" si="50"/>
        <v>16.552945357109543</v>
      </c>
      <c r="BK36" s="127">
        <v>895.46199999999999</v>
      </c>
      <c r="BL36" s="127">
        <v>-3310.511</v>
      </c>
      <c r="BM36" s="118">
        <f t="shared" si="51"/>
        <v>10.999999999967258</v>
      </c>
      <c r="BN36" s="118">
        <f t="shared" si="52"/>
        <v>14.999999999872671</v>
      </c>
      <c r="BO36" s="118">
        <f t="shared" si="53"/>
        <v>18.601075237616232</v>
      </c>
      <c r="BP36" s="127">
        <v>895.46</v>
      </c>
      <c r="BQ36" s="127">
        <v>-3310.509</v>
      </c>
      <c r="BR36" s="118">
        <f t="shared" si="33"/>
        <v>9.0000000000145519</v>
      </c>
      <c r="BS36" s="118">
        <f t="shared" si="34"/>
        <v>16.999999999825377</v>
      </c>
      <c r="BT36" s="118">
        <f t="shared" si="35"/>
        <v>19.235384061523824</v>
      </c>
      <c r="BU36" s="127">
        <v>895.46199999999999</v>
      </c>
      <c r="BV36" s="127">
        <v>-3310.511</v>
      </c>
      <c r="BW36" s="118">
        <f t="shared" si="36"/>
        <v>10.999999999967258</v>
      </c>
      <c r="BX36" s="118">
        <f t="shared" si="37"/>
        <v>14.999999999872671</v>
      </c>
      <c r="BY36" s="118">
        <f t="shared" si="38"/>
        <v>18.601075237616232</v>
      </c>
      <c r="BZ36" s="115">
        <f t="shared" si="54"/>
        <v>27</v>
      </c>
    </row>
    <row r="37" spans="2:80" ht="15.95" customHeight="1" x14ac:dyDescent="0.25">
      <c r="B37" s="115">
        <v>28</v>
      </c>
      <c r="C37" s="186" t="s">
        <v>79</v>
      </c>
      <c r="D37" s="187"/>
      <c r="E37" s="117" t="s">
        <v>80</v>
      </c>
      <c r="F37" s="117" t="s">
        <v>80</v>
      </c>
      <c r="G37" s="117" t="s">
        <v>80</v>
      </c>
      <c r="H37" s="186" t="s">
        <v>79</v>
      </c>
      <c r="I37" s="187"/>
      <c r="J37" s="117" t="s">
        <v>80</v>
      </c>
      <c r="K37" s="117" t="s">
        <v>80</v>
      </c>
      <c r="L37" s="117" t="s">
        <v>80</v>
      </c>
      <c r="M37" s="116">
        <v>901.048</v>
      </c>
      <c r="N37" s="116">
        <v>-3310.279</v>
      </c>
      <c r="O37" s="117">
        <v>0</v>
      </c>
      <c r="P37" s="117">
        <v>0</v>
      </c>
      <c r="Q37" s="118">
        <v>0</v>
      </c>
      <c r="R37" s="116">
        <v>901.04100000000005</v>
      </c>
      <c r="S37" s="116">
        <v>-3310.2820000000002</v>
      </c>
      <c r="T37" s="118">
        <f t="shared" si="42"/>
        <v>-6.9999999999481588</v>
      </c>
      <c r="U37" s="118">
        <f t="shared" si="43"/>
        <v>-3.0000000001564331</v>
      </c>
      <c r="V37" s="118">
        <f t="shared" si="44"/>
        <v>7.6157731058778806</v>
      </c>
      <c r="W37" s="116">
        <v>901.05</v>
      </c>
      <c r="X37" s="116">
        <v>-3310.2820000000002</v>
      </c>
      <c r="Y37" s="118">
        <f t="shared" si="45"/>
        <v>1.9999999999527063</v>
      </c>
      <c r="Z37" s="118">
        <f t="shared" si="46"/>
        <v>-3.0000000001564331</v>
      </c>
      <c r="AA37" s="118">
        <f t="shared" si="47"/>
        <v>3.6055512755679158</v>
      </c>
      <c r="AB37" s="129">
        <v>901.04499999999996</v>
      </c>
      <c r="AC37" s="129">
        <v>-3310.2820000000002</v>
      </c>
      <c r="AD37" s="118">
        <f t="shared" si="9"/>
        <v>-3.0000000000427463</v>
      </c>
      <c r="AE37" s="118">
        <f t="shared" si="10"/>
        <v>-3.0000000001564331</v>
      </c>
      <c r="AF37" s="118">
        <f t="shared" si="11"/>
        <v>4.2426406872601259</v>
      </c>
      <c r="AG37" s="116">
        <v>901.05099999999993</v>
      </c>
      <c r="AH37" s="116">
        <v>-3310.2809999999999</v>
      </c>
      <c r="AI37" s="118">
        <f t="shared" si="12"/>
        <v>2.9999999999290594</v>
      </c>
      <c r="AJ37" s="118">
        <f t="shared" si="13"/>
        <v>-1.9999999999527063</v>
      </c>
      <c r="AK37" s="118">
        <f t="shared" si="14"/>
        <v>3.6055512753787293</v>
      </c>
      <c r="AL37" s="116">
        <v>901.05299999999988</v>
      </c>
      <c r="AM37" s="116">
        <v>-3310.277</v>
      </c>
      <c r="AN37" s="118">
        <f t="shared" si="15"/>
        <v>4.9999999998817657</v>
      </c>
      <c r="AO37" s="118">
        <f t="shared" si="16"/>
        <v>1.9999999999527063</v>
      </c>
      <c r="AP37" s="118">
        <f t="shared" si="17"/>
        <v>5.385164807007162</v>
      </c>
      <c r="AQ37" s="116">
        <v>901.0569999999999</v>
      </c>
      <c r="AR37" s="116">
        <v>-3310.2780000000002</v>
      </c>
      <c r="AS37" s="118">
        <f t="shared" si="18"/>
        <v>8.9999999999008651</v>
      </c>
      <c r="AT37" s="118">
        <f t="shared" si="19"/>
        <v>0.99999999974897946</v>
      </c>
      <c r="AU37" s="118">
        <f t="shared" si="20"/>
        <v>9.0553851380111681</v>
      </c>
      <c r="AV37" s="116">
        <v>901.05099999999993</v>
      </c>
      <c r="AW37" s="116">
        <v>-3310.2760000000003</v>
      </c>
      <c r="AX37" s="125">
        <f t="shared" si="21"/>
        <v>2.9999999999290594</v>
      </c>
      <c r="AY37" s="118">
        <f t="shared" si="22"/>
        <v>2.9999999997016857</v>
      </c>
      <c r="AZ37" s="118">
        <f t="shared" si="23"/>
        <v>4.2426406868581825</v>
      </c>
      <c r="BA37" s="116">
        <v>901.05499999999995</v>
      </c>
      <c r="BB37" s="116">
        <v>-3310.2740000000003</v>
      </c>
      <c r="BC37" s="118">
        <f t="shared" si="24"/>
        <v>6.9999999999481588</v>
      </c>
      <c r="BD37" s="118">
        <f t="shared" si="25"/>
        <v>4.999999999654392</v>
      </c>
      <c r="BE37" s="118">
        <f t="shared" si="26"/>
        <v>8.6023252667995607</v>
      </c>
      <c r="BF37" s="127">
        <v>901.05899999999997</v>
      </c>
      <c r="BG37" s="127">
        <v>-3310.2770000000005</v>
      </c>
      <c r="BH37" s="118">
        <f t="shared" si="48"/>
        <v>10.999999999967258</v>
      </c>
      <c r="BI37" s="118">
        <f t="shared" si="49"/>
        <v>1.9999999994979589</v>
      </c>
      <c r="BJ37" s="118">
        <f t="shared" si="50"/>
        <v>11.180339887376928</v>
      </c>
      <c r="BK37" s="127">
        <v>901.06200000000001</v>
      </c>
      <c r="BL37" s="127">
        <v>-3310.2780000000007</v>
      </c>
      <c r="BM37" s="118">
        <f t="shared" si="51"/>
        <v>14.000000000010004</v>
      </c>
      <c r="BN37" s="118">
        <f t="shared" si="52"/>
        <v>0.99999999929423211</v>
      </c>
      <c r="BO37" s="118">
        <f t="shared" si="53"/>
        <v>14.035668847577895</v>
      </c>
      <c r="BP37" s="127">
        <v>901.06100000000004</v>
      </c>
      <c r="BQ37" s="127">
        <v>-3310.2760000000007</v>
      </c>
      <c r="BR37" s="118">
        <f t="shared" si="33"/>
        <v>13.000000000033651</v>
      </c>
      <c r="BS37" s="118">
        <f t="shared" si="34"/>
        <v>2.9999999992469384</v>
      </c>
      <c r="BT37" s="118">
        <f t="shared" si="35"/>
        <v>13.341664063989791</v>
      </c>
      <c r="BU37" s="127">
        <v>901.05799999999999</v>
      </c>
      <c r="BV37" s="127">
        <v>-3310.2750000000005</v>
      </c>
      <c r="BW37" s="118">
        <f t="shared" si="36"/>
        <v>9.9999999999909051</v>
      </c>
      <c r="BX37" s="118">
        <f t="shared" si="37"/>
        <v>3.9999999994506652</v>
      </c>
      <c r="BY37" s="118">
        <f t="shared" si="38"/>
        <v>10.770329614056546</v>
      </c>
      <c r="BZ37" s="115">
        <f t="shared" si="54"/>
        <v>28</v>
      </c>
    </row>
    <row r="38" spans="2:80" ht="15.95" customHeight="1" x14ac:dyDescent="0.25">
      <c r="B38" s="115">
        <v>29</v>
      </c>
      <c r="C38" s="186" t="s">
        <v>79</v>
      </c>
      <c r="D38" s="187"/>
      <c r="E38" s="117" t="s">
        <v>80</v>
      </c>
      <c r="F38" s="117" t="s">
        <v>80</v>
      </c>
      <c r="G38" s="117" t="s">
        <v>80</v>
      </c>
      <c r="H38" s="186" t="s">
        <v>79</v>
      </c>
      <c r="I38" s="187"/>
      <c r="J38" s="117" t="s">
        <v>80</v>
      </c>
      <c r="K38" s="117" t="s">
        <v>80</v>
      </c>
      <c r="L38" s="117" t="s">
        <v>80</v>
      </c>
      <c r="M38" s="116">
        <v>906.23099999999999</v>
      </c>
      <c r="N38" s="116">
        <v>-3309.5039999999999</v>
      </c>
      <c r="O38" s="117">
        <v>0</v>
      </c>
      <c r="P38" s="117">
        <v>0</v>
      </c>
      <c r="Q38" s="118">
        <v>0</v>
      </c>
      <c r="R38" s="116">
        <v>906.22900000000004</v>
      </c>
      <c r="S38" s="116">
        <v>-3309.51</v>
      </c>
      <c r="T38" s="118">
        <f t="shared" si="42"/>
        <v>-1.9999999999527063</v>
      </c>
      <c r="U38" s="118">
        <f t="shared" si="43"/>
        <v>-6.0000000003128662</v>
      </c>
      <c r="V38" s="118">
        <f t="shared" si="44"/>
        <v>6.3245553206186136</v>
      </c>
      <c r="W38" s="116">
        <v>906.23299999999995</v>
      </c>
      <c r="X38" s="116">
        <v>-3309.5050000000001</v>
      </c>
      <c r="Y38" s="118">
        <f t="shared" si="45"/>
        <v>1.9999999999527063</v>
      </c>
      <c r="Z38" s="118">
        <f t="shared" si="46"/>
        <v>-1.0000000002037268</v>
      </c>
      <c r="AA38" s="118">
        <f t="shared" si="47"/>
        <v>2.2360679775485983</v>
      </c>
      <c r="AB38" s="129">
        <v>906.2349999999999</v>
      </c>
      <c r="AC38" s="129">
        <v>-3309.5060000000003</v>
      </c>
      <c r="AD38" s="118">
        <f t="shared" si="9"/>
        <v>3.9999999999054126</v>
      </c>
      <c r="AE38" s="118">
        <f t="shared" si="10"/>
        <v>-2.0000000004074536</v>
      </c>
      <c r="AF38" s="118">
        <f t="shared" si="11"/>
        <v>4.4721359550971966</v>
      </c>
      <c r="AG38" s="116">
        <v>906.23899999999992</v>
      </c>
      <c r="AH38" s="116">
        <v>-3309.5039999999999</v>
      </c>
      <c r="AI38" s="118">
        <f t="shared" si="12"/>
        <v>7.9999999999245119</v>
      </c>
      <c r="AJ38" s="118">
        <f t="shared" si="13"/>
        <v>0</v>
      </c>
      <c r="AK38" s="118">
        <f t="shared" si="14"/>
        <v>7.9999999999245119</v>
      </c>
      <c r="AL38" s="116">
        <v>906.24099999999987</v>
      </c>
      <c r="AM38" s="116">
        <v>-3309.502</v>
      </c>
      <c r="AN38" s="118">
        <f t="shared" si="15"/>
        <v>9.9999999998772182</v>
      </c>
      <c r="AO38" s="118">
        <f t="shared" si="16"/>
        <v>1.9999999999527063</v>
      </c>
      <c r="AP38" s="118">
        <f t="shared" si="17"/>
        <v>10.198039027055897</v>
      </c>
      <c r="AQ38" s="116">
        <v>906.23799999999994</v>
      </c>
      <c r="AR38" s="116">
        <v>-3309.4949999999999</v>
      </c>
      <c r="AS38" s="118">
        <f t="shared" si="18"/>
        <v>6.9999999999481588</v>
      </c>
      <c r="AT38" s="118">
        <f t="shared" si="19"/>
        <v>9.0000000000145519</v>
      </c>
      <c r="AU38" s="118">
        <f t="shared" si="20"/>
        <v>11.401754250971038</v>
      </c>
      <c r="AV38" s="116">
        <v>906.23299999999995</v>
      </c>
      <c r="AW38" s="116">
        <v>-3309.4939999999997</v>
      </c>
      <c r="AX38" s="125">
        <f t="shared" si="21"/>
        <v>1.9999999999527063</v>
      </c>
      <c r="AY38" s="118">
        <f t="shared" si="22"/>
        <v>10.000000000218279</v>
      </c>
      <c r="AZ38" s="118">
        <f t="shared" si="23"/>
        <v>10.198039027390335</v>
      </c>
      <c r="BA38" s="116">
        <v>906.2299999999999</v>
      </c>
      <c r="BB38" s="116">
        <v>-3309.4929999999995</v>
      </c>
      <c r="BC38" s="118">
        <f t="shared" si="24"/>
        <v>-1.00000000009004</v>
      </c>
      <c r="BD38" s="118">
        <f t="shared" si="25"/>
        <v>11.000000000422006</v>
      </c>
      <c r="BE38" s="118">
        <f t="shared" si="26"/>
        <v>11.045361017615685</v>
      </c>
      <c r="BF38" s="127">
        <v>906.2299999999999</v>
      </c>
      <c r="BG38" s="127">
        <v>-3309.4899999999993</v>
      </c>
      <c r="BH38" s="118">
        <f t="shared" si="48"/>
        <v>-1.00000000009004</v>
      </c>
      <c r="BI38" s="118">
        <f t="shared" si="49"/>
        <v>14.000000000578439</v>
      </c>
      <c r="BJ38" s="118">
        <f t="shared" si="50"/>
        <v>14.035668848201583</v>
      </c>
      <c r="BK38" s="127">
        <v>906.23199999999986</v>
      </c>
      <c r="BL38" s="127">
        <v>-3309.4919999999993</v>
      </c>
      <c r="BM38" s="118">
        <f t="shared" si="51"/>
        <v>0.9999999998626663</v>
      </c>
      <c r="BN38" s="118">
        <f t="shared" si="52"/>
        <v>12.000000000625732</v>
      </c>
      <c r="BO38" s="118">
        <f t="shared" si="53"/>
        <v>12.041594579404462</v>
      </c>
      <c r="BP38" s="127">
        <v>906.22899999999981</v>
      </c>
      <c r="BQ38" s="127">
        <v>-3309.4929999999995</v>
      </c>
      <c r="BR38" s="118">
        <f t="shared" si="33"/>
        <v>-2.00000000018008</v>
      </c>
      <c r="BS38" s="118">
        <f t="shared" si="34"/>
        <v>11.000000000422006</v>
      </c>
      <c r="BT38" s="118">
        <f t="shared" si="35"/>
        <v>11.18033988794636</v>
      </c>
      <c r="BU38" s="127">
        <v>906.22799999999984</v>
      </c>
      <c r="BV38" s="127">
        <v>-3309.4929999999995</v>
      </c>
      <c r="BW38" s="118">
        <f t="shared" si="36"/>
        <v>-3.0000000001564331</v>
      </c>
      <c r="BX38" s="118">
        <f t="shared" si="37"/>
        <v>11.000000000422006</v>
      </c>
      <c r="BY38" s="118">
        <f t="shared" si="38"/>
        <v>11.401754251439677</v>
      </c>
      <c r="BZ38" s="115">
        <f t="shared" si="54"/>
        <v>29</v>
      </c>
    </row>
    <row r="39" spans="2:80" ht="15.95" customHeight="1" x14ac:dyDescent="0.25">
      <c r="B39" s="115">
        <v>30</v>
      </c>
      <c r="C39" s="186" t="s">
        <v>79</v>
      </c>
      <c r="D39" s="187"/>
      <c r="E39" s="117" t="s">
        <v>80</v>
      </c>
      <c r="F39" s="117" t="s">
        <v>80</v>
      </c>
      <c r="G39" s="117" t="s">
        <v>80</v>
      </c>
      <c r="H39" s="186" t="s">
        <v>79</v>
      </c>
      <c r="I39" s="187"/>
      <c r="J39" s="117" t="s">
        <v>80</v>
      </c>
      <c r="K39" s="117" t="s">
        <v>80</v>
      </c>
      <c r="L39" s="117" t="s">
        <v>80</v>
      </c>
      <c r="M39" s="116">
        <v>909.92200000000003</v>
      </c>
      <c r="N39" s="116">
        <v>-3306.3910000000001</v>
      </c>
      <c r="O39" s="117">
        <v>0</v>
      </c>
      <c r="P39" s="117">
        <v>0</v>
      </c>
      <c r="Q39" s="118">
        <v>0</v>
      </c>
      <c r="R39" s="116">
        <v>909.92600000000004</v>
      </c>
      <c r="S39" s="116">
        <v>-3306.3910000000001</v>
      </c>
      <c r="T39" s="118">
        <f t="shared" si="42"/>
        <v>4.0000000000190994</v>
      </c>
      <c r="U39" s="118">
        <f t="shared" si="43"/>
        <v>0</v>
      </c>
      <c r="V39" s="118">
        <f t="shared" si="44"/>
        <v>4.0000000000190994</v>
      </c>
      <c r="W39" s="116">
        <v>909.91899999999998</v>
      </c>
      <c r="X39" s="116">
        <v>-3306.3870000000002</v>
      </c>
      <c r="Y39" s="118">
        <f t="shared" si="45"/>
        <v>-3.0000000000427463</v>
      </c>
      <c r="Z39" s="118">
        <f t="shared" si="46"/>
        <v>3.9999999999054126</v>
      </c>
      <c r="AA39" s="118">
        <f t="shared" si="47"/>
        <v>4.9999999999499778</v>
      </c>
      <c r="AB39" s="129">
        <v>909.92499999999995</v>
      </c>
      <c r="AC39" s="129">
        <v>-3306.3920000000003</v>
      </c>
      <c r="AD39" s="118">
        <f t="shared" si="9"/>
        <v>2.9999999999290594</v>
      </c>
      <c r="AE39" s="118">
        <f t="shared" si="10"/>
        <v>-1.0000000002037268</v>
      </c>
      <c r="AF39" s="118">
        <f t="shared" si="11"/>
        <v>3.1622776601655032</v>
      </c>
      <c r="AG39" s="116">
        <v>909.91800000000001</v>
      </c>
      <c r="AH39" s="116">
        <v>-3306.3890000000001</v>
      </c>
      <c r="AI39" s="118">
        <f t="shared" si="12"/>
        <v>-4.0000000000190994</v>
      </c>
      <c r="AJ39" s="118">
        <f t="shared" si="13"/>
        <v>1.9999999999527063</v>
      </c>
      <c r="AK39" s="118">
        <f t="shared" si="14"/>
        <v>4.4721359549955118</v>
      </c>
      <c r="AL39" s="116">
        <v>909.91399999999999</v>
      </c>
      <c r="AM39" s="116">
        <v>-3306.3910000000001</v>
      </c>
      <c r="AN39" s="118">
        <f t="shared" si="15"/>
        <v>-8.0000000000381988</v>
      </c>
      <c r="AO39" s="118">
        <f t="shared" si="16"/>
        <v>0</v>
      </c>
      <c r="AP39" s="118">
        <f t="shared" si="17"/>
        <v>8.0000000000381988</v>
      </c>
      <c r="AQ39" s="116">
        <v>909.91300000000001</v>
      </c>
      <c r="AR39" s="116">
        <v>-3306.3870000000002</v>
      </c>
      <c r="AS39" s="118">
        <f t="shared" si="18"/>
        <v>-9.0000000000145519</v>
      </c>
      <c r="AT39" s="118">
        <f t="shared" si="19"/>
        <v>3.9999999999054126</v>
      </c>
      <c r="AU39" s="118">
        <f t="shared" si="20"/>
        <v>9.8488578017709862</v>
      </c>
      <c r="AV39" s="116">
        <v>909.91200000000003</v>
      </c>
      <c r="AW39" s="116">
        <v>-3306.3900000000003</v>
      </c>
      <c r="AX39" s="125">
        <f t="shared" si="21"/>
        <v>-9.9999999999909051</v>
      </c>
      <c r="AY39" s="118">
        <f t="shared" si="22"/>
        <v>0.99999999974897946</v>
      </c>
      <c r="AZ39" s="118">
        <f t="shared" si="23"/>
        <v>10.049875621086864</v>
      </c>
      <c r="BA39" s="116">
        <v>909.91500000000008</v>
      </c>
      <c r="BB39" s="116">
        <v>-3306.3890000000001</v>
      </c>
      <c r="BC39" s="118">
        <f t="shared" si="24"/>
        <v>-6.9999999999481588</v>
      </c>
      <c r="BD39" s="118">
        <f t="shared" si="25"/>
        <v>1.9999999999527063</v>
      </c>
      <c r="BE39" s="118">
        <f t="shared" si="26"/>
        <v>7.2801098892176794</v>
      </c>
      <c r="BF39" s="127">
        <v>909.9190000000001</v>
      </c>
      <c r="BG39" s="127">
        <v>-3306.3879999999999</v>
      </c>
      <c r="BH39" s="118">
        <f t="shared" si="48"/>
        <v>-2.9999999999290594</v>
      </c>
      <c r="BI39" s="118">
        <f t="shared" si="49"/>
        <v>3.0000000001564331</v>
      </c>
      <c r="BJ39" s="118">
        <f t="shared" si="50"/>
        <v>4.2426406871797377</v>
      </c>
      <c r="BK39" s="127">
        <v>909.92100000000005</v>
      </c>
      <c r="BL39" s="127">
        <v>-3306.39</v>
      </c>
      <c r="BM39" s="118">
        <f t="shared" si="51"/>
        <v>-0.99999999997635314</v>
      </c>
      <c r="BN39" s="118">
        <f t="shared" si="52"/>
        <v>1.0000000002037268</v>
      </c>
      <c r="BO39" s="118">
        <f t="shared" si="53"/>
        <v>1.4142135625004308</v>
      </c>
      <c r="BP39" s="127">
        <v>909.92100000000005</v>
      </c>
      <c r="BQ39" s="127">
        <v>-3306.39</v>
      </c>
      <c r="BR39" s="118">
        <f t="shared" si="33"/>
        <v>-0.99999999997635314</v>
      </c>
      <c r="BS39" s="118">
        <f t="shared" si="34"/>
        <v>1.0000000002037268</v>
      </c>
      <c r="BT39" s="118">
        <f t="shared" si="35"/>
        <v>1.4142135625004308</v>
      </c>
      <c r="BU39" s="127">
        <v>909.92100000000005</v>
      </c>
      <c r="BV39" s="127">
        <v>-3306.3910000000001</v>
      </c>
      <c r="BW39" s="118">
        <f t="shared" si="36"/>
        <v>-0.99999999997635314</v>
      </c>
      <c r="BX39" s="118">
        <f t="shared" si="37"/>
        <v>0</v>
      </c>
      <c r="BY39" s="118">
        <f t="shared" si="38"/>
        <v>0.99999999997635314</v>
      </c>
      <c r="BZ39" s="115">
        <f t="shared" si="54"/>
        <v>30</v>
      </c>
    </row>
    <row r="40" spans="2:80" ht="15.95" customHeight="1" x14ac:dyDescent="0.25">
      <c r="B40" s="115">
        <v>31</v>
      </c>
      <c r="C40" s="186" t="s">
        <v>79</v>
      </c>
      <c r="D40" s="187"/>
      <c r="E40" s="117" t="s">
        <v>80</v>
      </c>
      <c r="F40" s="117" t="s">
        <v>80</v>
      </c>
      <c r="G40" s="117" t="s">
        <v>80</v>
      </c>
      <c r="H40" s="186" t="s">
        <v>79</v>
      </c>
      <c r="I40" s="187"/>
      <c r="J40" s="117" t="s">
        <v>80</v>
      </c>
      <c r="K40" s="117" t="s">
        <v>80</v>
      </c>
      <c r="L40" s="117" t="s">
        <v>80</v>
      </c>
      <c r="M40" s="116">
        <v>914.68399999999997</v>
      </c>
      <c r="N40" s="116">
        <v>-3302.9090000000001</v>
      </c>
      <c r="O40" s="117">
        <v>0</v>
      </c>
      <c r="P40" s="117">
        <v>0</v>
      </c>
      <c r="Q40" s="118">
        <v>0</v>
      </c>
      <c r="R40" s="116">
        <v>914.68299999999999</v>
      </c>
      <c r="S40" s="116">
        <v>-3302.9090000000001</v>
      </c>
      <c r="T40" s="118">
        <f t="shared" si="42"/>
        <v>-0.99999999997635314</v>
      </c>
      <c r="U40" s="118">
        <f t="shared" si="43"/>
        <v>0</v>
      </c>
      <c r="V40" s="118">
        <f t="shared" si="44"/>
        <v>0.99999999997635314</v>
      </c>
      <c r="W40" s="116">
        <v>914.68799999999999</v>
      </c>
      <c r="X40" s="116">
        <v>-3302.9070000000002</v>
      </c>
      <c r="Y40" s="118">
        <f t="shared" si="45"/>
        <v>4.0000000000190994</v>
      </c>
      <c r="Z40" s="118">
        <f t="shared" si="46"/>
        <v>1.9999999999527063</v>
      </c>
      <c r="AA40" s="118">
        <f t="shared" si="47"/>
        <v>4.4721359549955118</v>
      </c>
      <c r="AB40" s="129">
        <v>914.68999999999994</v>
      </c>
      <c r="AC40" s="129">
        <v>-3302.9050000000002</v>
      </c>
      <c r="AD40" s="118">
        <f t="shared" si="9"/>
        <v>5.9999999999718057</v>
      </c>
      <c r="AE40" s="118">
        <f t="shared" si="10"/>
        <v>3.9999999999054126</v>
      </c>
      <c r="AF40" s="118">
        <f t="shared" si="11"/>
        <v>7.2111025508520514</v>
      </c>
      <c r="AG40" s="116">
        <v>914.68399999999997</v>
      </c>
      <c r="AH40" s="116">
        <v>-3302.9120000000003</v>
      </c>
      <c r="AI40" s="118">
        <f t="shared" si="12"/>
        <v>0</v>
      </c>
      <c r="AJ40" s="118">
        <f t="shared" si="13"/>
        <v>-3.0000000001564331</v>
      </c>
      <c r="AK40" s="118">
        <f t="shared" si="14"/>
        <v>3.0000000001564331</v>
      </c>
      <c r="AL40" s="116">
        <v>914.68599999999992</v>
      </c>
      <c r="AM40" s="116">
        <v>-3302.9100000000003</v>
      </c>
      <c r="AN40" s="118">
        <f t="shared" si="15"/>
        <v>1.9999999999527063</v>
      </c>
      <c r="AO40" s="118">
        <f t="shared" si="16"/>
        <v>-1.0000000002037268</v>
      </c>
      <c r="AP40" s="118">
        <f t="shared" si="17"/>
        <v>2.2360679775485983</v>
      </c>
      <c r="AQ40" s="116">
        <v>914.67699999999991</v>
      </c>
      <c r="AR40" s="116">
        <v>-3302.9079999999999</v>
      </c>
      <c r="AS40" s="118">
        <f t="shared" si="18"/>
        <v>-7.0000000000618456</v>
      </c>
      <c r="AT40" s="118">
        <f t="shared" si="19"/>
        <v>1.0000000002037268</v>
      </c>
      <c r="AU40" s="118">
        <f t="shared" si="20"/>
        <v>7.071067811955511</v>
      </c>
      <c r="AV40" s="116">
        <v>914.67799999999988</v>
      </c>
      <c r="AW40" s="116">
        <v>-3302.9069999999997</v>
      </c>
      <c r="AX40" s="125">
        <f t="shared" si="21"/>
        <v>-6.0000000000854925</v>
      </c>
      <c r="AY40" s="118">
        <f t="shared" si="22"/>
        <v>2.0000000004074536</v>
      </c>
      <c r="AZ40" s="118">
        <f t="shared" si="23"/>
        <v>6.324555320546712</v>
      </c>
      <c r="BA40" s="116">
        <v>914.67699999999991</v>
      </c>
      <c r="BB40" s="116">
        <v>-3302.9049999999997</v>
      </c>
      <c r="BC40" s="118">
        <f t="shared" si="24"/>
        <v>-7.0000000000618456</v>
      </c>
      <c r="BD40" s="118">
        <f t="shared" si="25"/>
        <v>4.0000000003601599</v>
      </c>
      <c r="BE40" s="118">
        <f t="shared" si="26"/>
        <v>8.0622577485309357</v>
      </c>
      <c r="BF40" s="127">
        <v>914.67499999999995</v>
      </c>
      <c r="BG40" s="127">
        <v>-3302.9049999999997</v>
      </c>
      <c r="BH40" s="118">
        <f t="shared" si="48"/>
        <v>-9.0000000000145519</v>
      </c>
      <c r="BI40" s="118">
        <f t="shared" si="49"/>
        <v>4.0000000003601599</v>
      </c>
      <c r="BJ40" s="118">
        <f t="shared" si="50"/>
        <v>9.8488578019556776</v>
      </c>
      <c r="BK40" s="127">
        <v>914.67699999999991</v>
      </c>
      <c r="BL40" s="127">
        <v>-3302.9079999999999</v>
      </c>
      <c r="BM40" s="118">
        <f t="shared" si="51"/>
        <v>-7.0000000000618456</v>
      </c>
      <c r="BN40" s="118">
        <f t="shared" si="52"/>
        <v>1.0000000002037268</v>
      </c>
      <c r="BO40" s="118">
        <f t="shared" si="53"/>
        <v>7.071067811955511</v>
      </c>
      <c r="BP40" s="127">
        <v>914.67899999999986</v>
      </c>
      <c r="BQ40" s="127">
        <v>-3302.91</v>
      </c>
      <c r="BR40" s="118">
        <f t="shared" si="33"/>
        <v>-5.0000000001091394</v>
      </c>
      <c r="BS40" s="118">
        <f t="shared" si="34"/>
        <v>-0.99999999974897946</v>
      </c>
      <c r="BT40" s="118">
        <f t="shared" si="35"/>
        <v>5.0990195136505756</v>
      </c>
      <c r="BU40" s="127">
        <v>914.67899999999986</v>
      </c>
      <c r="BV40" s="127">
        <v>-3302.9079999999999</v>
      </c>
      <c r="BW40" s="118">
        <f t="shared" si="36"/>
        <v>-5.0000000001091394</v>
      </c>
      <c r="BX40" s="118">
        <f t="shared" si="37"/>
        <v>1.0000000002037268</v>
      </c>
      <c r="BY40" s="118">
        <f t="shared" si="38"/>
        <v>5.0990195137397585</v>
      </c>
      <c r="BZ40" s="115">
        <f t="shared" si="54"/>
        <v>31</v>
      </c>
    </row>
    <row r="41" spans="2:80" ht="15.95" customHeight="1" x14ac:dyDescent="0.25">
      <c r="B41" s="115">
        <v>32</v>
      </c>
      <c r="C41" s="186" t="s">
        <v>79</v>
      </c>
      <c r="D41" s="187"/>
      <c r="E41" s="117" t="s">
        <v>80</v>
      </c>
      <c r="F41" s="117" t="s">
        <v>80</v>
      </c>
      <c r="G41" s="117" t="s">
        <v>80</v>
      </c>
      <c r="H41" s="186" t="s">
        <v>79</v>
      </c>
      <c r="I41" s="187"/>
      <c r="J41" s="117" t="s">
        <v>80</v>
      </c>
      <c r="K41" s="117" t="s">
        <v>80</v>
      </c>
      <c r="L41" s="117" t="s">
        <v>80</v>
      </c>
      <c r="M41" s="116">
        <v>919.25300000000004</v>
      </c>
      <c r="N41" s="116">
        <v>-3299.152</v>
      </c>
      <c r="O41" s="117">
        <v>0</v>
      </c>
      <c r="P41" s="117">
        <v>0</v>
      </c>
      <c r="Q41" s="118">
        <v>0</v>
      </c>
      <c r="R41" s="116">
        <v>919.25099999999998</v>
      </c>
      <c r="S41" s="116">
        <v>-3299.1619999999998</v>
      </c>
      <c r="T41" s="118">
        <f t="shared" si="42"/>
        <v>-2.0000000000663931</v>
      </c>
      <c r="U41" s="118">
        <f t="shared" si="43"/>
        <v>-9.9999999997635314</v>
      </c>
      <c r="V41" s="118">
        <f t="shared" si="44"/>
        <v>10.198039026966715</v>
      </c>
      <c r="W41" s="116">
        <v>919.25800000000004</v>
      </c>
      <c r="X41" s="116">
        <v>-3299.1579999999999</v>
      </c>
      <c r="Y41" s="118">
        <f t="shared" si="45"/>
        <v>4.9999999999954525</v>
      </c>
      <c r="Z41" s="118">
        <f t="shared" si="46"/>
        <v>-5.9999999998581188</v>
      </c>
      <c r="AA41" s="118">
        <f t="shared" si="47"/>
        <v>7.810249675794747</v>
      </c>
      <c r="AB41" s="129">
        <v>919.25300000000004</v>
      </c>
      <c r="AC41" s="129">
        <v>-3299.1529999999998</v>
      </c>
      <c r="AD41" s="118">
        <f t="shared" si="9"/>
        <v>0</v>
      </c>
      <c r="AE41" s="118">
        <f t="shared" si="10"/>
        <v>-0.99999999974897946</v>
      </c>
      <c r="AF41" s="118">
        <f t="shared" si="11"/>
        <v>0.99999999974897946</v>
      </c>
      <c r="AG41" s="116">
        <v>919.25900000000001</v>
      </c>
      <c r="AH41" s="116">
        <v>-3299.1529999999998</v>
      </c>
      <c r="AI41" s="118">
        <f t="shared" si="12"/>
        <v>5.9999999999718057</v>
      </c>
      <c r="AJ41" s="118">
        <f t="shared" si="13"/>
        <v>-0.99999999974897946</v>
      </c>
      <c r="AK41" s="118">
        <f t="shared" si="14"/>
        <v>6.0827625302291413</v>
      </c>
      <c r="AL41" s="116">
        <v>919.25700000000006</v>
      </c>
      <c r="AM41" s="116">
        <v>-3299.1499999999996</v>
      </c>
      <c r="AN41" s="118">
        <f t="shared" si="15"/>
        <v>4.0000000000190994</v>
      </c>
      <c r="AO41" s="118">
        <f t="shared" si="16"/>
        <v>2.0000000004074536</v>
      </c>
      <c r="AP41" s="118">
        <f t="shared" si="17"/>
        <v>4.4721359551988815</v>
      </c>
      <c r="AQ41" s="116">
        <v>919.25599999999997</v>
      </c>
      <c r="AR41" s="116">
        <v>-3299.1479999999997</v>
      </c>
      <c r="AS41" s="118">
        <f t="shared" si="18"/>
        <v>2.9999999999290594</v>
      </c>
      <c r="AT41" s="118">
        <f t="shared" si="19"/>
        <v>4.0000000003601599</v>
      </c>
      <c r="AU41" s="118">
        <f t="shared" si="20"/>
        <v>5.0000000002455636</v>
      </c>
      <c r="AV41" s="116">
        <v>919.25099999999998</v>
      </c>
      <c r="AW41" s="116">
        <v>-3299.1469999999995</v>
      </c>
      <c r="AX41" s="125">
        <f t="shared" si="21"/>
        <v>-2.0000000000663931</v>
      </c>
      <c r="AY41" s="118">
        <f t="shared" si="22"/>
        <v>5.0000000005638867</v>
      </c>
      <c r="AZ41" s="118">
        <f t="shared" si="23"/>
        <v>5.3851648076827177</v>
      </c>
      <c r="BA41" s="116">
        <v>919.25299999999993</v>
      </c>
      <c r="BB41" s="116">
        <v>-3299.1469999999995</v>
      </c>
      <c r="BC41" s="118">
        <f t="shared" si="24"/>
        <v>-1.1368683772161603E-10</v>
      </c>
      <c r="BD41" s="118">
        <f t="shared" si="25"/>
        <v>5.0000000005638867</v>
      </c>
      <c r="BE41" s="118">
        <f t="shared" si="26"/>
        <v>5.0000000005638867</v>
      </c>
      <c r="BF41" s="127">
        <v>919.25599999999997</v>
      </c>
      <c r="BG41" s="127">
        <v>-3299.1439999999993</v>
      </c>
      <c r="BH41" s="118">
        <f t="shared" si="48"/>
        <v>2.9999999999290594</v>
      </c>
      <c r="BI41" s="118">
        <f t="shared" si="49"/>
        <v>8.0000000007203198</v>
      </c>
      <c r="BJ41" s="118">
        <f t="shared" si="50"/>
        <v>8.5440037459670783</v>
      </c>
      <c r="BK41" s="127">
        <v>919.255</v>
      </c>
      <c r="BL41" s="127">
        <v>-3299.1469999999995</v>
      </c>
      <c r="BM41" s="118">
        <f t="shared" si="51"/>
        <v>1.9999999999527063</v>
      </c>
      <c r="BN41" s="118">
        <f t="shared" si="52"/>
        <v>5.0000000005638867</v>
      </c>
      <c r="BO41" s="118">
        <f t="shared" si="53"/>
        <v>5.3851648076404954</v>
      </c>
      <c r="BP41" s="127">
        <v>919.25199999999995</v>
      </c>
      <c r="BQ41" s="127">
        <v>-3299.1489999999994</v>
      </c>
      <c r="BR41" s="118">
        <f t="shared" si="33"/>
        <v>-1.00000000009004</v>
      </c>
      <c r="BS41" s="118">
        <f t="shared" si="34"/>
        <v>3.0000000006111804</v>
      </c>
      <c r="BT41" s="118">
        <f t="shared" si="35"/>
        <v>3.1622776607766689</v>
      </c>
      <c r="BU41" s="127">
        <v>919.24899999999991</v>
      </c>
      <c r="BV41" s="127">
        <v>-3299.1499999999996</v>
      </c>
      <c r="BW41" s="118">
        <f t="shared" si="36"/>
        <v>-4.0000000001327862</v>
      </c>
      <c r="BX41" s="118">
        <f t="shared" si="37"/>
        <v>2.0000000004074536</v>
      </c>
      <c r="BY41" s="118">
        <f t="shared" si="38"/>
        <v>4.4721359553005655</v>
      </c>
      <c r="BZ41" s="115">
        <f t="shared" si="54"/>
        <v>32</v>
      </c>
    </row>
    <row r="42" spans="2:80" ht="15.95" customHeight="1" x14ac:dyDescent="0.25">
      <c r="B42" s="115">
        <v>33</v>
      </c>
      <c r="C42" s="186" t="s">
        <v>79</v>
      </c>
      <c r="D42" s="187"/>
      <c r="E42" s="117" t="s">
        <v>80</v>
      </c>
      <c r="F42" s="117" t="s">
        <v>80</v>
      </c>
      <c r="G42" s="117" t="s">
        <v>80</v>
      </c>
      <c r="H42" s="186" t="s">
        <v>79</v>
      </c>
      <c r="I42" s="187"/>
      <c r="J42" s="117" t="s">
        <v>80</v>
      </c>
      <c r="K42" s="117" t="s">
        <v>80</v>
      </c>
      <c r="L42" s="117" t="s">
        <v>80</v>
      </c>
      <c r="M42" s="116">
        <v>924.82899999999995</v>
      </c>
      <c r="N42" s="116">
        <v>-3294.5540000000001</v>
      </c>
      <c r="O42" s="117">
        <v>0</v>
      </c>
      <c r="P42" s="117">
        <v>0</v>
      </c>
      <c r="Q42" s="118">
        <v>0</v>
      </c>
      <c r="R42" s="116">
        <v>924.82600000000002</v>
      </c>
      <c r="S42" s="116">
        <v>-3294.5650000000001</v>
      </c>
      <c r="T42" s="118">
        <f t="shared" si="42"/>
        <v>-2.9999999999290594</v>
      </c>
      <c r="U42" s="118">
        <f t="shared" si="43"/>
        <v>-10.999999999967258</v>
      </c>
      <c r="V42" s="118">
        <f t="shared" si="44"/>
        <v>11.401754250941126</v>
      </c>
      <c r="W42" s="116">
        <v>924.82600000000002</v>
      </c>
      <c r="X42" s="116">
        <v>-3294.5650000000001</v>
      </c>
      <c r="Y42" s="118">
        <f t="shared" si="45"/>
        <v>-2.9999999999290594</v>
      </c>
      <c r="Z42" s="118">
        <f t="shared" si="46"/>
        <v>-10.999999999967258</v>
      </c>
      <c r="AA42" s="118">
        <f t="shared" si="47"/>
        <v>11.401754250941126</v>
      </c>
      <c r="AB42" s="129">
        <v>924.83199999999999</v>
      </c>
      <c r="AC42" s="129">
        <v>-3294.5590000000002</v>
      </c>
      <c r="AD42" s="118">
        <f t="shared" si="9"/>
        <v>3.0000000000427463</v>
      </c>
      <c r="AE42" s="118">
        <f t="shared" si="10"/>
        <v>-5.0000000001091394</v>
      </c>
      <c r="AF42" s="118">
        <f t="shared" si="11"/>
        <v>5.8309518949608794</v>
      </c>
      <c r="AG42" s="116">
        <v>924.82500000000005</v>
      </c>
      <c r="AH42" s="116">
        <v>-3294.5610000000001</v>
      </c>
      <c r="AI42" s="118">
        <f t="shared" si="12"/>
        <v>-3.9999999999054126</v>
      </c>
      <c r="AJ42" s="118">
        <f t="shared" si="13"/>
        <v>-7.0000000000618456</v>
      </c>
      <c r="AK42" s="118">
        <f t="shared" si="14"/>
        <v>8.0622577483053188</v>
      </c>
      <c r="AL42" s="116">
        <v>924.82900000000006</v>
      </c>
      <c r="AM42" s="116">
        <v>-3294.56</v>
      </c>
      <c r="AN42" s="118">
        <f t="shared" ref="AN42:AN56" si="55">AI42+(AL42-AG42)*1000</f>
        <v>1.1368683772161603E-10</v>
      </c>
      <c r="AO42" s="118">
        <f t="shared" ref="AO42:AO56" si="56">AJ42+(AM42-AH42)*1000</f>
        <v>-5.9999999998581188</v>
      </c>
      <c r="AP42" s="118">
        <f t="shared" ref="AP42:AP56" si="57">SQRT(((AN42*AN42)+(AO42*AO42)))</f>
        <v>5.9999999998581188</v>
      </c>
      <c r="AQ42" s="116">
        <v>924.83300000000008</v>
      </c>
      <c r="AR42" s="116">
        <v>-3294.556</v>
      </c>
      <c r="AS42" s="118">
        <f t="shared" si="18"/>
        <v>4.0000000001327862</v>
      </c>
      <c r="AT42" s="118">
        <f t="shared" si="19"/>
        <v>-1.9999999999527063</v>
      </c>
      <c r="AU42" s="118">
        <f t="shared" si="20"/>
        <v>4.4721359550971966</v>
      </c>
      <c r="AV42" s="116">
        <v>924.83100000000013</v>
      </c>
      <c r="AW42" s="116">
        <v>-3294.556</v>
      </c>
      <c r="AX42" s="125">
        <f t="shared" si="21"/>
        <v>2.00000000018008</v>
      </c>
      <c r="AY42" s="118">
        <f t="shared" si="22"/>
        <v>-1.9999999999527063</v>
      </c>
      <c r="AZ42" s="118">
        <f t="shared" si="23"/>
        <v>2.8284271248400841</v>
      </c>
      <c r="BA42" s="116">
        <v>924.83200000000011</v>
      </c>
      <c r="BB42" s="116">
        <v>-3294.5570000000002</v>
      </c>
      <c r="BC42" s="118">
        <f t="shared" si="24"/>
        <v>3.0000000001564331</v>
      </c>
      <c r="BD42" s="118">
        <f t="shared" si="25"/>
        <v>-3.0000000001564331</v>
      </c>
      <c r="BE42" s="118">
        <f t="shared" si="26"/>
        <v>4.2426406873405149</v>
      </c>
      <c r="BF42" s="127">
        <v>924.83200000000011</v>
      </c>
      <c r="BG42" s="127">
        <v>-3294.5600000000004</v>
      </c>
      <c r="BH42" s="118">
        <f t="shared" si="48"/>
        <v>3.0000000001564331</v>
      </c>
      <c r="BI42" s="118">
        <f t="shared" si="49"/>
        <v>-6.0000000003128662</v>
      </c>
      <c r="BJ42" s="118">
        <f t="shared" si="50"/>
        <v>6.7082039328491643</v>
      </c>
      <c r="BK42" s="127">
        <v>924.83100000000013</v>
      </c>
      <c r="BL42" s="127">
        <v>-3294.5590000000002</v>
      </c>
      <c r="BM42" s="118">
        <f t="shared" si="51"/>
        <v>2.00000000018008</v>
      </c>
      <c r="BN42" s="118">
        <f t="shared" si="52"/>
        <v>-5.0000000001091394</v>
      </c>
      <c r="BO42" s="118">
        <f t="shared" si="53"/>
        <v>5.3851648073027176</v>
      </c>
      <c r="BP42" s="127">
        <v>924.83000000000015</v>
      </c>
      <c r="BQ42" s="127">
        <v>-3294.558</v>
      </c>
      <c r="BR42" s="118">
        <f t="shared" si="33"/>
        <v>1.0000000002037268</v>
      </c>
      <c r="BS42" s="118">
        <f t="shared" si="34"/>
        <v>-3.9999999999054126</v>
      </c>
      <c r="BT42" s="118">
        <f t="shared" si="35"/>
        <v>4.1231056255753087</v>
      </c>
      <c r="BU42" s="127">
        <v>924.8280000000002</v>
      </c>
      <c r="BV42" s="127">
        <v>-3294.5569999999998</v>
      </c>
      <c r="BW42" s="118">
        <f t="shared" si="36"/>
        <v>-0.99999999974897946</v>
      </c>
      <c r="BX42" s="118">
        <f t="shared" si="37"/>
        <v>-2.9999999997016857</v>
      </c>
      <c r="BY42" s="118">
        <f t="shared" si="38"/>
        <v>3.1622776598059938</v>
      </c>
      <c r="BZ42" s="115">
        <f t="shared" si="54"/>
        <v>33</v>
      </c>
    </row>
    <row r="43" spans="2:80" ht="15.95" customHeight="1" x14ac:dyDescent="0.25">
      <c r="B43" s="115">
        <v>34</v>
      </c>
      <c r="C43" s="186" t="s">
        <v>79</v>
      </c>
      <c r="D43" s="187"/>
      <c r="E43" s="117" t="s">
        <v>80</v>
      </c>
      <c r="F43" s="117" t="s">
        <v>80</v>
      </c>
      <c r="G43" s="117" t="s">
        <v>80</v>
      </c>
      <c r="H43" s="186" t="s">
        <v>79</v>
      </c>
      <c r="I43" s="187"/>
      <c r="J43" s="117" t="s">
        <v>80</v>
      </c>
      <c r="K43" s="117" t="s">
        <v>80</v>
      </c>
      <c r="L43" s="117" t="s">
        <v>80</v>
      </c>
      <c r="M43" s="193" t="s">
        <v>79</v>
      </c>
      <c r="N43" s="194"/>
      <c r="O43" s="118" t="s">
        <v>80</v>
      </c>
      <c r="P43" s="118" t="s">
        <v>80</v>
      </c>
      <c r="Q43" s="118" t="s">
        <v>80</v>
      </c>
      <c r="R43" s="186" t="str">
        <f>M43</f>
        <v>нет конструкции</v>
      </c>
      <c r="S43" s="187"/>
      <c r="T43" s="118" t="s">
        <v>80</v>
      </c>
      <c r="U43" s="118" t="s">
        <v>80</v>
      </c>
      <c r="V43" s="118" t="s">
        <v>80</v>
      </c>
      <c r="W43" s="186" t="str">
        <f>R43</f>
        <v>нет конструкции</v>
      </c>
      <c r="X43" s="187"/>
      <c r="Y43" s="118" t="s">
        <v>80</v>
      </c>
      <c r="Z43" s="118" t="s">
        <v>80</v>
      </c>
      <c r="AA43" s="118" t="s">
        <v>80</v>
      </c>
      <c r="AB43" s="189" t="str">
        <f>W43</f>
        <v>нет конструкции</v>
      </c>
      <c r="AC43" s="190"/>
      <c r="AD43" s="118" t="s">
        <v>80</v>
      </c>
      <c r="AE43" s="118" t="s">
        <v>80</v>
      </c>
      <c r="AF43" s="118" t="s">
        <v>80</v>
      </c>
      <c r="AG43" s="116">
        <v>926.13099999999997</v>
      </c>
      <c r="AH43" s="116">
        <v>-3288.61</v>
      </c>
      <c r="AI43" s="118">
        <v>0</v>
      </c>
      <c r="AJ43" s="118">
        <v>0</v>
      </c>
      <c r="AK43" s="118">
        <v>0</v>
      </c>
      <c r="AL43" s="116">
        <v>926.13499999999999</v>
      </c>
      <c r="AM43" s="116">
        <v>-3288.6080000000002</v>
      </c>
      <c r="AN43" s="118">
        <f t="shared" si="55"/>
        <v>4.0000000000190994</v>
      </c>
      <c r="AO43" s="118">
        <f t="shared" si="56"/>
        <v>1.9999999999527063</v>
      </c>
      <c r="AP43" s="118">
        <f t="shared" si="57"/>
        <v>4.4721359549955118</v>
      </c>
      <c r="AQ43" s="116">
        <v>926.14099999999996</v>
      </c>
      <c r="AR43" s="116">
        <v>-3288.6039999999998</v>
      </c>
      <c r="AS43" s="118">
        <f t="shared" si="18"/>
        <v>9.9999999999909051</v>
      </c>
      <c r="AT43" s="118">
        <f t="shared" si="19"/>
        <v>6.0000000003128662</v>
      </c>
      <c r="AU43" s="118">
        <f t="shared" si="20"/>
        <v>11.66190378984377</v>
      </c>
      <c r="AV43" s="116">
        <v>926.13499999999999</v>
      </c>
      <c r="AW43" s="116">
        <v>-3288.6029999999996</v>
      </c>
      <c r="AX43" s="125">
        <f t="shared" si="21"/>
        <v>4.0000000000190994</v>
      </c>
      <c r="AY43" s="118">
        <f t="shared" si="22"/>
        <v>7.000000000516593</v>
      </c>
      <c r="AZ43" s="118">
        <f t="shared" si="23"/>
        <v>8.0622577487565543</v>
      </c>
      <c r="BA43" s="116">
        <v>926.13300000000004</v>
      </c>
      <c r="BB43" s="116">
        <v>-3288.6049999999996</v>
      </c>
      <c r="BC43" s="118">
        <f t="shared" si="24"/>
        <v>2.0000000000663931</v>
      </c>
      <c r="BD43" s="118">
        <f t="shared" si="25"/>
        <v>5.0000000005638867</v>
      </c>
      <c r="BE43" s="118">
        <f t="shared" si="26"/>
        <v>5.3851648076827177</v>
      </c>
      <c r="BF43" s="127">
        <v>926.13499999999999</v>
      </c>
      <c r="BG43" s="127">
        <v>-3288.6039999999994</v>
      </c>
      <c r="BH43" s="118">
        <f t="shared" si="48"/>
        <v>4.0000000000190994</v>
      </c>
      <c r="BI43" s="118">
        <f t="shared" si="49"/>
        <v>6.0000000007676135</v>
      </c>
      <c r="BJ43" s="118">
        <f t="shared" si="50"/>
        <v>7.211102551577266</v>
      </c>
      <c r="BK43" s="127">
        <v>926.13900000000001</v>
      </c>
      <c r="BL43" s="127">
        <v>-3288.6059999999993</v>
      </c>
      <c r="BM43" s="118">
        <f t="shared" si="51"/>
        <v>8.0000000000381988</v>
      </c>
      <c r="BN43" s="118">
        <f t="shared" si="52"/>
        <v>4.0000000008149073</v>
      </c>
      <c r="BO43" s="118">
        <f t="shared" si="53"/>
        <v>8.944271910397763</v>
      </c>
      <c r="BP43" s="127">
        <v>926.14099999999996</v>
      </c>
      <c r="BQ43" s="127">
        <v>-3288.6029999999992</v>
      </c>
      <c r="BR43" s="118">
        <f t="shared" si="33"/>
        <v>9.9999999999909051</v>
      </c>
      <c r="BS43" s="118">
        <f t="shared" si="34"/>
        <v>7.0000000009713403</v>
      </c>
      <c r="BT43" s="118">
        <f t="shared" si="35"/>
        <v>12.206555616283278</v>
      </c>
      <c r="BU43" s="127">
        <v>926.13900000000001</v>
      </c>
      <c r="BV43" s="127">
        <v>-3288.599999999999</v>
      </c>
      <c r="BW43" s="118">
        <f t="shared" si="36"/>
        <v>8.0000000000381988</v>
      </c>
      <c r="BX43" s="118">
        <f t="shared" si="37"/>
        <v>10.000000001127773</v>
      </c>
      <c r="BY43" s="118">
        <f t="shared" si="38"/>
        <v>12.806248475770204</v>
      </c>
      <c r="BZ43" s="115">
        <f t="shared" si="54"/>
        <v>34</v>
      </c>
    </row>
    <row r="44" spans="2:80" ht="15.95" customHeight="1" x14ac:dyDescent="0.25">
      <c r="B44" s="115">
        <v>35</v>
      </c>
      <c r="C44" s="186" t="s">
        <v>79</v>
      </c>
      <c r="D44" s="187"/>
      <c r="E44" s="117" t="s">
        <v>80</v>
      </c>
      <c r="F44" s="117" t="s">
        <v>80</v>
      </c>
      <c r="G44" s="117" t="s">
        <v>80</v>
      </c>
      <c r="H44" s="186" t="s">
        <v>79</v>
      </c>
      <c r="I44" s="187"/>
      <c r="J44" s="117" t="s">
        <v>80</v>
      </c>
      <c r="K44" s="117" t="s">
        <v>80</v>
      </c>
      <c r="L44" s="117" t="s">
        <v>80</v>
      </c>
      <c r="M44" s="186" t="s">
        <v>79</v>
      </c>
      <c r="N44" s="187"/>
      <c r="O44" s="117" t="s">
        <v>80</v>
      </c>
      <c r="P44" s="117" t="s">
        <v>80</v>
      </c>
      <c r="Q44" s="117" t="s">
        <v>80</v>
      </c>
      <c r="R44" s="186" t="str">
        <f t="shared" ref="R44:R45" si="58">M44</f>
        <v>нет конструкции</v>
      </c>
      <c r="S44" s="187"/>
      <c r="T44" s="118" t="s">
        <v>80</v>
      </c>
      <c r="U44" s="118" t="s">
        <v>80</v>
      </c>
      <c r="V44" s="118" t="s">
        <v>80</v>
      </c>
      <c r="W44" s="186" t="str">
        <f t="shared" ref="W44:W53" si="59">R44</f>
        <v>нет конструкции</v>
      </c>
      <c r="X44" s="187"/>
      <c r="Y44" s="118" t="s">
        <v>80</v>
      </c>
      <c r="Z44" s="118" t="s">
        <v>80</v>
      </c>
      <c r="AA44" s="118" t="s">
        <v>80</v>
      </c>
      <c r="AB44" s="189" t="str">
        <f t="shared" ref="AB44:AB53" si="60">W44</f>
        <v>нет конструкции</v>
      </c>
      <c r="AC44" s="190"/>
      <c r="AD44" s="118" t="s">
        <v>80</v>
      </c>
      <c r="AE44" s="118" t="s">
        <v>80</v>
      </c>
      <c r="AF44" s="118" t="s">
        <v>80</v>
      </c>
      <c r="AG44" s="116">
        <v>925.98400000000004</v>
      </c>
      <c r="AH44" s="116">
        <v>-3283.72</v>
      </c>
      <c r="AI44" s="118">
        <v>0</v>
      </c>
      <c r="AJ44" s="118">
        <v>0</v>
      </c>
      <c r="AK44" s="118">
        <v>0</v>
      </c>
      <c r="AL44" s="116">
        <v>925.98500000000001</v>
      </c>
      <c r="AM44" s="116">
        <v>-3283.7179999999998</v>
      </c>
      <c r="AN44" s="118">
        <f t="shared" si="55"/>
        <v>0.99999999997635314</v>
      </c>
      <c r="AO44" s="118">
        <f t="shared" si="56"/>
        <v>1.9999999999527063</v>
      </c>
      <c r="AP44" s="118">
        <f t="shared" si="57"/>
        <v>2.2360679774469139</v>
      </c>
      <c r="AQ44" s="116">
        <v>925.98700000000008</v>
      </c>
      <c r="AR44" s="116">
        <v>-3283.7159999999999</v>
      </c>
      <c r="AS44" s="118">
        <f t="shared" si="18"/>
        <v>3.0000000000427463</v>
      </c>
      <c r="AT44" s="118">
        <f t="shared" si="19"/>
        <v>3.9999999999054126</v>
      </c>
      <c r="AU44" s="118">
        <f t="shared" si="20"/>
        <v>4.9999999999499778</v>
      </c>
      <c r="AV44" s="116">
        <v>925.98400000000004</v>
      </c>
      <c r="AW44" s="116">
        <v>-3283.7149999999997</v>
      </c>
      <c r="AX44" s="125">
        <f t="shared" si="21"/>
        <v>0</v>
      </c>
      <c r="AY44" s="118">
        <f t="shared" si="22"/>
        <v>5.0000000001091394</v>
      </c>
      <c r="AZ44" s="118">
        <f t="shared" si="23"/>
        <v>5.0000000001091394</v>
      </c>
      <c r="BA44" s="116">
        <v>925.98200000000008</v>
      </c>
      <c r="BB44" s="116">
        <v>-3283.7149999999997</v>
      </c>
      <c r="BC44" s="118">
        <f t="shared" si="24"/>
        <v>-1.9999999999527063</v>
      </c>
      <c r="BD44" s="118">
        <f t="shared" si="25"/>
        <v>5.0000000001091394</v>
      </c>
      <c r="BE44" s="118">
        <f t="shared" si="26"/>
        <v>5.3851648072182732</v>
      </c>
      <c r="BF44" s="127">
        <v>925.98400000000004</v>
      </c>
      <c r="BG44" s="127">
        <v>-3283.7159999999999</v>
      </c>
      <c r="BH44" s="118">
        <f t="shared" si="48"/>
        <v>0</v>
      </c>
      <c r="BI44" s="118">
        <f t="shared" si="49"/>
        <v>3.9999999999054126</v>
      </c>
      <c r="BJ44" s="118">
        <f t="shared" si="50"/>
        <v>3.9999999999054126</v>
      </c>
      <c r="BK44" s="127">
        <v>925.98400000000004</v>
      </c>
      <c r="BL44" s="127">
        <v>-3283.7139999999999</v>
      </c>
      <c r="BM44" s="118">
        <f t="shared" si="51"/>
        <v>0</v>
      </c>
      <c r="BN44" s="118">
        <f t="shared" si="52"/>
        <v>5.9999999998581188</v>
      </c>
      <c r="BO44" s="118">
        <f t="shared" si="53"/>
        <v>5.9999999998581188</v>
      </c>
      <c r="BP44" s="127">
        <v>925.98500000000001</v>
      </c>
      <c r="BQ44" s="127">
        <v>-3283.712</v>
      </c>
      <c r="BR44" s="118">
        <f t="shared" si="33"/>
        <v>0.99999999997635314</v>
      </c>
      <c r="BS44" s="118">
        <f t="shared" si="34"/>
        <v>7.9999999998108251</v>
      </c>
      <c r="BT44" s="118">
        <f t="shared" si="35"/>
        <v>8.0622577481079034</v>
      </c>
      <c r="BU44" s="127">
        <v>925.98699999999997</v>
      </c>
      <c r="BV44" s="127">
        <v>-3283.7089999999998</v>
      </c>
      <c r="BW44" s="118">
        <f t="shared" si="36"/>
        <v>2.9999999999290594</v>
      </c>
      <c r="BX44" s="118">
        <f t="shared" si="37"/>
        <v>10.999999999967258</v>
      </c>
      <c r="BY44" s="118">
        <f t="shared" si="38"/>
        <v>11.401754250941126</v>
      </c>
      <c r="BZ44" s="115">
        <f t="shared" si="54"/>
        <v>35</v>
      </c>
    </row>
    <row r="45" spans="2:80" ht="15.95" customHeight="1" x14ac:dyDescent="0.25">
      <c r="B45" s="115">
        <v>36</v>
      </c>
      <c r="C45" s="186" t="s">
        <v>79</v>
      </c>
      <c r="D45" s="187"/>
      <c r="E45" s="117" t="s">
        <v>80</v>
      </c>
      <c r="F45" s="117" t="s">
        <v>80</v>
      </c>
      <c r="G45" s="117" t="s">
        <v>80</v>
      </c>
      <c r="H45" s="186" t="s">
        <v>79</v>
      </c>
      <c r="I45" s="187"/>
      <c r="J45" s="117" t="s">
        <v>80</v>
      </c>
      <c r="K45" s="117" t="s">
        <v>80</v>
      </c>
      <c r="L45" s="117" t="s">
        <v>80</v>
      </c>
      <c r="M45" s="186" t="s">
        <v>79</v>
      </c>
      <c r="N45" s="187"/>
      <c r="O45" s="117" t="s">
        <v>80</v>
      </c>
      <c r="P45" s="117" t="s">
        <v>80</v>
      </c>
      <c r="Q45" s="117" t="s">
        <v>80</v>
      </c>
      <c r="R45" s="186" t="str">
        <f t="shared" si="58"/>
        <v>нет конструкции</v>
      </c>
      <c r="S45" s="187"/>
      <c r="T45" s="118" t="s">
        <v>80</v>
      </c>
      <c r="U45" s="118" t="s">
        <v>80</v>
      </c>
      <c r="V45" s="118" t="s">
        <v>80</v>
      </c>
      <c r="W45" s="186" t="str">
        <f t="shared" si="59"/>
        <v>нет конструкции</v>
      </c>
      <c r="X45" s="187"/>
      <c r="Y45" s="118" t="s">
        <v>80</v>
      </c>
      <c r="Z45" s="118" t="s">
        <v>80</v>
      </c>
      <c r="AA45" s="118" t="s">
        <v>80</v>
      </c>
      <c r="AB45" s="189" t="str">
        <f t="shared" si="60"/>
        <v>нет конструкции</v>
      </c>
      <c r="AC45" s="190"/>
      <c r="AD45" s="118" t="s">
        <v>80</v>
      </c>
      <c r="AE45" s="118" t="s">
        <v>80</v>
      </c>
      <c r="AF45" s="118" t="s">
        <v>80</v>
      </c>
      <c r="AG45" s="116">
        <v>925.86</v>
      </c>
      <c r="AH45" s="116">
        <v>-3279.6109999999999</v>
      </c>
      <c r="AI45" s="118">
        <v>0</v>
      </c>
      <c r="AJ45" s="118">
        <v>0</v>
      </c>
      <c r="AK45" s="118">
        <v>0</v>
      </c>
      <c r="AL45" s="116">
        <v>925.86400000000003</v>
      </c>
      <c r="AM45" s="116">
        <v>-3279.6079999999997</v>
      </c>
      <c r="AN45" s="118">
        <f t="shared" si="55"/>
        <v>4.0000000000190994</v>
      </c>
      <c r="AO45" s="118">
        <f t="shared" si="56"/>
        <v>3.0000000001564331</v>
      </c>
      <c r="AP45" s="118">
        <f t="shared" si="57"/>
        <v>5.0000000001091394</v>
      </c>
      <c r="AQ45" s="116">
        <v>925.85699999999997</v>
      </c>
      <c r="AR45" s="116">
        <v>-3279.6079999999997</v>
      </c>
      <c r="AS45" s="118">
        <f t="shared" si="18"/>
        <v>-3.0000000000427463</v>
      </c>
      <c r="AT45" s="118">
        <f t="shared" si="19"/>
        <v>3.0000000001564331</v>
      </c>
      <c r="AU45" s="118">
        <f t="shared" si="20"/>
        <v>4.2426406872601259</v>
      </c>
      <c r="AV45" s="116">
        <v>925.85699999999997</v>
      </c>
      <c r="AW45" s="116">
        <v>-3279.6059999999998</v>
      </c>
      <c r="AX45" s="125">
        <f t="shared" si="21"/>
        <v>-3.0000000000427463</v>
      </c>
      <c r="AY45" s="118">
        <f t="shared" si="22"/>
        <v>5.0000000001091394</v>
      </c>
      <c r="AZ45" s="118">
        <f t="shared" si="23"/>
        <v>5.8309518949608794</v>
      </c>
      <c r="BA45" s="116">
        <v>925.85799999999995</v>
      </c>
      <c r="BB45" s="116">
        <v>-3279.6049999999996</v>
      </c>
      <c r="BC45" s="118">
        <f t="shared" si="24"/>
        <v>-2.0000000000663931</v>
      </c>
      <c r="BD45" s="118">
        <f t="shared" si="25"/>
        <v>6.0000000003128662</v>
      </c>
      <c r="BE45" s="118">
        <f t="shared" si="26"/>
        <v>6.3245553206545653</v>
      </c>
      <c r="BF45" s="127">
        <v>925.85799999999995</v>
      </c>
      <c r="BG45" s="127">
        <v>-3279.6029999999996</v>
      </c>
      <c r="BH45" s="118">
        <f t="shared" si="48"/>
        <v>-2.0000000000663931</v>
      </c>
      <c r="BI45" s="118">
        <f t="shared" si="49"/>
        <v>8.0000000002655725</v>
      </c>
      <c r="BJ45" s="118">
        <f t="shared" si="50"/>
        <v>8.2462112515090666</v>
      </c>
      <c r="BK45" s="127">
        <v>925.86199999999997</v>
      </c>
      <c r="BL45" s="127">
        <v>-3279.6029999999996</v>
      </c>
      <c r="BM45" s="118">
        <f t="shared" si="51"/>
        <v>1.9999999999527063</v>
      </c>
      <c r="BN45" s="118">
        <f t="shared" si="52"/>
        <v>8.0000000002655725</v>
      </c>
      <c r="BO45" s="118">
        <f t="shared" si="53"/>
        <v>8.246211251481494</v>
      </c>
      <c r="BP45" s="127">
        <v>925.86</v>
      </c>
      <c r="BQ45" s="127">
        <v>-3279.6009999999997</v>
      </c>
      <c r="BR45" s="118">
        <f t="shared" si="33"/>
        <v>0</v>
      </c>
      <c r="BS45" s="118">
        <f t="shared" si="34"/>
        <v>10.000000000218279</v>
      </c>
      <c r="BT45" s="118">
        <f t="shared" si="35"/>
        <v>10.000000000218279</v>
      </c>
      <c r="BU45" s="127">
        <v>925.85900000000004</v>
      </c>
      <c r="BV45" s="127">
        <v>-3279.6009999999997</v>
      </c>
      <c r="BW45" s="118">
        <f t="shared" si="36"/>
        <v>-0.99999999997635314</v>
      </c>
      <c r="BX45" s="118">
        <f t="shared" si="37"/>
        <v>10.000000000218279</v>
      </c>
      <c r="BY45" s="118">
        <f t="shared" si="38"/>
        <v>10.049875621335733</v>
      </c>
      <c r="BZ45" s="115">
        <f t="shared" si="54"/>
        <v>36</v>
      </c>
    </row>
    <row r="46" spans="2:80" ht="15.95" customHeight="1" x14ac:dyDescent="0.25">
      <c r="B46" s="115">
        <v>37</v>
      </c>
      <c r="C46" s="186" t="s">
        <v>79</v>
      </c>
      <c r="D46" s="187"/>
      <c r="E46" s="117" t="s">
        <v>80</v>
      </c>
      <c r="F46" s="117" t="s">
        <v>80</v>
      </c>
      <c r="G46" s="117" t="s">
        <v>80</v>
      </c>
      <c r="H46" s="186" t="s">
        <v>79</v>
      </c>
      <c r="I46" s="187"/>
      <c r="J46" s="117" t="s">
        <v>80</v>
      </c>
      <c r="K46" s="117" t="s">
        <v>80</v>
      </c>
      <c r="L46" s="117" t="s">
        <v>80</v>
      </c>
      <c r="M46" s="186" t="s">
        <v>79</v>
      </c>
      <c r="N46" s="187"/>
      <c r="O46" s="117" t="s">
        <v>80</v>
      </c>
      <c r="P46" s="117" t="s">
        <v>80</v>
      </c>
      <c r="Q46" s="117" t="s">
        <v>80</v>
      </c>
      <c r="R46" s="186" t="str">
        <f>M46</f>
        <v>нет конструкции</v>
      </c>
      <c r="S46" s="187"/>
      <c r="T46" s="118" t="s">
        <v>80</v>
      </c>
      <c r="U46" s="118" t="s">
        <v>80</v>
      </c>
      <c r="V46" s="118" t="s">
        <v>80</v>
      </c>
      <c r="W46" s="186" t="str">
        <f t="shared" si="59"/>
        <v>нет конструкции</v>
      </c>
      <c r="X46" s="187"/>
      <c r="Y46" s="118" t="s">
        <v>80</v>
      </c>
      <c r="Z46" s="118" t="s">
        <v>80</v>
      </c>
      <c r="AA46" s="118" t="s">
        <v>80</v>
      </c>
      <c r="AB46" s="189" t="str">
        <f t="shared" si="60"/>
        <v>нет конструкции</v>
      </c>
      <c r="AC46" s="190"/>
      <c r="AD46" s="118" t="s">
        <v>80</v>
      </c>
      <c r="AE46" s="118" t="s">
        <v>80</v>
      </c>
      <c r="AF46" s="118" t="s">
        <v>80</v>
      </c>
      <c r="AG46" s="116">
        <v>925.25699999999995</v>
      </c>
      <c r="AH46" s="116">
        <v>-3274.002</v>
      </c>
      <c r="AI46" s="118">
        <v>0</v>
      </c>
      <c r="AJ46" s="118">
        <v>0</v>
      </c>
      <c r="AK46" s="118">
        <v>0</v>
      </c>
      <c r="AL46" s="116">
        <v>925.26</v>
      </c>
      <c r="AM46" s="116">
        <v>-3273.9989999999998</v>
      </c>
      <c r="AN46" s="118">
        <f t="shared" si="55"/>
        <v>3.0000000000427463</v>
      </c>
      <c r="AO46" s="118">
        <f t="shared" si="56"/>
        <v>3.0000000001564331</v>
      </c>
      <c r="AP46" s="118">
        <f t="shared" si="57"/>
        <v>4.2426406872601259</v>
      </c>
      <c r="AQ46" s="116">
        <v>925.26</v>
      </c>
      <c r="AR46" s="116">
        <v>-3274.002</v>
      </c>
      <c r="AS46" s="118">
        <f t="shared" si="18"/>
        <v>3.0000000000427463</v>
      </c>
      <c r="AT46" s="118">
        <f t="shared" si="19"/>
        <v>0</v>
      </c>
      <c r="AU46" s="118">
        <f t="shared" si="20"/>
        <v>3.0000000000427463</v>
      </c>
      <c r="AV46" s="116">
        <v>925.25599999999997</v>
      </c>
      <c r="AW46" s="116">
        <v>-3274.0050000000001</v>
      </c>
      <c r="AX46" s="125">
        <f t="shared" si="21"/>
        <v>-0.99999999997635314</v>
      </c>
      <c r="AY46" s="118">
        <f t="shared" si="22"/>
        <v>-3.0000000001564331</v>
      </c>
      <c r="AZ46" s="118">
        <f t="shared" si="23"/>
        <v>3.1622776603093068</v>
      </c>
      <c r="BA46" s="116">
        <v>925.25400000000002</v>
      </c>
      <c r="BB46" s="116">
        <v>-3274.0030000000002</v>
      </c>
      <c r="BC46" s="118">
        <f t="shared" si="24"/>
        <v>-2.9999999999290594</v>
      </c>
      <c r="BD46" s="118">
        <f t="shared" si="25"/>
        <v>-1.0000000002037268</v>
      </c>
      <c r="BE46" s="118">
        <f t="shared" si="26"/>
        <v>3.1622776601655032</v>
      </c>
      <c r="BF46" s="127">
        <v>925.25300000000004</v>
      </c>
      <c r="BG46" s="127">
        <v>-3274.0060000000003</v>
      </c>
      <c r="BH46" s="118">
        <f t="shared" si="48"/>
        <v>-3.9999999999054126</v>
      </c>
      <c r="BI46" s="118">
        <f t="shared" si="49"/>
        <v>-4.0000000003601599</v>
      </c>
      <c r="BJ46" s="118">
        <f t="shared" si="50"/>
        <v>5.6568542496801681</v>
      </c>
      <c r="BK46" s="127">
        <v>925.25300000000004</v>
      </c>
      <c r="BL46" s="127">
        <v>-3274.0090000000005</v>
      </c>
      <c r="BM46" s="118">
        <f t="shared" si="51"/>
        <v>-3.9999999999054126</v>
      </c>
      <c r="BN46" s="118">
        <f t="shared" si="52"/>
        <v>-7.000000000516593</v>
      </c>
      <c r="BO46" s="118">
        <f t="shared" si="53"/>
        <v>8.0622577487001497</v>
      </c>
      <c r="BP46" s="127">
        <v>925.255</v>
      </c>
      <c r="BQ46" s="127">
        <v>-3274.0060000000003</v>
      </c>
      <c r="BR46" s="118">
        <f t="shared" si="33"/>
        <v>-1.9999999999527063</v>
      </c>
      <c r="BS46" s="118">
        <f t="shared" si="34"/>
        <v>-4.0000000003601599</v>
      </c>
      <c r="BT46" s="118">
        <f t="shared" si="35"/>
        <v>4.4721359553005655</v>
      </c>
      <c r="BU46" s="127">
        <v>925.25400000000002</v>
      </c>
      <c r="BV46" s="127">
        <v>-3274.0040000000004</v>
      </c>
      <c r="BW46" s="118">
        <f t="shared" si="36"/>
        <v>-2.9999999999290594</v>
      </c>
      <c r="BX46" s="118">
        <f t="shared" si="37"/>
        <v>-2.0000000004074536</v>
      </c>
      <c r="BY46" s="118">
        <f t="shared" si="38"/>
        <v>3.6055512756309778</v>
      </c>
      <c r="BZ46" s="115">
        <f t="shared" si="54"/>
        <v>37</v>
      </c>
    </row>
    <row r="47" spans="2:80" ht="15.95" customHeight="1" x14ac:dyDescent="0.25">
      <c r="B47" s="115">
        <v>38</v>
      </c>
      <c r="C47" s="186" t="s">
        <v>79</v>
      </c>
      <c r="D47" s="187"/>
      <c r="E47" s="117" t="s">
        <v>80</v>
      </c>
      <c r="F47" s="117" t="s">
        <v>80</v>
      </c>
      <c r="G47" s="117" t="s">
        <v>80</v>
      </c>
      <c r="H47" s="186" t="s">
        <v>79</v>
      </c>
      <c r="I47" s="187"/>
      <c r="J47" s="117" t="s">
        <v>80</v>
      </c>
      <c r="K47" s="117" t="s">
        <v>80</v>
      </c>
      <c r="L47" s="117" t="s">
        <v>80</v>
      </c>
      <c r="M47" s="186" t="s">
        <v>79</v>
      </c>
      <c r="N47" s="187"/>
      <c r="O47" s="117" t="s">
        <v>80</v>
      </c>
      <c r="P47" s="117" t="s">
        <v>80</v>
      </c>
      <c r="Q47" s="117" t="s">
        <v>80</v>
      </c>
      <c r="R47" s="186" t="str">
        <f t="shared" ref="R47:R48" si="61">M47</f>
        <v>нет конструкции</v>
      </c>
      <c r="S47" s="187"/>
      <c r="T47" s="118" t="s">
        <v>80</v>
      </c>
      <c r="U47" s="118" t="s">
        <v>80</v>
      </c>
      <c r="V47" s="118" t="s">
        <v>80</v>
      </c>
      <c r="W47" s="186" t="str">
        <f t="shared" si="59"/>
        <v>нет конструкции</v>
      </c>
      <c r="X47" s="187"/>
      <c r="Y47" s="118" t="s">
        <v>80</v>
      </c>
      <c r="Z47" s="118" t="s">
        <v>80</v>
      </c>
      <c r="AA47" s="118" t="s">
        <v>80</v>
      </c>
      <c r="AB47" s="189" t="str">
        <f t="shared" si="60"/>
        <v>нет конструкции</v>
      </c>
      <c r="AC47" s="190"/>
      <c r="AD47" s="118" t="s">
        <v>80</v>
      </c>
      <c r="AE47" s="118" t="s">
        <v>80</v>
      </c>
      <c r="AF47" s="118" t="s">
        <v>80</v>
      </c>
      <c r="AG47" s="116">
        <v>919.75900000000001</v>
      </c>
      <c r="AH47" s="116">
        <v>-3274.2049999999999</v>
      </c>
      <c r="AI47" s="118">
        <v>0</v>
      </c>
      <c r="AJ47" s="118">
        <v>0</v>
      </c>
      <c r="AK47" s="118">
        <v>0</v>
      </c>
      <c r="AL47" s="116">
        <v>919.75900000000001</v>
      </c>
      <c r="AM47" s="116">
        <v>-3274.201</v>
      </c>
      <c r="AN47" s="118">
        <f t="shared" si="55"/>
        <v>0</v>
      </c>
      <c r="AO47" s="118">
        <f t="shared" si="56"/>
        <v>3.9999999999054126</v>
      </c>
      <c r="AP47" s="118">
        <f t="shared" si="57"/>
        <v>3.9999999999054126</v>
      </c>
      <c r="AQ47" s="116">
        <v>919.76</v>
      </c>
      <c r="AR47" s="116">
        <v>-3274.1979999999999</v>
      </c>
      <c r="AS47" s="118">
        <f t="shared" si="18"/>
        <v>0.99999999997635314</v>
      </c>
      <c r="AT47" s="118">
        <f t="shared" si="19"/>
        <v>7.0000000000618456</v>
      </c>
      <c r="AU47" s="118">
        <f t="shared" si="20"/>
        <v>7.0710678119233554</v>
      </c>
      <c r="AV47" s="116">
        <v>919.75699999999995</v>
      </c>
      <c r="AW47" s="116">
        <v>-3274.1979999999999</v>
      </c>
      <c r="AX47" s="125">
        <f t="shared" si="21"/>
        <v>-2.0000000000663931</v>
      </c>
      <c r="AY47" s="118">
        <f t="shared" si="22"/>
        <v>7.0000000000618456</v>
      </c>
      <c r="AZ47" s="118">
        <f t="shared" si="23"/>
        <v>7.2801098893582239</v>
      </c>
      <c r="BA47" s="116">
        <v>919.75799999999992</v>
      </c>
      <c r="BB47" s="116">
        <v>-3274.2</v>
      </c>
      <c r="BC47" s="118">
        <f t="shared" si="24"/>
        <v>-1.00000000009004</v>
      </c>
      <c r="BD47" s="118">
        <f t="shared" si="25"/>
        <v>5.0000000001091394</v>
      </c>
      <c r="BE47" s="118">
        <f t="shared" si="26"/>
        <v>5.0990195137174634</v>
      </c>
      <c r="BF47" s="127">
        <v>919.75499999999988</v>
      </c>
      <c r="BG47" s="127">
        <v>-3274.203</v>
      </c>
      <c r="BH47" s="118">
        <f t="shared" si="48"/>
        <v>-4.0000000001327862</v>
      </c>
      <c r="BI47" s="118">
        <f t="shared" si="49"/>
        <v>1.9999999999527063</v>
      </c>
      <c r="BJ47" s="118">
        <f t="shared" si="50"/>
        <v>4.4721359550971966</v>
      </c>
      <c r="BK47" s="127">
        <v>919.75799999999992</v>
      </c>
      <c r="BL47" s="127">
        <v>-3274.2</v>
      </c>
      <c r="BM47" s="118">
        <f t="shared" si="51"/>
        <v>-1.00000000009004</v>
      </c>
      <c r="BN47" s="118">
        <f t="shared" si="52"/>
        <v>5.0000000001091394</v>
      </c>
      <c r="BO47" s="118">
        <f t="shared" si="53"/>
        <v>5.0990195137174634</v>
      </c>
      <c r="BP47" s="127">
        <v>919.75999999999988</v>
      </c>
      <c r="BQ47" s="127">
        <v>-3274.1989999999996</v>
      </c>
      <c r="BR47" s="118">
        <f t="shared" si="33"/>
        <v>0.9999999998626663</v>
      </c>
      <c r="BS47" s="118">
        <f t="shared" si="34"/>
        <v>6.0000000003128662</v>
      </c>
      <c r="BT47" s="118">
        <f t="shared" si="35"/>
        <v>6.0827625305842519</v>
      </c>
      <c r="BU47" s="127">
        <v>919.75799999999992</v>
      </c>
      <c r="BV47" s="127">
        <v>-3274.1979999999994</v>
      </c>
      <c r="BW47" s="118">
        <f t="shared" si="36"/>
        <v>-1.00000000009004</v>
      </c>
      <c r="BX47" s="118">
        <f t="shared" si="37"/>
        <v>7.000000000516593</v>
      </c>
      <c r="BY47" s="118">
        <f t="shared" si="38"/>
        <v>7.07106781238961</v>
      </c>
      <c r="BZ47" s="115">
        <f t="shared" si="54"/>
        <v>38</v>
      </c>
    </row>
    <row r="48" spans="2:80" ht="15.95" customHeight="1" x14ac:dyDescent="0.25">
      <c r="B48" s="115">
        <v>39</v>
      </c>
      <c r="C48" s="186" t="s">
        <v>79</v>
      </c>
      <c r="D48" s="187"/>
      <c r="E48" s="117" t="s">
        <v>80</v>
      </c>
      <c r="F48" s="117" t="s">
        <v>80</v>
      </c>
      <c r="G48" s="117" t="s">
        <v>80</v>
      </c>
      <c r="H48" s="186" t="s">
        <v>79</v>
      </c>
      <c r="I48" s="187"/>
      <c r="J48" s="117" t="s">
        <v>80</v>
      </c>
      <c r="K48" s="117" t="s">
        <v>80</v>
      </c>
      <c r="L48" s="117" t="s">
        <v>80</v>
      </c>
      <c r="M48" s="186" t="s">
        <v>79</v>
      </c>
      <c r="N48" s="187"/>
      <c r="O48" s="117" t="s">
        <v>80</v>
      </c>
      <c r="P48" s="117" t="s">
        <v>80</v>
      </c>
      <c r="Q48" s="117" t="s">
        <v>80</v>
      </c>
      <c r="R48" s="186" t="str">
        <f t="shared" si="61"/>
        <v>нет конструкции</v>
      </c>
      <c r="S48" s="187"/>
      <c r="T48" s="118" t="s">
        <v>80</v>
      </c>
      <c r="U48" s="118" t="s">
        <v>80</v>
      </c>
      <c r="V48" s="118" t="s">
        <v>80</v>
      </c>
      <c r="W48" s="186" t="str">
        <f t="shared" si="59"/>
        <v>нет конструкции</v>
      </c>
      <c r="X48" s="187"/>
      <c r="Y48" s="118" t="s">
        <v>80</v>
      </c>
      <c r="Z48" s="118" t="s">
        <v>80</v>
      </c>
      <c r="AA48" s="118" t="s">
        <v>80</v>
      </c>
      <c r="AB48" s="189" t="str">
        <f t="shared" si="60"/>
        <v>нет конструкции</v>
      </c>
      <c r="AC48" s="190"/>
      <c r="AD48" s="118" t="s">
        <v>80</v>
      </c>
      <c r="AE48" s="118" t="s">
        <v>80</v>
      </c>
      <c r="AF48" s="118" t="s">
        <v>80</v>
      </c>
      <c r="AG48" s="116">
        <v>917.02200000000005</v>
      </c>
      <c r="AH48" s="116">
        <v>-3274.3090000000002</v>
      </c>
      <c r="AI48" s="118">
        <v>0</v>
      </c>
      <c r="AJ48" s="118">
        <v>0</v>
      </c>
      <c r="AK48" s="118">
        <v>0</v>
      </c>
      <c r="AL48" s="116">
        <v>917.024</v>
      </c>
      <c r="AM48" s="116">
        <v>-3274.306</v>
      </c>
      <c r="AN48" s="118">
        <f t="shared" si="55"/>
        <v>1.9999999999527063</v>
      </c>
      <c r="AO48" s="118">
        <f t="shared" si="56"/>
        <v>3.0000000001564331</v>
      </c>
      <c r="AP48" s="118">
        <f t="shared" si="57"/>
        <v>3.6055512755679158</v>
      </c>
      <c r="AQ48" s="116">
        <v>917.024</v>
      </c>
      <c r="AR48" s="116">
        <v>-3274.308</v>
      </c>
      <c r="AS48" s="118">
        <f t="shared" si="18"/>
        <v>1.9999999999527063</v>
      </c>
      <c r="AT48" s="118">
        <f t="shared" si="19"/>
        <v>1.0000000002037268</v>
      </c>
      <c r="AU48" s="118">
        <f t="shared" si="20"/>
        <v>2.2360679775485983</v>
      </c>
      <c r="AV48" s="116">
        <v>917.024</v>
      </c>
      <c r="AW48" s="116">
        <v>-3274.3090000000002</v>
      </c>
      <c r="AX48" s="125">
        <f t="shared" si="21"/>
        <v>1.9999999999527063</v>
      </c>
      <c r="AY48" s="118">
        <f t="shared" si="22"/>
        <v>0</v>
      </c>
      <c r="AZ48" s="118">
        <f t="shared" si="23"/>
        <v>1.9999999999527063</v>
      </c>
      <c r="BA48" s="116">
        <v>917.02700000000004</v>
      </c>
      <c r="BB48" s="116">
        <v>-3274.3120000000004</v>
      </c>
      <c r="BC48" s="118">
        <f t="shared" si="24"/>
        <v>4.9999999999954525</v>
      </c>
      <c r="BD48" s="118">
        <f t="shared" si="25"/>
        <v>-3.0000000001564331</v>
      </c>
      <c r="BE48" s="118">
        <f t="shared" si="26"/>
        <v>5.8309518949218848</v>
      </c>
      <c r="BF48" s="127">
        <v>917.024</v>
      </c>
      <c r="BG48" s="127">
        <v>-3274.3080000000004</v>
      </c>
      <c r="BH48" s="118">
        <f t="shared" si="48"/>
        <v>1.9999999999527063</v>
      </c>
      <c r="BI48" s="118">
        <f t="shared" si="49"/>
        <v>0.99999999974897946</v>
      </c>
      <c r="BJ48" s="118">
        <f t="shared" si="50"/>
        <v>2.236067977345229</v>
      </c>
      <c r="BK48" s="127">
        <v>917.02300000000002</v>
      </c>
      <c r="BL48" s="127">
        <v>-3274.3080000000004</v>
      </c>
      <c r="BM48" s="118">
        <f t="shared" si="51"/>
        <v>0.99999999997635314</v>
      </c>
      <c r="BN48" s="118">
        <f t="shared" si="52"/>
        <v>0.99999999974897946</v>
      </c>
      <c r="BO48" s="118">
        <f t="shared" si="53"/>
        <v>1.4142135621788758</v>
      </c>
      <c r="BP48" s="127">
        <v>917.02100000000007</v>
      </c>
      <c r="BQ48" s="127">
        <v>-3274.3090000000007</v>
      </c>
      <c r="BR48" s="118">
        <f t="shared" si="33"/>
        <v>-0.99999999997635314</v>
      </c>
      <c r="BS48" s="118">
        <f t="shared" si="34"/>
        <v>-4.5474735088646412E-10</v>
      </c>
      <c r="BT48" s="118">
        <f t="shared" si="35"/>
        <v>0.99999999997635314</v>
      </c>
      <c r="BU48" s="127">
        <v>917.02300000000002</v>
      </c>
      <c r="BV48" s="127">
        <v>-3274.3080000000004</v>
      </c>
      <c r="BW48" s="118">
        <f t="shared" si="36"/>
        <v>0.99999999997635314</v>
      </c>
      <c r="BX48" s="118">
        <f t="shared" si="37"/>
        <v>0.99999999974897946</v>
      </c>
      <c r="BY48" s="118">
        <f t="shared" si="38"/>
        <v>1.4142135621788758</v>
      </c>
      <c r="BZ48" s="115">
        <f t="shared" si="54"/>
        <v>39</v>
      </c>
    </row>
    <row r="49" spans="2:78" ht="15.95" customHeight="1" x14ac:dyDescent="0.25">
      <c r="B49" s="115">
        <v>40</v>
      </c>
      <c r="C49" s="186" t="s">
        <v>79</v>
      </c>
      <c r="D49" s="187"/>
      <c r="E49" s="117" t="s">
        <v>80</v>
      </c>
      <c r="F49" s="117" t="s">
        <v>80</v>
      </c>
      <c r="G49" s="117" t="s">
        <v>80</v>
      </c>
      <c r="H49" s="186" t="s">
        <v>79</v>
      </c>
      <c r="I49" s="187"/>
      <c r="J49" s="117" t="s">
        <v>80</v>
      </c>
      <c r="K49" s="117" t="s">
        <v>80</v>
      </c>
      <c r="L49" s="117" t="s">
        <v>80</v>
      </c>
      <c r="M49" s="186" t="s">
        <v>79</v>
      </c>
      <c r="N49" s="187"/>
      <c r="O49" s="117" t="s">
        <v>80</v>
      </c>
      <c r="P49" s="117" t="s">
        <v>80</v>
      </c>
      <c r="Q49" s="117" t="s">
        <v>80</v>
      </c>
      <c r="R49" s="186" t="str">
        <f>M49</f>
        <v>нет конструкции</v>
      </c>
      <c r="S49" s="187"/>
      <c r="T49" s="118" t="s">
        <v>80</v>
      </c>
      <c r="U49" s="118" t="s">
        <v>80</v>
      </c>
      <c r="V49" s="118" t="s">
        <v>80</v>
      </c>
      <c r="W49" s="186" t="str">
        <f t="shared" si="59"/>
        <v>нет конструкции</v>
      </c>
      <c r="X49" s="187"/>
      <c r="Y49" s="118" t="s">
        <v>80</v>
      </c>
      <c r="Z49" s="118" t="s">
        <v>80</v>
      </c>
      <c r="AA49" s="118" t="s">
        <v>80</v>
      </c>
      <c r="AB49" s="189" t="str">
        <f t="shared" si="60"/>
        <v>нет конструкции</v>
      </c>
      <c r="AC49" s="190"/>
      <c r="AD49" s="118" t="s">
        <v>80</v>
      </c>
      <c r="AE49" s="118" t="s">
        <v>80</v>
      </c>
      <c r="AF49" s="118" t="s">
        <v>80</v>
      </c>
      <c r="AG49" s="116">
        <v>911.048</v>
      </c>
      <c r="AH49" s="116">
        <v>-3274.52</v>
      </c>
      <c r="AI49" s="118">
        <v>0</v>
      </c>
      <c r="AJ49" s="118">
        <v>0</v>
      </c>
      <c r="AK49" s="118">
        <v>0</v>
      </c>
      <c r="AL49" s="116">
        <v>911.04600000000005</v>
      </c>
      <c r="AM49" s="116">
        <v>-3274.5160000000001</v>
      </c>
      <c r="AN49" s="118">
        <f t="shared" si="55"/>
        <v>-1.9999999999527063</v>
      </c>
      <c r="AO49" s="118">
        <f t="shared" si="56"/>
        <v>3.9999999999054126</v>
      </c>
      <c r="AP49" s="118">
        <f t="shared" si="57"/>
        <v>4.4721359548938278</v>
      </c>
      <c r="AQ49" s="116">
        <v>911.04300000000012</v>
      </c>
      <c r="AR49" s="116">
        <v>-3274.5160000000001</v>
      </c>
      <c r="AS49" s="118">
        <f t="shared" si="18"/>
        <v>-4.9999999998817657</v>
      </c>
      <c r="AT49" s="118">
        <f t="shared" si="19"/>
        <v>3.9999999999054126</v>
      </c>
      <c r="AU49" s="118">
        <f t="shared" si="20"/>
        <v>6.4031242372814345</v>
      </c>
      <c r="AV49" s="116">
        <v>911.0440000000001</v>
      </c>
      <c r="AW49" s="116">
        <v>-3274.5190000000002</v>
      </c>
      <c r="AX49" s="125">
        <f t="shared" si="21"/>
        <v>-3.9999999999054126</v>
      </c>
      <c r="AY49" s="118">
        <f t="shared" si="22"/>
        <v>0.99999999974897946</v>
      </c>
      <c r="AZ49" s="118">
        <f t="shared" si="23"/>
        <v>4.1231056254650156</v>
      </c>
      <c r="BA49" s="116">
        <v>911.04700000000014</v>
      </c>
      <c r="BB49" s="116">
        <v>-3274.5170000000003</v>
      </c>
      <c r="BC49" s="118">
        <f t="shared" si="24"/>
        <v>-0.9999999998626663</v>
      </c>
      <c r="BD49" s="118">
        <f t="shared" si="25"/>
        <v>2.9999999997016857</v>
      </c>
      <c r="BE49" s="118">
        <f t="shared" si="26"/>
        <v>3.1622776598419446</v>
      </c>
      <c r="BF49" s="127">
        <v>911.04600000000016</v>
      </c>
      <c r="BG49" s="127">
        <v>-3274.5180000000005</v>
      </c>
      <c r="BH49" s="118">
        <f t="shared" si="48"/>
        <v>-1.9999999998390194</v>
      </c>
      <c r="BI49" s="118">
        <f t="shared" si="49"/>
        <v>1.9999999994979589</v>
      </c>
      <c r="BJ49" s="118">
        <f t="shared" si="50"/>
        <v>2.8284271242773631</v>
      </c>
      <c r="BK49" s="127">
        <v>911.04600000000016</v>
      </c>
      <c r="BL49" s="127">
        <v>-3274.5200000000004</v>
      </c>
      <c r="BM49" s="118">
        <f t="shared" si="51"/>
        <v>-1.9999999998390194</v>
      </c>
      <c r="BN49" s="118">
        <f t="shared" si="52"/>
        <v>-4.5474735088646412E-10</v>
      </c>
      <c r="BO49" s="118">
        <f t="shared" si="53"/>
        <v>1.9999999998390194</v>
      </c>
      <c r="BP49" s="127">
        <v>911.04600000000016</v>
      </c>
      <c r="BQ49" s="127">
        <v>-3274.5190000000002</v>
      </c>
      <c r="BR49" s="118">
        <f t="shared" si="33"/>
        <v>-1.9999999998390194</v>
      </c>
      <c r="BS49" s="118">
        <f t="shared" si="34"/>
        <v>0.99999999974897946</v>
      </c>
      <c r="BT49" s="118">
        <f t="shared" si="35"/>
        <v>2.2360679772435446</v>
      </c>
      <c r="BU49" s="127">
        <v>911.04600000000016</v>
      </c>
      <c r="BV49" s="127">
        <v>-3274.5190000000002</v>
      </c>
      <c r="BW49" s="118">
        <f t="shared" si="36"/>
        <v>-1.9999999998390194</v>
      </c>
      <c r="BX49" s="118">
        <f t="shared" si="37"/>
        <v>0.99999999974897946</v>
      </c>
      <c r="BY49" s="118">
        <f t="shared" si="38"/>
        <v>2.2360679772435446</v>
      </c>
      <c r="BZ49" s="115">
        <f t="shared" si="54"/>
        <v>40</v>
      </c>
    </row>
    <row r="50" spans="2:78" ht="15.95" customHeight="1" x14ac:dyDescent="0.25">
      <c r="B50" s="115">
        <v>41</v>
      </c>
      <c r="C50" s="186" t="s">
        <v>79</v>
      </c>
      <c r="D50" s="187"/>
      <c r="E50" s="117" t="s">
        <v>80</v>
      </c>
      <c r="F50" s="117" t="s">
        <v>80</v>
      </c>
      <c r="G50" s="117" t="s">
        <v>80</v>
      </c>
      <c r="H50" s="186" t="s">
        <v>79</v>
      </c>
      <c r="I50" s="187"/>
      <c r="J50" s="117" t="s">
        <v>80</v>
      </c>
      <c r="K50" s="117" t="s">
        <v>80</v>
      </c>
      <c r="L50" s="117" t="s">
        <v>80</v>
      </c>
      <c r="M50" s="186" t="s">
        <v>79</v>
      </c>
      <c r="N50" s="187"/>
      <c r="O50" s="117" t="s">
        <v>80</v>
      </c>
      <c r="P50" s="117" t="s">
        <v>80</v>
      </c>
      <c r="Q50" s="117" t="s">
        <v>80</v>
      </c>
      <c r="R50" s="186" t="str">
        <f t="shared" ref="R50" si="62">M50</f>
        <v>нет конструкции</v>
      </c>
      <c r="S50" s="187"/>
      <c r="T50" s="118" t="s">
        <v>80</v>
      </c>
      <c r="U50" s="118" t="s">
        <v>80</v>
      </c>
      <c r="V50" s="118" t="s">
        <v>80</v>
      </c>
      <c r="W50" s="186" t="str">
        <f t="shared" si="59"/>
        <v>нет конструкции</v>
      </c>
      <c r="X50" s="187"/>
      <c r="Y50" s="118" t="s">
        <v>80</v>
      </c>
      <c r="Z50" s="118" t="s">
        <v>80</v>
      </c>
      <c r="AA50" s="118" t="s">
        <v>80</v>
      </c>
      <c r="AB50" s="189" t="str">
        <f t="shared" si="60"/>
        <v>нет конструкции</v>
      </c>
      <c r="AC50" s="190"/>
      <c r="AD50" s="118" t="s">
        <v>80</v>
      </c>
      <c r="AE50" s="118" t="s">
        <v>80</v>
      </c>
      <c r="AF50" s="118" t="s">
        <v>80</v>
      </c>
      <c r="AG50" s="116">
        <v>905.06399999999996</v>
      </c>
      <c r="AH50" s="116">
        <v>-3274.6979999999999</v>
      </c>
      <c r="AI50" s="118">
        <v>0</v>
      </c>
      <c r="AJ50" s="118">
        <v>0</v>
      </c>
      <c r="AK50" s="118">
        <v>0</v>
      </c>
      <c r="AL50" s="116">
        <v>905.06700000000001</v>
      </c>
      <c r="AM50" s="116">
        <v>-3274.6969999999997</v>
      </c>
      <c r="AN50" s="118">
        <f t="shared" si="55"/>
        <v>3.0000000000427463</v>
      </c>
      <c r="AO50" s="118">
        <f t="shared" si="56"/>
        <v>1.0000000002037268</v>
      </c>
      <c r="AP50" s="118">
        <f t="shared" si="57"/>
        <v>3.162277660273356</v>
      </c>
      <c r="AQ50" s="116">
        <v>905.06299999999999</v>
      </c>
      <c r="AR50" s="116">
        <v>-3274.7</v>
      </c>
      <c r="AS50" s="118">
        <f t="shared" si="18"/>
        <v>-0.99999999997635314</v>
      </c>
      <c r="AT50" s="118">
        <f t="shared" si="19"/>
        <v>-1.9999999999527063</v>
      </c>
      <c r="AU50" s="118">
        <f t="shared" si="20"/>
        <v>2.2360679774469139</v>
      </c>
      <c r="AV50" s="116">
        <v>905.06100000000004</v>
      </c>
      <c r="AW50" s="116">
        <v>-3274.6959999999999</v>
      </c>
      <c r="AX50" s="125">
        <f t="shared" si="21"/>
        <v>-2.9999999999290594</v>
      </c>
      <c r="AY50" s="118">
        <f t="shared" si="22"/>
        <v>1.9999999999527063</v>
      </c>
      <c r="AZ50" s="118">
        <f t="shared" si="23"/>
        <v>3.6055512753787293</v>
      </c>
      <c r="BA50" s="116">
        <v>905.06200000000001</v>
      </c>
      <c r="BB50" s="116">
        <v>-3274.6990000000001</v>
      </c>
      <c r="BC50" s="118">
        <f t="shared" si="24"/>
        <v>-1.9999999999527063</v>
      </c>
      <c r="BD50" s="118">
        <f t="shared" si="25"/>
        <v>-1.0000000002037268</v>
      </c>
      <c r="BE50" s="118">
        <f t="shared" si="26"/>
        <v>2.2360679775485983</v>
      </c>
      <c r="BF50" s="127">
        <v>905.06299999999999</v>
      </c>
      <c r="BG50" s="127">
        <v>-3274.7000000000003</v>
      </c>
      <c r="BH50" s="118">
        <f t="shared" si="48"/>
        <v>-0.99999999997635314</v>
      </c>
      <c r="BI50" s="118">
        <f t="shared" si="49"/>
        <v>-2.0000000004074536</v>
      </c>
      <c r="BJ50" s="118">
        <f t="shared" si="50"/>
        <v>2.2360679778536521</v>
      </c>
      <c r="BK50" s="127">
        <v>905.06299999999999</v>
      </c>
      <c r="BL50" s="127">
        <v>-3274.7000000000003</v>
      </c>
      <c r="BM50" s="118">
        <f t="shared" si="51"/>
        <v>-0.99999999997635314</v>
      </c>
      <c r="BN50" s="118">
        <f t="shared" si="52"/>
        <v>-2.0000000004074536</v>
      </c>
      <c r="BO50" s="118">
        <f t="shared" si="53"/>
        <v>2.2360679778536521</v>
      </c>
      <c r="BP50" s="127">
        <v>905.06499999999994</v>
      </c>
      <c r="BQ50" s="127">
        <v>-3274.6990000000001</v>
      </c>
      <c r="BR50" s="118">
        <f t="shared" si="33"/>
        <v>0.99999999997635314</v>
      </c>
      <c r="BS50" s="118">
        <f t="shared" si="34"/>
        <v>-1.0000000002037268</v>
      </c>
      <c r="BT50" s="118">
        <f t="shared" si="35"/>
        <v>1.4142135625004308</v>
      </c>
      <c r="BU50" s="127">
        <v>905.06299999999999</v>
      </c>
      <c r="BV50" s="127">
        <v>-3274.701</v>
      </c>
      <c r="BW50" s="118">
        <f t="shared" si="36"/>
        <v>-0.99999999997635314</v>
      </c>
      <c r="BX50" s="118">
        <f t="shared" si="37"/>
        <v>-3.0000000001564331</v>
      </c>
      <c r="BY50" s="118">
        <f t="shared" si="38"/>
        <v>3.1622776603093068</v>
      </c>
      <c r="BZ50" s="115">
        <f t="shared" si="54"/>
        <v>41</v>
      </c>
    </row>
    <row r="51" spans="2:78" ht="15.95" customHeight="1" x14ac:dyDescent="0.25">
      <c r="B51" s="115">
        <v>42</v>
      </c>
      <c r="C51" s="186" t="s">
        <v>79</v>
      </c>
      <c r="D51" s="187"/>
      <c r="E51" s="117" t="s">
        <v>80</v>
      </c>
      <c r="F51" s="117" t="s">
        <v>80</v>
      </c>
      <c r="G51" s="117" t="s">
        <v>80</v>
      </c>
      <c r="H51" s="186" t="s">
        <v>79</v>
      </c>
      <c r="I51" s="187"/>
      <c r="J51" s="117" t="s">
        <v>80</v>
      </c>
      <c r="K51" s="117" t="s">
        <v>80</v>
      </c>
      <c r="L51" s="117" t="s">
        <v>80</v>
      </c>
      <c r="M51" s="186" t="s">
        <v>79</v>
      </c>
      <c r="N51" s="187"/>
      <c r="O51" s="117" t="s">
        <v>80</v>
      </c>
      <c r="P51" s="117" t="s">
        <v>80</v>
      </c>
      <c r="Q51" s="117" t="s">
        <v>80</v>
      </c>
      <c r="R51" s="186" t="str">
        <f>M51</f>
        <v>нет конструкции</v>
      </c>
      <c r="S51" s="187"/>
      <c r="T51" s="118" t="s">
        <v>80</v>
      </c>
      <c r="U51" s="118" t="s">
        <v>80</v>
      </c>
      <c r="V51" s="118" t="s">
        <v>80</v>
      </c>
      <c r="W51" s="186" t="str">
        <f t="shared" si="59"/>
        <v>нет конструкции</v>
      </c>
      <c r="X51" s="187"/>
      <c r="Y51" s="118" t="s">
        <v>80</v>
      </c>
      <c r="Z51" s="118" t="s">
        <v>80</v>
      </c>
      <c r="AA51" s="118" t="s">
        <v>80</v>
      </c>
      <c r="AB51" s="189" t="str">
        <f t="shared" si="60"/>
        <v>нет конструкции</v>
      </c>
      <c r="AC51" s="190"/>
      <c r="AD51" s="118" t="s">
        <v>80</v>
      </c>
      <c r="AE51" s="118" t="s">
        <v>80</v>
      </c>
      <c r="AF51" s="118" t="s">
        <v>80</v>
      </c>
      <c r="AG51" s="116">
        <v>899.33500000000004</v>
      </c>
      <c r="AH51" s="116">
        <v>-3274.8690000000001</v>
      </c>
      <c r="AI51" s="118">
        <v>0</v>
      </c>
      <c r="AJ51" s="118">
        <v>0</v>
      </c>
      <c r="AK51" s="118">
        <v>0</v>
      </c>
      <c r="AL51" s="116">
        <v>899.33500000000004</v>
      </c>
      <c r="AM51" s="116">
        <v>-3274.8670000000002</v>
      </c>
      <c r="AN51" s="118">
        <f t="shared" si="55"/>
        <v>0</v>
      </c>
      <c r="AO51" s="118">
        <f t="shared" si="56"/>
        <v>1.9999999999527063</v>
      </c>
      <c r="AP51" s="118">
        <f t="shared" si="57"/>
        <v>1.9999999999527063</v>
      </c>
      <c r="AQ51" s="116">
        <v>899.33600000000001</v>
      </c>
      <c r="AR51" s="116">
        <v>-3274.8630000000003</v>
      </c>
      <c r="AS51" s="118">
        <f t="shared" si="18"/>
        <v>0.99999999997635314</v>
      </c>
      <c r="AT51" s="118">
        <f t="shared" si="19"/>
        <v>5.9999999998581188</v>
      </c>
      <c r="AU51" s="118">
        <f t="shared" si="20"/>
        <v>6.0827625301543815</v>
      </c>
      <c r="AV51" s="116">
        <v>899.33299999999997</v>
      </c>
      <c r="AW51" s="116">
        <v>-3274.8630000000003</v>
      </c>
      <c r="AX51" s="125">
        <f t="shared" si="21"/>
        <v>-2.0000000000663931</v>
      </c>
      <c r="AY51" s="118">
        <f t="shared" si="22"/>
        <v>5.9999999998581188</v>
      </c>
      <c r="AZ51" s="118">
        <f t="shared" si="23"/>
        <v>6.3245553202231539</v>
      </c>
      <c r="BA51" s="116">
        <v>899.33399999999995</v>
      </c>
      <c r="BB51" s="116">
        <v>-3274.8620000000001</v>
      </c>
      <c r="BC51" s="118">
        <f t="shared" si="24"/>
        <v>-1.00000000009004</v>
      </c>
      <c r="BD51" s="118">
        <f t="shared" si="25"/>
        <v>7.0000000000618456</v>
      </c>
      <c r="BE51" s="118">
        <f t="shared" si="26"/>
        <v>7.0710678119394332</v>
      </c>
      <c r="BF51" s="127">
        <v>899.33499999999992</v>
      </c>
      <c r="BG51" s="127">
        <v>-3274.8620000000001</v>
      </c>
      <c r="BH51" s="118">
        <f t="shared" si="48"/>
        <v>-1.1368683772161603E-10</v>
      </c>
      <c r="BI51" s="118">
        <f t="shared" si="49"/>
        <v>7.0000000000618456</v>
      </c>
      <c r="BJ51" s="118">
        <f t="shared" si="50"/>
        <v>7.0000000000618456</v>
      </c>
      <c r="BK51" s="127">
        <v>899.33699999999988</v>
      </c>
      <c r="BL51" s="127">
        <v>-3274.8620000000001</v>
      </c>
      <c r="BM51" s="118">
        <f t="shared" si="51"/>
        <v>1.9999999998390194</v>
      </c>
      <c r="BN51" s="118">
        <f t="shared" si="52"/>
        <v>7.0000000000618456</v>
      </c>
      <c r="BO51" s="118">
        <f t="shared" si="53"/>
        <v>7.2801098892957592</v>
      </c>
      <c r="BP51" s="127">
        <v>899.33399999999983</v>
      </c>
      <c r="BQ51" s="127">
        <v>-3274.864</v>
      </c>
      <c r="BR51" s="118">
        <f t="shared" si="33"/>
        <v>-1.0000000002037268</v>
      </c>
      <c r="BS51" s="118">
        <f t="shared" si="34"/>
        <v>5.0000000001091394</v>
      </c>
      <c r="BT51" s="118">
        <f t="shared" si="35"/>
        <v>5.0990195137397585</v>
      </c>
      <c r="BU51" s="127">
        <v>899.33399999999983</v>
      </c>
      <c r="BV51" s="127">
        <v>-3274.8629999999998</v>
      </c>
      <c r="BW51" s="118">
        <f t="shared" si="36"/>
        <v>-1.0000000002037268</v>
      </c>
      <c r="BX51" s="118">
        <f t="shared" si="37"/>
        <v>6.0000000003128662</v>
      </c>
      <c r="BY51" s="118">
        <f t="shared" si="38"/>
        <v>6.0827625306403217</v>
      </c>
      <c r="BZ51" s="115">
        <f t="shared" si="54"/>
        <v>42</v>
      </c>
    </row>
    <row r="52" spans="2:78" ht="15.95" customHeight="1" x14ac:dyDescent="0.25">
      <c r="B52" s="115">
        <v>43</v>
      </c>
      <c r="C52" s="186" t="s">
        <v>79</v>
      </c>
      <c r="D52" s="187"/>
      <c r="E52" s="117" t="s">
        <v>80</v>
      </c>
      <c r="F52" s="117" t="s">
        <v>80</v>
      </c>
      <c r="G52" s="117" t="s">
        <v>80</v>
      </c>
      <c r="H52" s="186" t="s">
        <v>79</v>
      </c>
      <c r="I52" s="187"/>
      <c r="J52" s="117" t="s">
        <v>80</v>
      </c>
      <c r="K52" s="117" t="s">
        <v>80</v>
      </c>
      <c r="L52" s="117" t="s">
        <v>80</v>
      </c>
      <c r="M52" s="186" t="s">
        <v>79</v>
      </c>
      <c r="N52" s="187"/>
      <c r="O52" s="117" t="s">
        <v>80</v>
      </c>
      <c r="P52" s="117" t="s">
        <v>80</v>
      </c>
      <c r="Q52" s="117" t="s">
        <v>80</v>
      </c>
      <c r="R52" s="186" t="str">
        <f>M52</f>
        <v>нет конструкции</v>
      </c>
      <c r="S52" s="187"/>
      <c r="T52" s="118" t="s">
        <v>80</v>
      </c>
      <c r="U52" s="118" t="s">
        <v>80</v>
      </c>
      <c r="V52" s="118" t="s">
        <v>80</v>
      </c>
      <c r="W52" s="186" t="str">
        <f t="shared" si="59"/>
        <v>нет конструкции</v>
      </c>
      <c r="X52" s="187"/>
      <c r="Y52" s="118" t="s">
        <v>80</v>
      </c>
      <c r="Z52" s="118" t="s">
        <v>80</v>
      </c>
      <c r="AA52" s="118" t="s">
        <v>80</v>
      </c>
      <c r="AB52" s="189" t="str">
        <f t="shared" si="60"/>
        <v>нет конструкции</v>
      </c>
      <c r="AC52" s="190"/>
      <c r="AD52" s="118" t="s">
        <v>80</v>
      </c>
      <c r="AE52" s="118" t="s">
        <v>80</v>
      </c>
      <c r="AF52" s="118" t="s">
        <v>80</v>
      </c>
      <c r="AG52" s="116">
        <v>893.24300000000005</v>
      </c>
      <c r="AH52" s="116">
        <v>-3275.0929999999998</v>
      </c>
      <c r="AI52" s="118">
        <v>0</v>
      </c>
      <c r="AJ52" s="118">
        <v>0</v>
      </c>
      <c r="AK52" s="118">
        <v>0</v>
      </c>
      <c r="AL52" s="116">
        <v>893.2410000000001</v>
      </c>
      <c r="AM52" s="116">
        <v>-3275.0899999999997</v>
      </c>
      <c r="AN52" s="118">
        <f t="shared" si="55"/>
        <v>-1.9999999999527063</v>
      </c>
      <c r="AO52" s="118">
        <f t="shared" si="56"/>
        <v>3.0000000001564331</v>
      </c>
      <c r="AP52" s="118">
        <f t="shared" si="57"/>
        <v>3.6055512755679158</v>
      </c>
      <c r="AQ52" s="116">
        <v>893.2410000000001</v>
      </c>
      <c r="AR52" s="116">
        <v>-3275.0859999999998</v>
      </c>
      <c r="AS52" s="118">
        <f t="shared" si="18"/>
        <v>-1.9999999999527063</v>
      </c>
      <c r="AT52" s="118">
        <f t="shared" si="19"/>
        <v>7.0000000000618456</v>
      </c>
      <c r="AU52" s="118">
        <f t="shared" si="20"/>
        <v>7.280109889326992</v>
      </c>
      <c r="AV52" s="116">
        <v>893.23900000000015</v>
      </c>
      <c r="AW52" s="116">
        <v>-3275.0829999999996</v>
      </c>
      <c r="AX52" s="125">
        <f t="shared" si="21"/>
        <v>-3.9999999999054126</v>
      </c>
      <c r="AY52" s="118">
        <f t="shared" si="22"/>
        <v>10.000000000218279</v>
      </c>
      <c r="AZ52" s="118">
        <f t="shared" si="23"/>
        <v>10.770329614436546</v>
      </c>
      <c r="BA52" s="116">
        <v>893.23700000000019</v>
      </c>
      <c r="BB52" s="116">
        <v>-3275.0809999999997</v>
      </c>
      <c r="BC52" s="118">
        <f t="shared" si="24"/>
        <v>-5.9999999998581188</v>
      </c>
      <c r="BD52" s="118">
        <f t="shared" si="25"/>
        <v>12.000000000170985</v>
      </c>
      <c r="BE52" s="118">
        <f t="shared" si="26"/>
        <v>13.416407865088221</v>
      </c>
      <c r="BF52" s="127">
        <v>893.23500000000024</v>
      </c>
      <c r="BG52" s="127">
        <v>-3275.0839999999998</v>
      </c>
      <c r="BH52" s="118">
        <f t="shared" si="48"/>
        <v>-7.9999999998108251</v>
      </c>
      <c r="BI52" s="118">
        <f t="shared" si="49"/>
        <v>9.0000000000145519</v>
      </c>
      <c r="BJ52" s="118">
        <f t="shared" si="50"/>
        <v>12.041594578677492</v>
      </c>
      <c r="BK52" s="127">
        <v>893.23700000000019</v>
      </c>
      <c r="BL52" s="127">
        <v>-3275.0819999999999</v>
      </c>
      <c r="BM52" s="118">
        <f t="shared" si="51"/>
        <v>-5.9999999998581188</v>
      </c>
      <c r="BN52" s="118">
        <f t="shared" si="52"/>
        <v>10.999999999967258</v>
      </c>
      <c r="BO52" s="118">
        <f t="shared" si="53"/>
        <v>12.529964086044984</v>
      </c>
      <c r="BP52" s="127">
        <v>893.23500000000024</v>
      </c>
      <c r="BQ52" s="127">
        <v>-3275.08</v>
      </c>
      <c r="BR52" s="118">
        <f t="shared" si="33"/>
        <v>-7.9999999998108251</v>
      </c>
      <c r="BS52" s="118">
        <f t="shared" si="34"/>
        <v>12.999999999919964</v>
      </c>
      <c r="BT52" s="118">
        <f t="shared" si="35"/>
        <v>15.264337522306439</v>
      </c>
      <c r="BU52" s="127">
        <v>893.23300000000029</v>
      </c>
      <c r="BV52" s="127">
        <v>-3275.0769999999998</v>
      </c>
      <c r="BW52" s="118">
        <f t="shared" si="36"/>
        <v>-9.9999999997635314</v>
      </c>
      <c r="BX52" s="118">
        <f t="shared" si="37"/>
        <v>16.000000000076398</v>
      </c>
      <c r="BY52" s="118">
        <f t="shared" si="38"/>
        <v>18.867962264052665</v>
      </c>
      <c r="BZ52" s="115">
        <f t="shared" si="54"/>
        <v>43</v>
      </c>
    </row>
    <row r="53" spans="2:78" ht="15.95" customHeight="1" x14ac:dyDescent="0.25">
      <c r="B53" s="115">
        <v>44</v>
      </c>
      <c r="C53" s="186" t="s">
        <v>79</v>
      </c>
      <c r="D53" s="187"/>
      <c r="E53" s="117" t="s">
        <v>80</v>
      </c>
      <c r="F53" s="117" t="s">
        <v>80</v>
      </c>
      <c r="G53" s="117" t="s">
        <v>80</v>
      </c>
      <c r="H53" s="186" t="s">
        <v>79</v>
      </c>
      <c r="I53" s="187"/>
      <c r="J53" s="117" t="s">
        <v>80</v>
      </c>
      <c r="K53" s="117" t="s">
        <v>80</v>
      </c>
      <c r="L53" s="117" t="s">
        <v>80</v>
      </c>
      <c r="M53" s="186" t="s">
        <v>79</v>
      </c>
      <c r="N53" s="187"/>
      <c r="O53" s="117" t="s">
        <v>80</v>
      </c>
      <c r="P53" s="117" t="s">
        <v>80</v>
      </c>
      <c r="Q53" s="117" t="s">
        <v>80</v>
      </c>
      <c r="R53" s="186" t="str">
        <f>M53</f>
        <v>нет конструкции</v>
      </c>
      <c r="S53" s="187"/>
      <c r="T53" s="118" t="s">
        <v>80</v>
      </c>
      <c r="U53" s="118" t="s">
        <v>80</v>
      </c>
      <c r="V53" s="118" t="s">
        <v>80</v>
      </c>
      <c r="W53" s="186" t="str">
        <f t="shared" si="59"/>
        <v>нет конструкции</v>
      </c>
      <c r="X53" s="187"/>
      <c r="Y53" s="118" t="s">
        <v>80</v>
      </c>
      <c r="Z53" s="118" t="s">
        <v>80</v>
      </c>
      <c r="AA53" s="118" t="s">
        <v>80</v>
      </c>
      <c r="AB53" s="189" t="str">
        <f t="shared" si="60"/>
        <v>нет конструкции</v>
      </c>
      <c r="AC53" s="190"/>
      <c r="AD53" s="118" t="s">
        <v>80</v>
      </c>
      <c r="AE53" s="118" t="s">
        <v>80</v>
      </c>
      <c r="AF53" s="118" t="s">
        <v>80</v>
      </c>
      <c r="AG53" s="116">
        <v>887.53399999999999</v>
      </c>
      <c r="AH53" s="116">
        <v>-3275.2979999999998</v>
      </c>
      <c r="AI53" s="118">
        <v>0</v>
      </c>
      <c r="AJ53" s="118">
        <v>0</v>
      </c>
      <c r="AK53" s="118">
        <v>0</v>
      </c>
      <c r="AL53" s="116">
        <v>887.53399999999999</v>
      </c>
      <c r="AM53" s="116">
        <v>-3275.2949999999996</v>
      </c>
      <c r="AN53" s="118">
        <f t="shared" si="55"/>
        <v>0</v>
      </c>
      <c r="AO53" s="118">
        <f t="shared" si="56"/>
        <v>3.0000000001564331</v>
      </c>
      <c r="AP53" s="118">
        <f t="shared" si="57"/>
        <v>3.0000000001564331</v>
      </c>
      <c r="AQ53" s="116">
        <v>887.53899999999999</v>
      </c>
      <c r="AR53" s="116">
        <v>-3275.2959999999994</v>
      </c>
      <c r="AS53" s="118">
        <f t="shared" si="18"/>
        <v>4.9999999999954525</v>
      </c>
      <c r="AT53" s="118">
        <f t="shared" si="19"/>
        <v>2.0000000004074536</v>
      </c>
      <c r="AU53" s="118">
        <f t="shared" si="20"/>
        <v>5.3851648072816065</v>
      </c>
      <c r="AV53" s="116">
        <v>887.53499999999997</v>
      </c>
      <c r="AW53" s="116">
        <v>-3275.2939999999994</v>
      </c>
      <c r="AX53" s="125">
        <f t="shared" si="21"/>
        <v>0.99999999997635314</v>
      </c>
      <c r="AY53" s="118">
        <f t="shared" si="22"/>
        <v>4.0000000003601599</v>
      </c>
      <c r="AZ53" s="118">
        <f t="shared" si="23"/>
        <v>4.1231056259613315</v>
      </c>
      <c r="BA53" s="116">
        <v>887.53199999999993</v>
      </c>
      <c r="BB53" s="116">
        <v>-3275.2969999999996</v>
      </c>
      <c r="BC53" s="118">
        <f t="shared" si="24"/>
        <v>-2.0000000000663931</v>
      </c>
      <c r="BD53" s="118">
        <f t="shared" si="25"/>
        <v>1.0000000002037268</v>
      </c>
      <c r="BE53" s="118">
        <f t="shared" si="26"/>
        <v>2.2360679776502828</v>
      </c>
      <c r="BF53" s="127">
        <v>887.53199999999993</v>
      </c>
      <c r="BG53" s="127">
        <v>-3275.2959999999994</v>
      </c>
      <c r="BH53" s="118">
        <f t="shared" si="48"/>
        <v>-2.0000000000663931</v>
      </c>
      <c r="BI53" s="118">
        <f t="shared" si="49"/>
        <v>2.0000000004074536</v>
      </c>
      <c r="BJ53" s="118">
        <f t="shared" si="50"/>
        <v>2.8284271250812503</v>
      </c>
      <c r="BK53" s="127">
        <v>887.53</v>
      </c>
      <c r="BL53" s="127">
        <v>-3275.2949999999992</v>
      </c>
      <c r="BM53" s="118">
        <f t="shared" si="51"/>
        <v>-4.0000000000190994</v>
      </c>
      <c r="BN53" s="118">
        <f t="shared" si="52"/>
        <v>3.0000000006111804</v>
      </c>
      <c r="BO53" s="118">
        <f t="shared" si="53"/>
        <v>5.0000000003819878</v>
      </c>
      <c r="BP53" s="127">
        <v>887.529</v>
      </c>
      <c r="BQ53" s="127">
        <v>-3275.293999999999</v>
      </c>
      <c r="BR53" s="118">
        <f t="shared" si="33"/>
        <v>-4.9999999999954525</v>
      </c>
      <c r="BS53" s="118">
        <f t="shared" si="34"/>
        <v>4.0000000008149073</v>
      </c>
      <c r="BT53" s="118">
        <f t="shared" si="35"/>
        <v>6.4031242379383659</v>
      </c>
      <c r="BU53" s="127">
        <v>887.53099999999995</v>
      </c>
      <c r="BV53" s="127">
        <v>-3275.2959999999989</v>
      </c>
      <c r="BW53" s="118">
        <f t="shared" si="36"/>
        <v>-3.0000000000427463</v>
      </c>
      <c r="BX53" s="118">
        <f t="shared" si="37"/>
        <v>2.000000000862201</v>
      </c>
      <c r="BY53" s="118">
        <f t="shared" si="38"/>
        <v>3.6055512759778194</v>
      </c>
      <c r="BZ53" s="115">
        <f t="shared" si="54"/>
        <v>44</v>
      </c>
    </row>
    <row r="54" spans="2:78" ht="15.95" customHeight="1" x14ac:dyDescent="0.25">
      <c r="B54" s="115">
        <v>45</v>
      </c>
      <c r="C54" s="186" t="s">
        <v>79</v>
      </c>
      <c r="D54" s="187"/>
      <c r="E54" s="117" t="s">
        <v>80</v>
      </c>
      <c r="F54" s="117" t="s">
        <v>80</v>
      </c>
      <c r="G54" s="117" t="s">
        <v>80</v>
      </c>
      <c r="H54" s="186" t="s">
        <v>79</v>
      </c>
      <c r="I54" s="187"/>
      <c r="J54" s="117" t="s">
        <v>80</v>
      </c>
      <c r="K54" s="117" t="s">
        <v>80</v>
      </c>
      <c r="L54" s="117" t="s">
        <v>80</v>
      </c>
      <c r="M54" s="116">
        <v>878.86199999999997</v>
      </c>
      <c r="N54" s="116">
        <v>-3275.5039999999999</v>
      </c>
      <c r="O54" s="117">
        <v>0</v>
      </c>
      <c r="P54" s="117">
        <v>0</v>
      </c>
      <c r="Q54" s="118">
        <v>0</v>
      </c>
      <c r="R54" s="116">
        <v>878.86699999999996</v>
      </c>
      <c r="S54" s="116">
        <v>-3275.4989999999998</v>
      </c>
      <c r="T54" s="118">
        <f t="shared" ref="T54" si="63">O54+(R54-M54)*1000</f>
        <v>4.9999999999954525</v>
      </c>
      <c r="U54" s="118">
        <f t="shared" ref="U54" si="64">P54+(S54-N54)*1000</f>
        <v>5.0000000001091394</v>
      </c>
      <c r="V54" s="118">
        <f t="shared" ref="V54" si="65">SQRT(((T54*T54)+(U54*U54)))</f>
        <v>7.0710678119394332</v>
      </c>
      <c r="W54" s="116">
        <v>878.86799999999994</v>
      </c>
      <c r="X54" s="116">
        <v>-3275.4969999999998</v>
      </c>
      <c r="Y54" s="118">
        <f t="shared" ref="Y54" si="66">T54+(W54-R54)*1000</f>
        <v>5.9999999999718057</v>
      </c>
      <c r="Z54" s="118">
        <f t="shared" ref="Z54" si="67">U54+(X54-S54)*1000</f>
        <v>7.0000000000618456</v>
      </c>
      <c r="AA54" s="118">
        <f t="shared" ref="AA54" si="68">SQRT(((Y54*Y54)+(Z54*Z54)))</f>
        <v>9.2195444573214953</v>
      </c>
      <c r="AB54" s="129">
        <v>878.86799999999994</v>
      </c>
      <c r="AC54" s="129">
        <v>-3275.4989999999998</v>
      </c>
      <c r="AD54" s="118">
        <f t="shared" ref="AD54:AD87" si="69">Y54+(AB54-W54)*1000</f>
        <v>5.9999999999718057</v>
      </c>
      <c r="AE54" s="118">
        <f t="shared" ref="AE54:AE87" si="70">Z54+(AC54-X54)*1000</f>
        <v>5.0000000001091394</v>
      </c>
      <c r="AF54" s="118">
        <f t="shared" ref="AF54:AF87" si="71">SQRT(((AD54*AD54)+(AE54*AE54)))</f>
        <v>7.8102496759548643</v>
      </c>
      <c r="AG54" s="116">
        <v>878.86599999999999</v>
      </c>
      <c r="AH54" s="116">
        <v>-3275.4959999999996</v>
      </c>
      <c r="AI54" s="118">
        <f t="shared" ref="AI54:AI87" si="72">AD54+(AG54-AB54)*1000</f>
        <v>4.0000000000190994</v>
      </c>
      <c r="AJ54" s="118">
        <f t="shared" ref="AJ54:AJ87" si="73">AE54+(AH54-AC54)*1000</f>
        <v>8.0000000002655725</v>
      </c>
      <c r="AK54" s="118">
        <f t="shared" ref="AK54:AK87" si="74">SQRT(((AI54*AI54)+(AJ54*AJ54)))</f>
        <v>8.9442719102452362</v>
      </c>
      <c r="AL54" s="116">
        <v>878.86099999999999</v>
      </c>
      <c r="AM54" s="116">
        <v>-3275.4959999999996</v>
      </c>
      <c r="AN54" s="118">
        <f t="shared" si="55"/>
        <v>-0.99999999997635314</v>
      </c>
      <c r="AO54" s="118">
        <f t="shared" si="56"/>
        <v>8.0000000002655725</v>
      </c>
      <c r="AP54" s="118">
        <f t="shared" si="57"/>
        <v>8.0622577485591389</v>
      </c>
      <c r="AQ54" s="116">
        <v>878.86500000000001</v>
      </c>
      <c r="AR54" s="116">
        <v>-3275.4939999999997</v>
      </c>
      <c r="AS54" s="118">
        <f t="shared" si="18"/>
        <v>3.0000000000427463</v>
      </c>
      <c r="AT54" s="118">
        <f t="shared" si="19"/>
        <v>10.000000000218279</v>
      </c>
      <c r="AU54" s="118">
        <f t="shared" si="20"/>
        <v>10.440306509131906</v>
      </c>
      <c r="AV54" s="116">
        <v>878.86699999999996</v>
      </c>
      <c r="AW54" s="116">
        <v>-3275.4929999999995</v>
      </c>
      <c r="AX54" s="125">
        <f t="shared" si="21"/>
        <v>4.9999999999954525</v>
      </c>
      <c r="AY54" s="118">
        <f t="shared" si="22"/>
        <v>11.000000000422006</v>
      </c>
      <c r="AZ54" s="118">
        <f t="shared" si="23"/>
        <v>12.083045973976869</v>
      </c>
      <c r="BA54" s="116">
        <v>878.87099999999998</v>
      </c>
      <c r="BB54" s="116">
        <v>-3275.4899999999993</v>
      </c>
      <c r="BC54" s="118">
        <f t="shared" si="24"/>
        <v>9.0000000000145519</v>
      </c>
      <c r="BD54" s="118">
        <f t="shared" si="25"/>
        <v>14.000000000578439</v>
      </c>
      <c r="BE54" s="118">
        <f t="shared" si="26"/>
        <v>16.643316977587677</v>
      </c>
      <c r="BF54" s="127">
        <v>878.87</v>
      </c>
      <c r="BG54" s="127">
        <v>-3275.4909999999995</v>
      </c>
      <c r="BH54" s="118">
        <f t="shared" si="48"/>
        <v>8.0000000000381988</v>
      </c>
      <c r="BI54" s="118">
        <f t="shared" si="49"/>
        <v>13.000000000374712</v>
      </c>
      <c r="BJ54" s="118">
        <f t="shared" si="50"/>
        <v>15.264337522812895</v>
      </c>
      <c r="BK54" s="127">
        <v>878.87300000000005</v>
      </c>
      <c r="BL54" s="127">
        <v>-3275.4909999999995</v>
      </c>
      <c r="BM54" s="118">
        <f t="shared" si="51"/>
        <v>11.000000000080945</v>
      </c>
      <c r="BN54" s="118">
        <f t="shared" si="52"/>
        <v>13.000000000374712</v>
      </c>
      <c r="BO54" s="118">
        <f t="shared" si="53"/>
        <v>17.029386366264738</v>
      </c>
      <c r="BP54" s="127">
        <v>878.87100000000009</v>
      </c>
      <c r="BQ54" s="127">
        <v>-3275.4889999999996</v>
      </c>
      <c r="BR54" s="118">
        <f t="shared" si="33"/>
        <v>9.0000000001282388</v>
      </c>
      <c r="BS54" s="118">
        <f t="shared" si="34"/>
        <v>15.000000000327418</v>
      </c>
      <c r="BT54" s="118">
        <f t="shared" si="35"/>
        <v>17.492855684882638</v>
      </c>
      <c r="BU54" s="127">
        <v>878.86800000000005</v>
      </c>
      <c r="BV54" s="127">
        <v>-3275.4909999999995</v>
      </c>
      <c r="BW54" s="118">
        <f t="shared" si="36"/>
        <v>6.0000000000854925</v>
      </c>
      <c r="BX54" s="118">
        <f t="shared" si="37"/>
        <v>13.000000000374712</v>
      </c>
      <c r="BY54" s="118">
        <f t="shared" si="38"/>
        <v>14.317821063652403</v>
      </c>
      <c r="BZ54" s="115">
        <f t="shared" si="54"/>
        <v>45</v>
      </c>
    </row>
    <row r="55" spans="2:78" ht="15.95" customHeight="1" x14ac:dyDescent="0.25">
      <c r="B55" s="115">
        <v>46</v>
      </c>
      <c r="C55" s="186" t="s">
        <v>79</v>
      </c>
      <c r="D55" s="187"/>
      <c r="E55" s="117" t="s">
        <v>80</v>
      </c>
      <c r="F55" s="117" t="s">
        <v>80</v>
      </c>
      <c r="G55" s="117" t="s">
        <v>80</v>
      </c>
      <c r="H55" s="186" t="s">
        <v>79</v>
      </c>
      <c r="I55" s="187"/>
      <c r="J55" s="117" t="s">
        <v>80</v>
      </c>
      <c r="K55" s="117" t="s">
        <v>80</v>
      </c>
      <c r="L55" s="117" t="s">
        <v>80</v>
      </c>
      <c r="M55" s="116">
        <v>872.98299999999995</v>
      </c>
      <c r="N55" s="116">
        <v>-3275.7220000000002</v>
      </c>
      <c r="O55" s="117">
        <v>0</v>
      </c>
      <c r="P55" s="117">
        <v>0</v>
      </c>
      <c r="Q55" s="118">
        <v>0</v>
      </c>
      <c r="R55" s="116">
        <v>872.98799999999994</v>
      </c>
      <c r="S55" s="116">
        <v>-3275.7190000000001</v>
      </c>
      <c r="T55" s="118">
        <f t="shared" ref="T55:T87" si="75">O55+(R55-M55)*1000</f>
        <v>4.9999999999954525</v>
      </c>
      <c r="U55" s="118">
        <f t="shared" ref="U55:U87" si="76">P55+(S55-N55)*1000</f>
        <v>3.0000000001564331</v>
      </c>
      <c r="V55" s="118">
        <f t="shared" ref="V55:V87" si="77">SQRT(((T55*T55)+(U55*U55)))</f>
        <v>5.8309518949218848</v>
      </c>
      <c r="W55" s="116">
        <v>872.99099999999987</v>
      </c>
      <c r="X55" s="116">
        <v>-3275.7240000000002</v>
      </c>
      <c r="Y55" s="118">
        <f t="shared" ref="Y55:Y87" si="78">T55+(W55-R55)*1000</f>
        <v>7.9999999999245119</v>
      </c>
      <c r="Z55" s="118">
        <f t="shared" ref="Z55:Z87" si="79">U55+(X55-S55)*1000</f>
        <v>-1.9999999999527063</v>
      </c>
      <c r="AA55" s="118">
        <f t="shared" ref="AA55:AA87" si="80">SQRT(((Y55*Y55)+(Z55*Z55)))</f>
        <v>8.2462112511506174</v>
      </c>
      <c r="AB55" s="129">
        <v>872.98899999999992</v>
      </c>
      <c r="AC55" s="129">
        <v>-3275.7190000000001</v>
      </c>
      <c r="AD55" s="118">
        <f t="shared" si="69"/>
        <v>5.9999999999718057</v>
      </c>
      <c r="AE55" s="118">
        <f t="shared" si="70"/>
        <v>3.0000000001564331</v>
      </c>
      <c r="AF55" s="118">
        <f t="shared" si="71"/>
        <v>6.7082039325441105</v>
      </c>
      <c r="AG55" s="116">
        <v>872.98699999999997</v>
      </c>
      <c r="AH55" s="116">
        <v>-3275.7200000000003</v>
      </c>
      <c r="AI55" s="118">
        <f t="shared" si="72"/>
        <v>4.0000000000190994</v>
      </c>
      <c r="AJ55" s="118">
        <f t="shared" si="73"/>
        <v>1.9999999999527063</v>
      </c>
      <c r="AK55" s="118">
        <f t="shared" si="74"/>
        <v>4.4721359549955118</v>
      </c>
      <c r="AL55" s="116">
        <v>872.98799999999994</v>
      </c>
      <c r="AM55" s="116">
        <v>-3275.7190000000001</v>
      </c>
      <c r="AN55" s="118">
        <f t="shared" si="55"/>
        <v>4.9999999999954525</v>
      </c>
      <c r="AO55" s="118">
        <f t="shared" si="56"/>
        <v>3.0000000001564331</v>
      </c>
      <c r="AP55" s="118">
        <f t="shared" si="57"/>
        <v>5.8309518949218848</v>
      </c>
      <c r="AQ55" s="116">
        <v>872.98900000000003</v>
      </c>
      <c r="AR55" s="116">
        <v>-3275.72</v>
      </c>
      <c r="AS55" s="118">
        <f t="shared" si="18"/>
        <v>6.0000000000854925</v>
      </c>
      <c r="AT55" s="118">
        <f t="shared" si="19"/>
        <v>2.0000000004074536</v>
      </c>
      <c r="AU55" s="118">
        <f t="shared" si="20"/>
        <v>6.324555320546712</v>
      </c>
      <c r="AV55" s="116">
        <v>872.99</v>
      </c>
      <c r="AW55" s="116">
        <v>-3275.723</v>
      </c>
      <c r="AX55" s="125">
        <f t="shared" si="21"/>
        <v>7.0000000000618456</v>
      </c>
      <c r="AY55" s="118">
        <f t="shared" si="22"/>
        <v>-0.99999999974897946</v>
      </c>
      <c r="AZ55" s="118">
        <f t="shared" si="23"/>
        <v>7.0710678118911998</v>
      </c>
      <c r="BA55" s="116">
        <v>872.99099999999999</v>
      </c>
      <c r="BB55" s="116">
        <v>-3275.7240000000002</v>
      </c>
      <c r="BC55" s="118">
        <f t="shared" si="24"/>
        <v>8.0000000000381988</v>
      </c>
      <c r="BD55" s="118">
        <f t="shared" si="25"/>
        <v>-1.9999999999527063</v>
      </c>
      <c r="BE55" s="118">
        <f t="shared" si="26"/>
        <v>8.2462112512609096</v>
      </c>
      <c r="BF55" s="127">
        <v>872.98799999999994</v>
      </c>
      <c r="BG55" s="127">
        <v>-3275.7250000000004</v>
      </c>
      <c r="BH55" s="118">
        <f t="shared" si="48"/>
        <v>4.9999999999954525</v>
      </c>
      <c r="BI55" s="118">
        <f t="shared" si="49"/>
        <v>-3.0000000001564331</v>
      </c>
      <c r="BJ55" s="118">
        <f t="shared" si="50"/>
        <v>5.8309518949218848</v>
      </c>
      <c r="BK55" s="127">
        <v>872.98599999999999</v>
      </c>
      <c r="BL55" s="127">
        <v>-3275.7280000000005</v>
      </c>
      <c r="BM55" s="118">
        <f t="shared" si="51"/>
        <v>3.0000000000427463</v>
      </c>
      <c r="BN55" s="118">
        <f t="shared" si="52"/>
        <v>-6.0000000003128662</v>
      </c>
      <c r="BO55" s="118">
        <f t="shared" si="53"/>
        <v>6.7082039327983214</v>
      </c>
      <c r="BP55" s="127">
        <v>872.98400000000004</v>
      </c>
      <c r="BQ55" s="127">
        <v>-3275.7250000000004</v>
      </c>
      <c r="BR55" s="118">
        <f t="shared" si="33"/>
        <v>1.00000000009004</v>
      </c>
      <c r="BS55" s="118">
        <f t="shared" si="34"/>
        <v>-3.0000000001564331</v>
      </c>
      <c r="BT55" s="118">
        <f t="shared" si="35"/>
        <v>3.162277660345258</v>
      </c>
      <c r="BU55" s="127">
        <v>872.98300000000006</v>
      </c>
      <c r="BV55" s="127">
        <v>-3275.7220000000002</v>
      </c>
      <c r="BW55" s="118">
        <f t="shared" si="36"/>
        <v>1.1368683772161603E-10</v>
      </c>
      <c r="BX55" s="118">
        <f t="shared" si="37"/>
        <v>0</v>
      </c>
      <c r="BY55" s="118">
        <f t="shared" si="38"/>
        <v>1.1368683772161603E-10</v>
      </c>
      <c r="BZ55" s="115">
        <f t="shared" si="54"/>
        <v>46</v>
      </c>
    </row>
    <row r="56" spans="2:78" ht="15.95" customHeight="1" x14ac:dyDescent="0.25">
      <c r="B56" s="115">
        <v>47</v>
      </c>
      <c r="C56" s="186" t="s">
        <v>79</v>
      </c>
      <c r="D56" s="187"/>
      <c r="E56" s="117" t="s">
        <v>80</v>
      </c>
      <c r="F56" s="117" t="s">
        <v>80</v>
      </c>
      <c r="G56" s="117" t="s">
        <v>80</v>
      </c>
      <c r="H56" s="186" t="s">
        <v>79</v>
      </c>
      <c r="I56" s="187"/>
      <c r="J56" s="117" t="s">
        <v>80</v>
      </c>
      <c r="K56" s="117" t="s">
        <v>80</v>
      </c>
      <c r="L56" s="117" t="s">
        <v>80</v>
      </c>
      <c r="M56" s="116">
        <v>867.84400000000005</v>
      </c>
      <c r="N56" s="116">
        <v>-3275.8670000000002</v>
      </c>
      <c r="O56" s="117">
        <v>0</v>
      </c>
      <c r="P56" s="117">
        <v>0</v>
      </c>
      <c r="Q56" s="118">
        <v>0</v>
      </c>
      <c r="R56" s="116">
        <v>867.84800000000007</v>
      </c>
      <c r="S56" s="116">
        <v>-3275.8630000000003</v>
      </c>
      <c r="T56" s="118">
        <f t="shared" si="75"/>
        <v>4.0000000000190994</v>
      </c>
      <c r="U56" s="118">
        <f t="shared" si="76"/>
        <v>3.9999999999054126</v>
      </c>
      <c r="V56" s="118">
        <f t="shared" si="77"/>
        <v>5.6568542494390019</v>
      </c>
      <c r="W56" s="116">
        <v>867.84900000000005</v>
      </c>
      <c r="X56" s="116">
        <v>-3275.8679999999999</v>
      </c>
      <c r="Y56" s="118">
        <f t="shared" si="78"/>
        <v>4.9999999999954525</v>
      </c>
      <c r="Z56" s="118">
        <f t="shared" si="79"/>
        <v>-0.99999999974897946</v>
      </c>
      <c r="AA56" s="118">
        <f t="shared" si="80"/>
        <v>5.0990195135390968</v>
      </c>
      <c r="AB56" s="129">
        <v>867.85</v>
      </c>
      <c r="AC56" s="129">
        <v>-3275.864</v>
      </c>
      <c r="AD56" s="118">
        <f t="shared" si="69"/>
        <v>5.9999999999718057</v>
      </c>
      <c r="AE56" s="118">
        <f t="shared" si="70"/>
        <v>3.0000000001564331</v>
      </c>
      <c r="AF56" s="118">
        <f t="shared" si="71"/>
        <v>6.7082039325441105</v>
      </c>
      <c r="AG56" s="116">
        <v>867.84500000000003</v>
      </c>
      <c r="AH56" s="116">
        <v>-3275.8620000000001</v>
      </c>
      <c r="AI56" s="118">
        <f t="shared" si="72"/>
        <v>0.99999999997635314</v>
      </c>
      <c r="AJ56" s="118">
        <f t="shared" si="73"/>
        <v>5.0000000001091394</v>
      </c>
      <c r="AK56" s="118">
        <f t="shared" si="74"/>
        <v>5.0990195136951675</v>
      </c>
      <c r="AL56" s="116">
        <v>867.84199999999998</v>
      </c>
      <c r="AM56" s="116">
        <v>-3275.8609999999999</v>
      </c>
      <c r="AN56" s="118">
        <f t="shared" si="55"/>
        <v>-2.0000000000663931</v>
      </c>
      <c r="AO56" s="118">
        <f t="shared" si="56"/>
        <v>6.0000000003128662</v>
      </c>
      <c r="AP56" s="118">
        <f t="shared" si="57"/>
        <v>6.3245553206545653</v>
      </c>
      <c r="AQ56" s="116">
        <v>867.84199999999998</v>
      </c>
      <c r="AR56" s="116">
        <v>-3275.8539999999998</v>
      </c>
      <c r="AS56" s="118">
        <f t="shared" si="18"/>
        <v>-2.0000000000663931</v>
      </c>
      <c r="AT56" s="118">
        <f t="shared" si="19"/>
        <v>13.000000000374712</v>
      </c>
      <c r="AU56" s="118">
        <f t="shared" si="20"/>
        <v>13.152946438346355</v>
      </c>
      <c r="AV56" s="116">
        <v>867.84</v>
      </c>
      <c r="AW56" s="116">
        <v>-3275.857</v>
      </c>
      <c r="AX56" s="125">
        <f t="shared" si="21"/>
        <v>-4.0000000000190994</v>
      </c>
      <c r="AY56" s="118">
        <f t="shared" si="22"/>
        <v>10.000000000218279</v>
      </c>
      <c r="AZ56" s="118">
        <f t="shared" si="23"/>
        <v>10.770329614478769</v>
      </c>
      <c r="BA56" s="116">
        <v>867.84199999999998</v>
      </c>
      <c r="BB56" s="116">
        <v>-3275.8530000000001</v>
      </c>
      <c r="BC56" s="118">
        <f t="shared" si="24"/>
        <v>-2.0000000000663931</v>
      </c>
      <c r="BD56" s="118">
        <f t="shared" si="25"/>
        <v>14.000000000123691</v>
      </c>
      <c r="BE56" s="118">
        <f t="shared" si="26"/>
        <v>14.142135623862789</v>
      </c>
      <c r="BF56" s="127">
        <v>867.846</v>
      </c>
      <c r="BG56" s="127">
        <v>-3275.8540000000003</v>
      </c>
      <c r="BH56" s="118">
        <f t="shared" si="48"/>
        <v>1.9999999999527063</v>
      </c>
      <c r="BI56" s="118">
        <f t="shared" si="49"/>
        <v>12.999999999919964</v>
      </c>
      <c r="BJ56" s="118">
        <f t="shared" si="50"/>
        <v>13.15294643787961</v>
      </c>
      <c r="BK56" s="127">
        <v>867.85</v>
      </c>
      <c r="BL56" s="127">
        <v>-3275.8550000000005</v>
      </c>
      <c r="BM56" s="118">
        <f t="shared" si="51"/>
        <v>5.9999999999718057</v>
      </c>
      <c r="BN56" s="118">
        <f t="shared" si="52"/>
        <v>11.999999999716238</v>
      </c>
      <c r="BO56" s="118">
        <f t="shared" si="53"/>
        <v>13.416407864732324</v>
      </c>
      <c r="BP56" s="127">
        <v>867.84699999999998</v>
      </c>
      <c r="BQ56" s="127">
        <v>-3275.8570000000004</v>
      </c>
      <c r="BR56" s="118">
        <f t="shared" si="33"/>
        <v>2.9999999999290594</v>
      </c>
      <c r="BS56" s="118">
        <f t="shared" si="34"/>
        <v>9.9999999997635314</v>
      </c>
      <c r="BT56" s="118">
        <f t="shared" si="35"/>
        <v>10.440306508663669</v>
      </c>
      <c r="BU56" s="127">
        <v>867.84799999999996</v>
      </c>
      <c r="BV56" s="127">
        <v>-3275.8590000000004</v>
      </c>
      <c r="BW56" s="118">
        <f t="shared" si="36"/>
        <v>3.9999999999054126</v>
      </c>
      <c r="BX56" s="118">
        <f t="shared" si="37"/>
        <v>7.9999999998108251</v>
      </c>
      <c r="BY56" s="118">
        <f t="shared" si="38"/>
        <v>8.9442719097876555</v>
      </c>
      <c r="BZ56" s="115">
        <f t="shared" si="54"/>
        <v>47</v>
      </c>
    </row>
    <row r="57" spans="2:78" ht="15.95" customHeight="1" x14ac:dyDescent="0.25">
      <c r="B57" s="115">
        <v>48</v>
      </c>
      <c r="C57" s="186" t="s">
        <v>79</v>
      </c>
      <c r="D57" s="187"/>
      <c r="E57" s="117" t="s">
        <v>80</v>
      </c>
      <c r="F57" s="117" t="s">
        <v>80</v>
      </c>
      <c r="G57" s="117" t="s">
        <v>80</v>
      </c>
      <c r="H57" s="186" t="s">
        <v>79</v>
      </c>
      <c r="I57" s="187"/>
      <c r="J57" s="117" t="s">
        <v>80</v>
      </c>
      <c r="K57" s="117" t="s">
        <v>80</v>
      </c>
      <c r="L57" s="117" t="s">
        <v>80</v>
      </c>
      <c r="M57" s="116">
        <v>861.90599999999995</v>
      </c>
      <c r="N57" s="116">
        <v>-3276.0309999999999</v>
      </c>
      <c r="O57" s="117">
        <v>0</v>
      </c>
      <c r="P57" s="117">
        <v>0</v>
      </c>
      <c r="Q57" s="118">
        <v>0</v>
      </c>
      <c r="R57" s="116">
        <v>861.90899999999999</v>
      </c>
      <c r="S57" s="116">
        <v>-3276.0259999999998</v>
      </c>
      <c r="T57" s="118">
        <f t="shared" si="75"/>
        <v>3.0000000000427463</v>
      </c>
      <c r="U57" s="118">
        <f t="shared" si="76"/>
        <v>5.0000000001091394</v>
      </c>
      <c r="V57" s="118">
        <f t="shared" si="77"/>
        <v>5.8309518949608794</v>
      </c>
      <c r="W57" s="116">
        <v>861.91599999999994</v>
      </c>
      <c r="X57" s="116">
        <v>-3276.0250000000001</v>
      </c>
      <c r="Y57" s="118">
        <f t="shared" si="78"/>
        <v>9.9999999999909051</v>
      </c>
      <c r="Z57" s="118">
        <f t="shared" si="79"/>
        <v>5.9999999998581188</v>
      </c>
      <c r="AA57" s="118">
        <f t="shared" si="80"/>
        <v>11.661903789609806</v>
      </c>
      <c r="AB57" s="129">
        <v>861.91</v>
      </c>
      <c r="AC57" s="129">
        <v>-3276.0250000000001</v>
      </c>
      <c r="AD57" s="118">
        <f t="shared" si="69"/>
        <v>4.0000000000190994</v>
      </c>
      <c r="AE57" s="118">
        <f t="shared" si="70"/>
        <v>5.9999999998581188</v>
      </c>
      <c r="AF57" s="118">
        <f t="shared" si="71"/>
        <v>7.2111025508205211</v>
      </c>
      <c r="AG57" s="116">
        <v>861.90499999999997</v>
      </c>
      <c r="AH57" s="116">
        <v>-3276.029</v>
      </c>
      <c r="AI57" s="118">
        <f t="shared" si="72"/>
        <v>-0.99999999997635314</v>
      </c>
      <c r="AJ57" s="118">
        <f t="shared" si="73"/>
        <v>1.9999999999527063</v>
      </c>
      <c r="AK57" s="118">
        <f t="shared" si="74"/>
        <v>2.2360679774469139</v>
      </c>
      <c r="AL57" s="116">
        <v>861.90800000000002</v>
      </c>
      <c r="AM57" s="116">
        <v>-3276.0340000000001</v>
      </c>
      <c r="AN57" s="118">
        <f t="shared" ref="AN57:AN87" si="81">AI57+(AL57-AG57)*1000</f>
        <v>2.0000000000663931</v>
      </c>
      <c r="AO57" s="118">
        <f t="shared" ref="AO57:AO87" si="82">AJ57+(AM57-AH57)*1000</f>
        <v>-3.0000000001564331</v>
      </c>
      <c r="AP57" s="118">
        <f t="shared" ref="AP57:AP87" si="83">SQRT(((AN57*AN57)+(AO57*AO57)))</f>
        <v>3.6055512756309778</v>
      </c>
      <c r="AQ57" s="116">
        <v>861.91300000000001</v>
      </c>
      <c r="AR57" s="116">
        <v>-3276.0360000000001</v>
      </c>
      <c r="AS57" s="118">
        <f t="shared" si="18"/>
        <v>7.0000000000618456</v>
      </c>
      <c r="AT57" s="118">
        <f t="shared" si="19"/>
        <v>-5.0000000001091394</v>
      </c>
      <c r="AU57" s="118">
        <f t="shared" si="20"/>
        <v>8.6023252671563881</v>
      </c>
      <c r="AV57" s="116">
        <v>861.91</v>
      </c>
      <c r="AW57" s="116">
        <v>-3276.0360000000001</v>
      </c>
      <c r="AX57" s="125">
        <f t="shared" si="21"/>
        <v>4.0000000000190994</v>
      </c>
      <c r="AY57" s="118">
        <f t="shared" si="22"/>
        <v>-5.0000000001091394</v>
      </c>
      <c r="AZ57" s="118">
        <f t="shared" si="23"/>
        <v>6.4031242375300037</v>
      </c>
      <c r="BA57" s="116">
        <v>861.91199999999992</v>
      </c>
      <c r="BB57" s="116">
        <v>-3276.0340000000001</v>
      </c>
      <c r="BC57" s="118">
        <f t="shared" si="24"/>
        <v>5.9999999999718057</v>
      </c>
      <c r="BD57" s="118">
        <f t="shared" si="25"/>
        <v>-3.0000000001564331</v>
      </c>
      <c r="BE57" s="118">
        <f t="shared" si="26"/>
        <v>6.7082039325441105</v>
      </c>
      <c r="BF57" s="127">
        <v>861.91</v>
      </c>
      <c r="BG57" s="127">
        <v>-3276.0360000000001</v>
      </c>
      <c r="BH57" s="118">
        <f t="shared" si="48"/>
        <v>4.0000000000190994</v>
      </c>
      <c r="BI57" s="118">
        <f t="shared" si="49"/>
        <v>-5.0000000001091394</v>
      </c>
      <c r="BJ57" s="118">
        <f t="shared" si="50"/>
        <v>6.4031242375300037</v>
      </c>
      <c r="BK57" s="127">
        <v>861.90899999999999</v>
      </c>
      <c r="BL57" s="127">
        <v>-3276.0360000000001</v>
      </c>
      <c r="BM57" s="118">
        <f t="shared" si="51"/>
        <v>3.0000000000427463</v>
      </c>
      <c r="BN57" s="118">
        <f t="shared" si="52"/>
        <v>-5.0000000001091394</v>
      </c>
      <c r="BO57" s="118">
        <f t="shared" si="53"/>
        <v>5.8309518949608794</v>
      </c>
      <c r="BP57" s="127">
        <v>861.91</v>
      </c>
      <c r="BQ57" s="127">
        <v>-3276.038</v>
      </c>
      <c r="BR57" s="118">
        <f t="shared" si="33"/>
        <v>4.0000000000190994</v>
      </c>
      <c r="BS57" s="118">
        <f t="shared" si="34"/>
        <v>-7.0000000000618456</v>
      </c>
      <c r="BT57" s="118">
        <f t="shared" si="35"/>
        <v>8.0622577483617235</v>
      </c>
      <c r="BU57" s="127">
        <v>861.91099999999994</v>
      </c>
      <c r="BV57" s="127">
        <v>-3276.0360000000001</v>
      </c>
      <c r="BW57" s="118">
        <f t="shared" si="36"/>
        <v>4.9999999999954525</v>
      </c>
      <c r="BX57" s="118">
        <f t="shared" si="37"/>
        <v>-5.0000000001091394</v>
      </c>
      <c r="BY57" s="118">
        <f t="shared" si="38"/>
        <v>7.0710678119394332</v>
      </c>
      <c r="BZ57" s="115">
        <f t="shared" si="54"/>
        <v>48</v>
      </c>
    </row>
    <row r="58" spans="2:78" ht="15.95" customHeight="1" x14ac:dyDescent="0.25">
      <c r="B58" s="115">
        <v>49</v>
      </c>
      <c r="C58" s="186" t="s">
        <v>79</v>
      </c>
      <c r="D58" s="187"/>
      <c r="E58" s="117" t="s">
        <v>80</v>
      </c>
      <c r="F58" s="117" t="s">
        <v>80</v>
      </c>
      <c r="G58" s="117" t="s">
        <v>80</v>
      </c>
      <c r="H58" s="186" t="s">
        <v>79</v>
      </c>
      <c r="I58" s="187"/>
      <c r="J58" s="117" t="s">
        <v>80</v>
      </c>
      <c r="K58" s="117" t="s">
        <v>80</v>
      </c>
      <c r="L58" s="117" t="s">
        <v>80</v>
      </c>
      <c r="M58" s="116">
        <v>856.43600000000004</v>
      </c>
      <c r="N58" s="116">
        <v>-3276.1529999999998</v>
      </c>
      <c r="O58" s="117">
        <v>0</v>
      </c>
      <c r="P58" s="117">
        <v>0</v>
      </c>
      <c r="Q58" s="118">
        <v>0</v>
      </c>
      <c r="R58" s="116">
        <v>856.44200000000001</v>
      </c>
      <c r="S58" s="116">
        <v>-3276.1499999999996</v>
      </c>
      <c r="T58" s="118">
        <f t="shared" si="75"/>
        <v>5.9999999999718057</v>
      </c>
      <c r="U58" s="118">
        <f t="shared" si="76"/>
        <v>3.0000000001564331</v>
      </c>
      <c r="V58" s="118">
        <f t="shared" si="77"/>
        <v>6.7082039325441105</v>
      </c>
      <c r="W58" s="116">
        <v>856.43700000000001</v>
      </c>
      <c r="X58" s="116">
        <v>-3276.1419999999998</v>
      </c>
      <c r="Y58" s="118">
        <f t="shared" si="78"/>
        <v>0.99999999997635314</v>
      </c>
      <c r="Z58" s="118">
        <f t="shared" si="79"/>
        <v>10.999999999967258</v>
      </c>
      <c r="AA58" s="118">
        <f t="shared" si="80"/>
        <v>11.045361017152512</v>
      </c>
      <c r="AB58" s="129">
        <v>856.44</v>
      </c>
      <c r="AC58" s="129">
        <v>-3276.1479999999997</v>
      </c>
      <c r="AD58" s="118">
        <f t="shared" si="69"/>
        <v>4.0000000000190994</v>
      </c>
      <c r="AE58" s="118">
        <f t="shared" si="70"/>
        <v>5.0000000001091394</v>
      </c>
      <c r="AF58" s="118">
        <f t="shared" si="71"/>
        <v>6.4031242375300037</v>
      </c>
      <c r="AG58" s="116">
        <v>856.44100000000003</v>
      </c>
      <c r="AH58" s="116">
        <v>-3276.1419999999998</v>
      </c>
      <c r="AI58" s="118">
        <f t="shared" si="72"/>
        <v>4.9999999999954525</v>
      </c>
      <c r="AJ58" s="118">
        <f t="shared" si="73"/>
        <v>10.999999999967258</v>
      </c>
      <c r="AK58" s="118">
        <f t="shared" si="74"/>
        <v>12.083045973562884</v>
      </c>
      <c r="AL58" s="116">
        <v>856.44799999999998</v>
      </c>
      <c r="AM58" s="116">
        <v>-3276.143</v>
      </c>
      <c r="AN58" s="118">
        <f t="shared" si="81"/>
        <v>11.999999999943611</v>
      </c>
      <c r="AO58" s="118">
        <f t="shared" si="82"/>
        <v>9.9999999997635314</v>
      </c>
      <c r="AP58" s="118">
        <f t="shared" si="83"/>
        <v>15.620499351618607</v>
      </c>
      <c r="AQ58" s="116">
        <v>856.45</v>
      </c>
      <c r="AR58" s="116">
        <v>-3276.1409999999996</v>
      </c>
      <c r="AS58" s="118">
        <f t="shared" si="18"/>
        <v>14.000000000010004</v>
      </c>
      <c r="AT58" s="118">
        <f t="shared" si="19"/>
        <v>12.000000000170985</v>
      </c>
      <c r="AU58" s="118">
        <f t="shared" si="20"/>
        <v>18.439088914704644</v>
      </c>
      <c r="AV58" s="116">
        <v>856.44900000000007</v>
      </c>
      <c r="AW58" s="116">
        <v>-3276.1409999999996</v>
      </c>
      <c r="AX58" s="125">
        <f t="shared" si="21"/>
        <v>13.000000000033651</v>
      </c>
      <c r="AY58" s="118">
        <f t="shared" si="22"/>
        <v>12.000000000170985</v>
      </c>
      <c r="AZ58" s="118">
        <f t="shared" si="23"/>
        <v>17.691806013094837</v>
      </c>
      <c r="BA58" s="116">
        <v>856.44700000000012</v>
      </c>
      <c r="BB58" s="116">
        <v>-3276.1369999999997</v>
      </c>
      <c r="BC58" s="118">
        <f t="shared" si="24"/>
        <v>11.000000000080945</v>
      </c>
      <c r="BD58" s="118">
        <f t="shared" si="25"/>
        <v>16.000000000076398</v>
      </c>
      <c r="BE58" s="118">
        <f t="shared" si="26"/>
        <v>19.416487839056412</v>
      </c>
      <c r="BF58" s="127">
        <v>856.44900000000007</v>
      </c>
      <c r="BG58" s="127">
        <v>-3276.1369999999997</v>
      </c>
      <c r="BH58" s="118">
        <f t="shared" si="48"/>
        <v>13.000000000033651</v>
      </c>
      <c r="BI58" s="118">
        <f t="shared" si="49"/>
        <v>16.000000000076398</v>
      </c>
      <c r="BJ58" s="118">
        <f t="shared" si="50"/>
        <v>20.615528128168815</v>
      </c>
      <c r="BK58" s="127">
        <v>856.44600000000003</v>
      </c>
      <c r="BL58" s="127">
        <v>-3276.1379999999999</v>
      </c>
      <c r="BM58" s="118">
        <f t="shared" si="51"/>
        <v>9.9999999999909051</v>
      </c>
      <c r="BN58" s="118">
        <f t="shared" si="52"/>
        <v>14.999999999872671</v>
      </c>
      <c r="BO58" s="118">
        <f t="shared" si="53"/>
        <v>18.027756377208956</v>
      </c>
      <c r="BP58" s="127">
        <v>856.447</v>
      </c>
      <c r="BQ58" s="127">
        <v>-3276.14</v>
      </c>
      <c r="BR58" s="118">
        <f t="shared" si="33"/>
        <v>10.999999999967258</v>
      </c>
      <c r="BS58" s="118">
        <f t="shared" si="34"/>
        <v>12.999999999919964</v>
      </c>
      <c r="BT58" s="118">
        <f t="shared" si="35"/>
        <v>17.029386365844154</v>
      </c>
      <c r="BU58" s="127">
        <v>856.44500000000005</v>
      </c>
      <c r="BV58" s="127">
        <v>-3276.14</v>
      </c>
      <c r="BW58" s="118">
        <f t="shared" si="36"/>
        <v>9.0000000000145519</v>
      </c>
      <c r="BX58" s="118">
        <f t="shared" si="37"/>
        <v>12.999999999919964</v>
      </c>
      <c r="BY58" s="118">
        <f t="shared" si="38"/>
        <v>15.811388300784374</v>
      </c>
      <c r="BZ58" s="115">
        <f t="shared" si="54"/>
        <v>49</v>
      </c>
    </row>
    <row r="59" spans="2:78" ht="15.95" customHeight="1" x14ac:dyDescent="0.25">
      <c r="B59" s="115">
        <v>50</v>
      </c>
      <c r="C59" s="116">
        <v>850.58900000000006</v>
      </c>
      <c r="D59" s="116">
        <v>-3275.0859999999998</v>
      </c>
      <c r="E59" s="117">
        <v>0</v>
      </c>
      <c r="F59" s="117">
        <v>0</v>
      </c>
      <c r="G59" s="118">
        <f t="shared" ref="G59:G87" si="84">SQRT(((E59*E59)+(F59*F59)))</f>
        <v>0</v>
      </c>
      <c r="H59" s="116">
        <v>850.58799999999997</v>
      </c>
      <c r="I59" s="116">
        <v>-3275.087</v>
      </c>
      <c r="J59" s="117">
        <v>0</v>
      </c>
      <c r="K59" s="117">
        <v>0</v>
      </c>
      <c r="L59" s="118">
        <v>0</v>
      </c>
      <c r="M59" s="116">
        <v>850.58100000000002</v>
      </c>
      <c r="N59" s="116">
        <v>-3275.0949999999998</v>
      </c>
      <c r="O59" s="117">
        <f t="shared" ref="O59:P87" si="85">J59+(M59-H59)*1000</f>
        <v>-6.9999999999481588</v>
      </c>
      <c r="P59" s="117">
        <f t="shared" si="85"/>
        <v>-7.9999999998108251</v>
      </c>
      <c r="Q59" s="118">
        <f t="shared" ref="Q59:Q87" si="86">SQRT(((O59*O59)+(P59*P59)))</f>
        <v>10.630145812558142</v>
      </c>
      <c r="R59" s="116">
        <v>850.58699999999999</v>
      </c>
      <c r="S59" s="116">
        <v>-3275.0909999999999</v>
      </c>
      <c r="T59" s="118">
        <f t="shared" si="75"/>
        <v>-0.99999999997635314</v>
      </c>
      <c r="U59" s="118">
        <f t="shared" si="76"/>
        <v>-3.9999999999054126</v>
      </c>
      <c r="V59" s="118">
        <f t="shared" si="77"/>
        <v>4.1231056255201617</v>
      </c>
      <c r="W59" s="116">
        <v>850.58799999999997</v>
      </c>
      <c r="X59" s="116">
        <v>-3275.0849999999996</v>
      </c>
      <c r="Y59" s="118">
        <f t="shared" si="78"/>
        <v>0</v>
      </c>
      <c r="Z59" s="118">
        <f t="shared" si="79"/>
        <v>2.0000000004074536</v>
      </c>
      <c r="AA59" s="118">
        <f t="shared" si="80"/>
        <v>2.0000000004074536</v>
      </c>
      <c r="AB59" s="129">
        <v>850.58600000000001</v>
      </c>
      <c r="AC59" s="129">
        <v>-3275.0899999999997</v>
      </c>
      <c r="AD59" s="118">
        <f t="shared" si="69"/>
        <v>-1.9999999999527063</v>
      </c>
      <c r="AE59" s="118">
        <f t="shared" si="70"/>
        <v>-2.9999999997016857</v>
      </c>
      <c r="AF59" s="118">
        <f t="shared" si="71"/>
        <v>3.6055512751895429</v>
      </c>
      <c r="AG59" s="116">
        <v>850.58600000000001</v>
      </c>
      <c r="AH59" s="116">
        <v>-3275.0839999999998</v>
      </c>
      <c r="AI59" s="118">
        <f t="shared" si="72"/>
        <v>-1.9999999999527063</v>
      </c>
      <c r="AJ59" s="118">
        <f t="shared" si="73"/>
        <v>3.0000000001564331</v>
      </c>
      <c r="AK59" s="118">
        <f t="shared" si="74"/>
        <v>3.6055512755679158</v>
      </c>
      <c r="AL59" s="116">
        <v>850.59</v>
      </c>
      <c r="AM59" s="116">
        <v>-3275.085</v>
      </c>
      <c r="AN59" s="118">
        <f t="shared" si="81"/>
        <v>2.0000000000663931</v>
      </c>
      <c r="AO59" s="118">
        <f t="shared" si="82"/>
        <v>1.9999999999527063</v>
      </c>
      <c r="AP59" s="118">
        <f t="shared" si="83"/>
        <v>2.8284271247596955</v>
      </c>
      <c r="AQ59" s="116">
        <v>850.59</v>
      </c>
      <c r="AR59" s="116">
        <v>-3275.0810000000001</v>
      </c>
      <c r="AS59" s="118">
        <f t="shared" si="18"/>
        <v>2.0000000000663931</v>
      </c>
      <c r="AT59" s="118">
        <f t="shared" si="19"/>
        <v>5.9999999998581188</v>
      </c>
      <c r="AU59" s="118">
        <f t="shared" si="20"/>
        <v>6.3245553202231539</v>
      </c>
      <c r="AV59" s="116">
        <v>850.59</v>
      </c>
      <c r="AW59" s="116">
        <v>-3275.0790000000002</v>
      </c>
      <c r="AX59" s="125">
        <f t="shared" si="21"/>
        <v>2.0000000000663931</v>
      </c>
      <c r="AY59" s="118">
        <f t="shared" si="22"/>
        <v>7.9999999998108251</v>
      </c>
      <c r="AZ59" s="118">
        <f t="shared" si="23"/>
        <v>8.2462112510678978</v>
      </c>
      <c r="BA59" s="116">
        <v>850.59400000000005</v>
      </c>
      <c r="BB59" s="116">
        <v>-3275.078</v>
      </c>
      <c r="BC59" s="118">
        <f t="shared" si="24"/>
        <v>6.0000000000854925</v>
      </c>
      <c r="BD59" s="118">
        <f t="shared" si="25"/>
        <v>9.0000000000145519</v>
      </c>
      <c r="BE59" s="118">
        <f t="shared" si="26"/>
        <v>10.816653826451498</v>
      </c>
      <c r="BF59" s="127">
        <v>850.596</v>
      </c>
      <c r="BG59" s="127">
        <v>-3275.0769999999998</v>
      </c>
      <c r="BH59" s="118">
        <f t="shared" si="48"/>
        <v>8.0000000000381988</v>
      </c>
      <c r="BI59" s="118">
        <f t="shared" si="49"/>
        <v>10.000000000218279</v>
      </c>
      <c r="BJ59" s="118">
        <f t="shared" si="50"/>
        <v>12.806248475060007</v>
      </c>
      <c r="BK59" s="127">
        <v>850.59299999999996</v>
      </c>
      <c r="BL59" s="127">
        <v>-3275.0749999999998</v>
      </c>
      <c r="BM59" s="118">
        <f t="shared" si="51"/>
        <v>4.9999999999954525</v>
      </c>
      <c r="BN59" s="118">
        <f t="shared" si="52"/>
        <v>12.000000000170985</v>
      </c>
      <c r="BO59" s="118">
        <f t="shared" si="53"/>
        <v>13.000000000156083</v>
      </c>
      <c r="BP59" s="127">
        <v>850.59199999999998</v>
      </c>
      <c r="BQ59" s="127">
        <v>-3275.076</v>
      </c>
      <c r="BR59" s="118">
        <f t="shared" si="33"/>
        <v>4.0000000000190994</v>
      </c>
      <c r="BS59" s="118">
        <f t="shared" si="34"/>
        <v>10.999999999967258</v>
      </c>
      <c r="BT59" s="118">
        <f t="shared" si="35"/>
        <v>11.704699910695382</v>
      </c>
      <c r="BU59" s="127">
        <v>850.58899999999994</v>
      </c>
      <c r="BV59" s="127">
        <v>-3275.0749999999998</v>
      </c>
      <c r="BW59" s="118">
        <f t="shared" si="36"/>
        <v>0.99999999997635314</v>
      </c>
      <c r="BX59" s="118">
        <f t="shared" si="37"/>
        <v>12.000000000170985</v>
      </c>
      <c r="BY59" s="118">
        <f t="shared" si="38"/>
        <v>12.041594578960726</v>
      </c>
      <c r="BZ59" s="115">
        <f t="shared" si="54"/>
        <v>50</v>
      </c>
    </row>
    <row r="60" spans="2:78" ht="15.95" hidden="1" customHeight="1" x14ac:dyDescent="0.25">
      <c r="B60" s="155" t="s">
        <v>216</v>
      </c>
      <c r="C60" s="156"/>
      <c r="D60" s="156"/>
      <c r="E60" s="157"/>
      <c r="F60" s="157"/>
      <c r="G60" s="123"/>
      <c r="H60" s="156"/>
      <c r="I60" s="156"/>
      <c r="J60" s="157"/>
      <c r="K60" s="157"/>
      <c r="L60" s="123"/>
      <c r="M60" s="156"/>
      <c r="N60" s="156"/>
      <c r="O60" s="157"/>
      <c r="P60" s="157"/>
      <c r="Q60" s="123"/>
      <c r="R60" s="156"/>
      <c r="S60" s="156"/>
      <c r="T60" s="123"/>
      <c r="U60" s="123"/>
      <c r="V60" s="123"/>
      <c r="W60" s="156"/>
      <c r="X60" s="156"/>
      <c r="Y60" s="123"/>
      <c r="Z60" s="123"/>
      <c r="AA60" s="123"/>
      <c r="AB60" s="156"/>
      <c r="AC60" s="156"/>
      <c r="AD60" s="123"/>
      <c r="AE60" s="123"/>
      <c r="AF60" s="123"/>
      <c r="AG60" s="156"/>
      <c r="AH60" s="156"/>
      <c r="AI60" s="123"/>
      <c r="AJ60" s="123"/>
      <c r="AK60" s="123"/>
      <c r="AL60" s="156"/>
      <c r="AM60" s="156"/>
      <c r="AN60" s="123"/>
      <c r="AO60" s="123"/>
      <c r="AP60" s="123"/>
      <c r="AQ60" s="156"/>
      <c r="AR60" s="156"/>
      <c r="AS60" s="123"/>
      <c r="AT60" s="123"/>
      <c r="AU60" s="123"/>
      <c r="AV60" s="156"/>
      <c r="AW60" s="156"/>
      <c r="AX60" s="123"/>
      <c r="AY60" s="123"/>
      <c r="AZ60" s="123"/>
      <c r="BA60" s="156"/>
      <c r="BB60" s="156"/>
      <c r="BC60" s="123"/>
      <c r="BD60" s="123"/>
      <c r="BE60" s="123"/>
      <c r="BF60" s="158"/>
      <c r="BG60" s="158"/>
      <c r="BH60" s="123"/>
      <c r="BI60" s="123"/>
      <c r="BJ60" s="123"/>
      <c r="BK60" s="158"/>
      <c r="BL60" s="158"/>
      <c r="BM60" s="123"/>
      <c r="BN60" s="123"/>
      <c r="BO60" s="123"/>
      <c r="BP60" s="158"/>
      <c r="BQ60" s="158"/>
      <c r="BR60" s="123"/>
      <c r="BS60" s="123"/>
      <c r="BT60" s="123"/>
      <c r="BU60" s="158"/>
      <c r="BV60" s="158"/>
      <c r="BW60" s="123"/>
      <c r="BX60" s="123"/>
      <c r="BY60" s="123"/>
      <c r="BZ60" s="155" t="str">
        <f>B60</f>
        <v>50.1</v>
      </c>
    </row>
    <row r="61" spans="2:78" ht="15.95" customHeight="1" x14ac:dyDescent="0.25">
      <c r="B61" s="115">
        <v>51</v>
      </c>
      <c r="C61" s="116">
        <v>850.221</v>
      </c>
      <c r="D61" s="116">
        <v>-3269.5189999999998</v>
      </c>
      <c r="E61" s="117">
        <v>0</v>
      </c>
      <c r="F61" s="117">
        <v>0</v>
      </c>
      <c r="G61" s="118">
        <f t="shared" si="84"/>
        <v>0</v>
      </c>
      <c r="H61" s="116">
        <v>850.22</v>
      </c>
      <c r="I61" s="116">
        <v>-3269.5169999999998</v>
      </c>
      <c r="J61" s="117">
        <v>0</v>
      </c>
      <c r="K61" s="117">
        <v>0</v>
      </c>
      <c r="L61" s="118">
        <v>0</v>
      </c>
      <c r="M61" s="116">
        <v>850.20500000000004</v>
      </c>
      <c r="N61" s="116">
        <v>-3269.529</v>
      </c>
      <c r="O61" s="117">
        <f t="shared" si="85"/>
        <v>-14.999999999986358</v>
      </c>
      <c r="P61" s="117">
        <f t="shared" si="85"/>
        <v>-12.000000000170985</v>
      </c>
      <c r="Q61" s="118">
        <f t="shared" si="86"/>
        <v>19.209372712394707</v>
      </c>
      <c r="R61" s="116">
        <v>850.20800000000008</v>
      </c>
      <c r="S61" s="116">
        <v>-3269.5239999999999</v>
      </c>
      <c r="T61" s="118">
        <f t="shared" si="75"/>
        <v>-11.999999999943611</v>
      </c>
      <c r="U61" s="118">
        <f t="shared" si="76"/>
        <v>-7.0000000000618456</v>
      </c>
      <c r="V61" s="118">
        <f t="shared" si="77"/>
        <v>13.892443989432259</v>
      </c>
      <c r="W61" s="116">
        <v>850.21100000000001</v>
      </c>
      <c r="X61" s="116">
        <v>-3269.518</v>
      </c>
      <c r="Y61" s="118">
        <f t="shared" si="78"/>
        <v>-9.0000000000145519</v>
      </c>
      <c r="Z61" s="118">
        <f t="shared" si="79"/>
        <v>-1.0000000002037268</v>
      </c>
      <c r="AA61" s="118">
        <f t="shared" si="80"/>
        <v>9.055385138174378</v>
      </c>
      <c r="AB61" s="129">
        <v>850.21199999999999</v>
      </c>
      <c r="AC61" s="129">
        <v>-3269.5230000000001</v>
      </c>
      <c r="AD61" s="118">
        <f t="shared" si="69"/>
        <v>-8.0000000000381988</v>
      </c>
      <c r="AE61" s="118">
        <f t="shared" si="70"/>
        <v>-6.0000000003128662</v>
      </c>
      <c r="AF61" s="118">
        <f t="shared" si="71"/>
        <v>10.000000000218279</v>
      </c>
      <c r="AG61" s="116">
        <v>850.21299999999997</v>
      </c>
      <c r="AH61" s="116">
        <v>-3269.5280000000002</v>
      </c>
      <c r="AI61" s="118">
        <f t="shared" si="72"/>
        <v>-7.0000000000618456</v>
      </c>
      <c r="AJ61" s="118">
        <f t="shared" si="73"/>
        <v>-11.000000000422006</v>
      </c>
      <c r="AK61" s="118">
        <f t="shared" si="74"/>
        <v>13.03840481079453</v>
      </c>
      <c r="AL61" s="116">
        <v>850.21799999999996</v>
      </c>
      <c r="AM61" s="116">
        <v>-3269.5250000000001</v>
      </c>
      <c r="AN61" s="118">
        <f t="shared" si="81"/>
        <v>-2.0000000000663931</v>
      </c>
      <c r="AO61" s="118">
        <f t="shared" si="82"/>
        <v>-8.0000000002655725</v>
      </c>
      <c r="AP61" s="118">
        <f t="shared" si="83"/>
        <v>8.2462112515090666</v>
      </c>
      <c r="AQ61" s="116">
        <v>850.21299999999997</v>
      </c>
      <c r="AR61" s="116">
        <v>-3269.52</v>
      </c>
      <c r="AS61" s="118">
        <f t="shared" si="18"/>
        <v>-7.0000000000618456</v>
      </c>
      <c r="AT61" s="118">
        <f t="shared" si="19"/>
        <v>-3.0000000001564331</v>
      </c>
      <c r="AU61" s="118">
        <f t="shared" si="20"/>
        <v>7.6157731059823757</v>
      </c>
      <c r="AV61" s="116">
        <v>850.21499999999992</v>
      </c>
      <c r="AW61" s="116">
        <v>-3269.518</v>
      </c>
      <c r="AX61" s="125">
        <f t="shared" si="21"/>
        <v>-5.0000000001091394</v>
      </c>
      <c r="AY61" s="118">
        <f t="shared" si="22"/>
        <v>-1.0000000002037268</v>
      </c>
      <c r="AZ61" s="118">
        <f t="shared" si="23"/>
        <v>5.0990195137397585</v>
      </c>
      <c r="BA61" s="116">
        <v>850.21899999999994</v>
      </c>
      <c r="BB61" s="116">
        <v>-3269.52</v>
      </c>
      <c r="BC61" s="118">
        <f t="shared" si="24"/>
        <v>-1.00000000009004</v>
      </c>
      <c r="BD61" s="118">
        <f t="shared" si="25"/>
        <v>-3.0000000001564331</v>
      </c>
      <c r="BE61" s="118">
        <f t="shared" si="26"/>
        <v>3.162277660345258</v>
      </c>
      <c r="BF61" s="127">
        <v>850.21699999999998</v>
      </c>
      <c r="BG61" s="127">
        <v>-3269.5210000000002</v>
      </c>
      <c r="BH61" s="118">
        <f t="shared" si="48"/>
        <v>-3.0000000000427463</v>
      </c>
      <c r="BI61" s="118">
        <f t="shared" si="49"/>
        <v>-4.0000000003601599</v>
      </c>
      <c r="BJ61" s="118">
        <f t="shared" si="50"/>
        <v>5.0000000003137757</v>
      </c>
      <c r="BK61" s="127">
        <v>850.21899999999994</v>
      </c>
      <c r="BL61" s="127">
        <v>-3269.5190000000002</v>
      </c>
      <c r="BM61" s="118">
        <f t="shared" si="51"/>
        <v>-1.00000000009004</v>
      </c>
      <c r="BN61" s="118">
        <f t="shared" si="52"/>
        <v>-2.0000000004074536</v>
      </c>
      <c r="BO61" s="118">
        <f t="shared" si="53"/>
        <v>2.2360679779044945</v>
      </c>
      <c r="BP61" s="127">
        <v>850.21999999999991</v>
      </c>
      <c r="BQ61" s="127">
        <v>-3269.5160000000001</v>
      </c>
      <c r="BR61" s="118">
        <f t="shared" si="33"/>
        <v>-1.1368683772161603E-10</v>
      </c>
      <c r="BS61" s="118">
        <f t="shared" si="34"/>
        <v>0.99999999974897946</v>
      </c>
      <c r="BT61" s="118">
        <f t="shared" si="35"/>
        <v>0.99999999974897946</v>
      </c>
      <c r="BU61" s="127">
        <v>850.22199999999987</v>
      </c>
      <c r="BV61" s="127">
        <v>-3269.5140000000001</v>
      </c>
      <c r="BW61" s="118">
        <f t="shared" si="36"/>
        <v>1.9999999998390194</v>
      </c>
      <c r="BX61" s="118">
        <f t="shared" si="37"/>
        <v>2.9999999997016857</v>
      </c>
      <c r="BY61" s="118">
        <f t="shared" si="38"/>
        <v>3.6055512751264809</v>
      </c>
      <c r="BZ61" s="115">
        <f t="shared" si="54"/>
        <v>51</v>
      </c>
    </row>
    <row r="62" spans="2:78" ht="15.95" customHeight="1" x14ac:dyDescent="0.25">
      <c r="B62" s="115">
        <v>52</v>
      </c>
      <c r="C62" s="116">
        <v>849.24400000000003</v>
      </c>
      <c r="D62" s="116">
        <v>-3264.9560000000001</v>
      </c>
      <c r="E62" s="117">
        <v>0</v>
      </c>
      <c r="F62" s="117">
        <v>0</v>
      </c>
      <c r="G62" s="118">
        <f t="shared" si="84"/>
        <v>0</v>
      </c>
      <c r="H62" s="116">
        <v>849.24300000000005</v>
      </c>
      <c r="I62" s="116">
        <v>-3264.9560000000001</v>
      </c>
      <c r="J62" s="117">
        <v>0</v>
      </c>
      <c r="K62" s="117">
        <v>0</v>
      </c>
      <c r="L62" s="118">
        <v>0</v>
      </c>
      <c r="M62" s="116">
        <v>849.22900000000004</v>
      </c>
      <c r="N62" s="116">
        <v>-3264.9659999999999</v>
      </c>
      <c r="O62" s="117">
        <f t="shared" si="85"/>
        <v>-14.000000000010004</v>
      </c>
      <c r="P62" s="117">
        <f t="shared" si="85"/>
        <v>-9.9999999997635314</v>
      </c>
      <c r="Q62" s="118">
        <f t="shared" si="86"/>
        <v>17.204650533955949</v>
      </c>
      <c r="R62" s="116">
        <v>849.23300000000006</v>
      </c>
      <c r="S62" s="116">
        <v>-3264.9609999999998</v>
      </c>
      <c r="T62" s="118">
        <f t="shared" si="75"/>
        <v>-9.9999999999909051</v>
      </c>
      <c r="U62" s="118">
        <f t="shared" si="76"/>
        <v>-4.999999999654392</v>
      </c>
      <c r="V62" s="118">
        <f t="shared" si="77"/>
        <v>11.180339887336253</v>
      </c>
      <c r="W62" s="116">
        <v>849.23700000000008</v>
      </c>
      <c r="X62" s="116">
        <v>-3264.9569999999999</v>
      </c>
      <c r="Y62" s="118">
        <f t="shared" si="78"/>
        <v>-5.9999999999718057</v>
      </c>
      <c r="Z62" s="118">
        <f t="shared" si="79"/>
        <v>-0.99999999974897946</v>
      </c>
      <c r="AA62" s="118">
        <f t="shared" si="80"/>
        <v>6.0827625302291413</v>
      </c>
      <c r="AB62" s="129">
        <v>849.23800000000006</v>
      </c>
      <c r="AC62" s="129">
        <v>-3264.9609999999998</v>
      </c>
      <c r="AD62" s="118">
        <f t="shared" si="69"/>
        <v>-4.9999999999954525</v>
      </c>
      <c r="AE62" s="118">
        <f t="shared" si="70"/>
        <v>-4.999999999654392</v>
      </c>
      <c r="AF62" s="118">
        <f t="shared" si="71"/>
        <v>7.071067811617878</v>
      </c>
      <c r="AG62" s="116">
        <v>849.23900000000003</v>
      </c>
      <c r="AH62" s="116">
        <v>-3264.9599999999996</v>
      </c>
      <c r="AI62" s="118">
        <f t="shared" si="72"/>
        <v>-4.0000000000190994</v>
      </c>
      <c r="AJ62" s="118">
        <f t="shared" si="73"/>
        <v>-3.9999999994506652</v>
      </c>
      <c r="AK62" s="118">
        <f t="shared" si="74"/>
        <v>5.6568542491174467</v>
      </c>
      <c r="AL62" s="116">
        <v>849.23400000000004</v>
      </c>
      <c r="AM62" s="116">
        <v>-3264.9589999999994</v>
      </c>
      <c r="AN62" s="118">
        <f t="shared" si="81"/>
        <v>-9.0000000000145519</v>
      </c>
      <c r="AO62" s="118">
        <f t="shared" si="82"/>
        <v>-2.9999999992469384</v>
      </c>
      <c r="AP62" s="118">
        <f t="shared" si="83"/>
        <v>9.4868329802808038</v>
      </c>
      <c r="AQ62" s="116">
        <v>849.23700000000008</v>
      </c>
      <c r="AR62" s="116">
        <v>-3264.9559999999997</v>
      </c>
      <c r="AS62" s="118">
        <f t="shared" si="18"/>
        <v>-5.9999999999718057</v>
      </c>
      <c r="AT62" s="118">
        <f t="shared" si="19"/>
        <v>4.5474735088646412E-10</v>
      </c>
      <c r="AU62" s="118">
        <f t="shared" si="20"/>
        <v>5.9999999999718057</v>
      </c>
      <c r="AV62" s="116">
        <v>849.23300000000006</v>
      </c>
      <c r="AW62" s="116">
        <v>-3264.9519999999998</v>
      </c>
      <c r="AX62" s="125">
        <f t="shared" si="21"/>
        <v>-9.9999999999909051</v>
      </c>
      <c r="AY62" s="118">
        <f t="shared" si="22"/>
        <v>4.0000000003601599</v>
      </c>
      <c r="AZ62" s="118">
        <f t="shared" si="23"/>
        <v>10.770329614394324</v>
      </c>
      <c r="BA62" s="116">
        <v>849.23</v>
      </c>
      <c r="BB62" s="116">
        <v>-3264.9509999999996</v>
      </c>
      <c r="BC62" s="118">
        <f t="shared" si="24"/>
        <v>-13.000000000033651</v>
      </c>
      <c r="BD62" s="118">
        <f t="shared" si="25"/>
        <v>5.0000000005638867</v>
      </c>
      <c r="BE62" s="118">
        <f t="shared" si="26"/>
        <v>13.928388277417952</v>
      </c>
      <c r="BF62" s="127">
        <v>849.23199999999997</v>
      </c>
      <c r="BG62" s="127">
        <v>-3264.9479999999994</v>
      </c>
      <c r="BH62" s="118">
        <f t="shared" si="48"/>
        <v>-11.000000000080945</v>
      </c>
      <c r="BI62" s="118">
        <f t="shared" si="49"/>
        <v>8.0000000007203198</v>
      </c>
      <c r="BJ62" s="118">
        <f t="shared" si="50"/>
        <v>13.601470509224578</v>
      </c>
      <c r="BK62" s="127">
        <v>849.23399999999992</v>
      </c>
      <c r="BL62" s="127">
        <v>-3264.9479999999994</v>
      </c>
      <c r="BM62" s="118">
        <f t="shared" si="51"/>
        <v>-9.0000000001282388</v>
      </c>
      <c r="BN62" s="118">
        <f t="shared" si="52"/>
        <v>8.0000000007203198</v>
      </c>
      <c r="BO62" s="118">
        <f t="shared" si="53"/>
        <v>12.041594579366697</v>
      </c>
      <c r="BP62" s="127">
        <v>849.2349999999999</v>
      </c>
      <c r="BQ62" s="127">
        <v>-3264.9459999999995</v>
      </c>
      <c r="BR62" s="118">
        <f t="shared" si="33"/>
        <v>-8.0000000001518856</v>
      </c>
      <c r="BS62" s="118">
        <f t="shared" si="34"/>
        <v>10.000000000673026</v>
      </c>
      <c r="BT62" s="118">
        <f t="shared" si="35"/>
        <v>12.806248475486125</v>
      </c>
      <c r="BU62" s="127">
        <v>849.2349999999999</v>
      </c>
      <c r="BV62" s="127">
        <v>-3264.9449999999993</v>
      </c>
      <c r="BW62" s="118">
        <f t="shared" si="36"/>
        <v>-8.0000000001518856</v>
      </c>
      <c r="BX62" s="118">
        <f t="shared" si="37"/>
        <v>11.000000000876753</v>
      </c>
      <c r="BY62" s="118">
        <f t="shared" si="38"/>
        <v>13.60147050953384</v>
      </c>
      <c r="BZ62" s="115">
        <f t="shared" si="54"/>
        <v>52</v>
      </c>
    </row>
    <row r="63" spans="2:78" ht="15.95" customHeight="1" x14ac:dyDescent="0.25">
      <c r="B63" s="115">
        <v>53</v>
      </c>
      <c r="C63" s="116">
        <v>843.68799999999999</v>
      </c>
      <c r="D63" s="116">
        <v>-3265.1170000000002</v>
      </c>
      <c r="E63" s="117">
        <v>0</v>
      </c>
      <c r="F63" s="117">
        <v>0</v>
      </c>
      <c r="G63" s="118">
        <f t="shared" si="84"/>
        <v>0</v>
      </c>
      <c r="H63" s="116">
        <v>843.68799999999999</v>
      </c>
      <c r="I63" s="116">
        <v>-3265.1170000000002</v>
      </c>
      <c r="J63" s="117">
        <v>0</v>
      </c>
      <c r="K63" s="117">
        <v>0</v>
      </c>
      <c r="L63" s="118">
        <v>0</v>
      </c>
      <c r="M63" s="116">
        <v>843.67600000000004</v>
      </c>
      <c r="N63" s="116">
        <v>-3265.1309999999999</v>
      </c>
      <c r="O63" s="117">
        <f t="shared" si="85"/>
        <v>-11.999999999943611</v>
      </c>
      <c r="P63" s="117">
        <f t="shared" si="85"/>
        <v>-13.999999999668944</v>
      </c>
      <c r="Q63" s="118">
        <f t="shared" si="86"/>
        <v>18.43908891429772</v>
      </c>
      <c r="R63" s="116">
        <v>843.68000000000006</v>
      </c>
      <c r="S63" s="116">
        <v>-3265.127</v>
      </c>
      <c r="T63" s="118">
        <f t="shared" si="75"/>
        <v>-7.9999999999245119</v>
      </c>
      <c r="U63" s="118">
        <f t="shared" si="76"/>
        <v>-9.9999999997635314</v>
      </c>
      <c r="V63" s="118">
        <f t="shared" si="77"/>
        <v>12.80624847463389</v>
      </c>
      <c r="W63" s="116">
        <v>843.67900000000009</v>
      </c>
      <c r="X63" s="116">
        <v>-3265.1239999999998</v>
      </c>
      <c r="Y63" s="118">
        <f t="shared" si="78"/>
        <v>-8.9999999999008651</v>
      </c>
      <c r="Z63" s="118">
        <f t="shared" si="79"/>
        <v>-6.9999999996070983</v>
      </c>
      <c r="AA63" s="118">
        <f t="shared" si="80"/>
        <v>11.401754250671909</v>
      </c>
      <c r="AB63" s="129">
        <v>843.68100000000004</v>
      </c>
      <c r="AC63" s="129">
        <v>-3265.125</v>
      </c>
      <c r="AD63" s="118">
        <f t="shared" si="69"/>
        <v>-6.9999999999481588</v>
      </c>
      <c r="AE63" s="118">
        <f t="shared" si="70"/>
        <v>-7.9999999998108251</v>
      </c>
      <c r="AF63" s="118">
        <f t="shared" si="71"/>
        <v>10.630145812558142</v>
      </c>
      <c r="AG63" s="116">
        <v>843.67600000000004</v>
      </c>
      <c r="AH63" s="116">
        <v>-3265.1280000000002</v>
      </c>
      <c r="AI63" s="118">
        <f t="shared" si="72"/>
        <v>-11.999999999943611</v>
      </c>
      <c r="AJ63" s="118">
        <f t="shared" si="73"/>
        <v>-10.999999999967258</v>
      </c>
      <c r="AK63" s="118">
        <f t="shared" si="74"/>
        <v>16.278820596036013</v>
      </c>
      <c r="AL63" s="116">
        <v>843.67200000000003</v>
      </c>
      <c r="AM63" s="116">
        <v>-3265.1320000000001</v>
      </c>
      <c r="AN63" s="118">
        <f t="shared" si="81"/>
        <v>-15.999999999962711</v>
      </c>
      <c r="AO63" s="118">
        <f t="shared" si="82"/>
        <v>-14.999999999872671</v>
      </c>
      <c r="AP63" s="118">
        <f t="shared" si="83"/>
        <v>21.931712199347018</v>
      </c>
      <c r="AQ63" s="116">
        <v>843.67400000000009</v>
      </c>
      <c r="AR63" s="116">
        <v>-3265.125</v>
      </c>
      <c r="AS63" s="118">
        <f t="shared" si="18"/>
        <v>-13.999999999896318</v>
      </c>
      <c r="AT63" s="118">
        <f t="shared" si="19"/>
        <v>-7.9999999998108251</v>
      </c>
      <c r="AU63" s="118">
        <f t="shared" si="20"/>
        <v>16.12451549641322</v>
      </c>
      <c r="AV63" s="116">
        <v>843.66800000000012</v>
      </c>
      <c r="AW63" s="116">
        <v>-3265.123</v>
      </c>
      <c r="AX63" s="123">
        <f t="shared" si="21"/>
        <v>-19.999999999868123</v>
      </c>
      <c r="AY63" s="118">
        <f t="shared" si="22"/>
        <v>-5.9999999998581188</v>
      </c>
      <c r="AZ63" s="118">
        <f t="shared" si="23"/>
        <v>20.880613017654017</v>
      </c>
      <c r="BA63" s="116">
        <v>843.66600000000017</v>
      </c>
      <c r="BB63" s="116">
        <v>-3265.123</v>
      </c>
      <c r="BC63" s="118">
        <f t="shared" si="24"/>
        <v>-21.99999999982083</v>
      </c>
      <c r="BD63" s="118">
        <f t="shared" si="25"/>
        <v>-5.9999999998581188</v>
      </c>
      <c r="BE63" s="118">
        <f t="shared" si="26"/>
        <v>22.803508501772573</v>
      </c>
      <c r="BF63" s="127">
        <v>843.66800000000012</v>
      </c>
      <c r="BG63" s="127">
        <v>-3265.1240000000003</v>
      </c>
      <c r="BH63" s="118">
        <f t="shared" si="48"/>
        <v>-19.999999999868123</v>
      </c>
      <c r="BI63" s="118">
        <f t="shared" si="49"/>
        <v>-7.0000000000618456</v>
      </c>
      <c r="BJ63" s="118">
        <f t="shared" si="50"/>
        <v>21.18962010031305</v>
      </c>
      <c r="BK63" s="127">
        <v>843.66500000000008</v>
      </c>
      <c r="BL63" s="127">
        <v>-3265.1220000000003</v>
      </c>
      <c r="BM63" s="118">
        <f t="shared" si="51"/>
        <v>-22.99999999991087</v>
      </c>
      <c r="BN63" s="118">
        <f t="shared" si="52"/>
        <v>-5.0000000001091394</v>
      </c>
      <c r="BO63" s="118">
        <f t="shared" si="53"/>
        <v>23.53720459181573</v>
      </c>
      <c r="BP63" s="127">
        <v>843.66600000000005</v>
      </c>
      <c r="BQ63" s="127">
        <v>-3265.1240000000003</v>
      </c>
      <c r="BR63" s="118">
        <f t="shared" si="33"/>
        <v>-21.999999999934516</v>
      </c>
      <c r="BS63" s="118">
        <f t="shared" si="34"/>
        <v>-7.0000000000618456</v>
      </c>
      <c r="BT63" s="118">
        <f t="shared" si="35"/>
        <v>23.086792761186743</v>
      </c>
      <c r="BU63" s="127">
        <v>843.66300000000001</v>
      </c>
      <c r="BV63" s="127">
        <v>-3265.1240000000003</v>
      </c>
      <c r="BW63" s="211">
        <f t="shared" si="36"/>
        <v>-24.999999999977263</v>
      </c>
      <c r="BX63" s="118">
        <f t="shared" si="37"/>
        <v>-7.0000000000618456</v>
      </c>
      <c r="BY63" s="118">
        <f t="shared" si="38"/>
        <v>25.961509971489118</v>
      </c>
      <c r="BZ63" s="115">
        <f t="shared" si="54"/>
        <v>53</v>
      </c>
    </row>
    <row r="64" spans="2:78" ht="15.95" customHeight="1" x14ac:dyDescent="0.25">
      <c r="B64" s="115">
        <v>54</v>
      </c>
      <c r="C64" s="116">
        <v>838.31200000000001</v>
      </c>
      <c r="D64" s="116">
        <v>-3265.3240000000001</v>
      </c>
      <c r="E64" s="117">
        <v>0</v>
      </c>
      <c r="F64" s="117">
        <v>0</v>
      </c>
      <c r="G64" s="118">
        <f t="shared" si="84"/>
        <v>0</v>
      </c>
      <c r="H64" s="116">
        <v>838.30399999999997</v>
      </c>
      <c r="I64" s="116">
        <v>-3265.3220000000001</v>
      </c>
      <c r="J64" s="117">
        <v>0</v>
      </c>
      <c r="K64" s="117">
        <v>0</v>
      </c>
      <c r="L64" s="118">
        <v>0</v>
      </c>
      <c r="M64" s="116">
        <v>838.30899999999997</v>
      </c>
      <c r="N64" s="116">
        <v>-3265.3319999999999</v>
      </c>
      <c r="O64" s="117">
        <f t="shared" si="85"/>
        <v>4.9999999999954525</v>
      </c>
      <c r="P64" s="117">
        <f t="shared" si="85"/>
        <v>-9.9999999997635314</v>
      </c>
      <c r="Q64" s="118">
        <f t="shared" si="86"/>
        <v>11.180339887285411</v>
      </c>
      <c r="R64" s="116">
        <v>838.31299999999999</v>
      </c>
      <c r="S64" s="116">
        <v>-3265.3269999999998</v>
      </c>
      <c r="T64" s="118">
        <f t="shared" si="75"/>
        <v>9.0000000000145519</v>
      </c>
      <c r="U64" s="118">
        <f t="shared" si="76"/>
        <v>-4.999999999654392</v>
      </c>
      <c r="V64" s="118">
        <f t="shared" si="77"/>
        <v>10.295630140831879</v>
      </c>
      <c r="W64" s="116">
        <v>838.31200000000001</v>
      </c>
      <c r="X64" s="116">
        <v>-3265.3209999999999</v>
      </c>
      <c r="Y64" s="118">
        <f t="shared" si="78"/>
        <v>8.0000000000381988</v>
      </c>
      <c r="Z64" s="118">
        <f t="shared" si="79"/>
        <v>1.0000000002037268</v>
      </c>
      <c r="AA64" s="118">
        <f t="shared" si="80"/>
        <v>8.0622577483617235</v>
      </c>
      <c r="AB64" s="129">
        <v>838.31299999999999</v>
      </c>
      <c r="AC64" s="129">
        <v>-3265.3269999999998</v>
      </c>
      <c r="AD64" s="118">
        <f t="shared" si="69"/>
        <v>9.0000000000145519</v>
      </c>
      <c r="AE64" s="118">
        <f t="shared" si="70"/>
        <v>-4.999999999654392</v>
      </c>
      <c r="AF64" s="118">
        <f t="shared" si="71"/>
        <v>10.295630140831879</v>
      </c>
      <c r="AG64" s="116">
        <v>838.31</v>
      </c>
      <c r="AH64" s="116">
        <v>-3265.3249999999998</v>
      </c>
      <c r="AI64" s="118">
        <f t="shared" si="72"/>
        <v>5.9999999999718057</v>
      </c>
      <c r="AJ64" s="118">
        <f t="shared" si="73"/>
        <v>-2.9999999997016857</v>
      </c>
      <c r="AK64" s="118">
        <f t="shared" si="74"/>
        <v>6.7082039323407407</v>
      </c>
      <c r="AL64" s="116">
        <v>838.31499999999994</v>
      </c>
      <c r="AM64" s="116">
        <v>-3265.3219999999997</v>
      </c>
      <c r="AN64" s="118">
        <f t="shared" si="81"/>
        <v>10.999999999967258</v>
      </c>
      <c r="AO64" s="118">
        <f t="shared" si="82"/>
        <v>4.5474735088646412E-10</v>
      </c>
      <c r="AP64" s="118">
        <f t="shared" si="83"/>
        <v>10.999999999967258</v>
      </c>
      <c r="AQ64" s="116">
        <v>838.31399999999985</v>
      </c>
      <c r="AR64" s="116">
        <v>-3265.3219999999997</v>
      </c>
      <c r="AS64" s="118">
        <f t="shared" si="18"/>
        <v>9.9999999998772182</v>
      </c>
      <c r="AT64" s="118">
        <f t="shared" si="19"/>
        <v>4.5474735088646412E-10</v>
      </c>
      <c r="AU64" s="118">
        <f t="shared" si="20"/>
        <v>9.9999999998772182</v>
      </c>
      <c r="AV64" s="116">
        <v>838.31699999999989</v>
      </c>
      <c r="AW64" s="116">
        <v>-3265.3199999999997</v>
      </c>
      <c r="AX64" s="125">
        <f t="shared" si="21"/>
        <v>12.999999999919964</v>
      </c>
      <c r="AY64" s="118">
        <f t="shared" si="22"/>
        <v>2.0000000004074536</v>
      </c>
      <c r="AZ64" s="118">
        <f t="shared" si="23"/>
        <v>13.152946437948756</v>
      </c>
      <c r="BA64" s="116">
        <v>838.31899999999985</v>
      </c>
      <c r="BB64" s="116">
        <v>-3265.3209999999999</v>
      </c>
      <c r="BC64" s="118">
        <f t="shared" si="24"/>
        <v>14.999999999872671</v>
      </c>
      <c r="BD64" s="118">
        <f t="shared" si="25"/>
        <v>1.0000000002037268</v>
      </c>
      <c r="BE64" s="118">
        <f t="shared" si="26"/>
        <v>15.033296378259413</v>
      </c>
      <c r="BF64" s="127">
        <v>838.32199999999989</v>
      </c>
      <c r="BG64" s="127">
        <v>-3265.3240000000001</v>
      </c>
      <c r="BH64" s="118">
        <f t="shared" si="48"/>
        <v>17.999999999915417</v>
      </c>
      <c r="BI64" s="118">
        <f t="shared" si="49"/>
        <v>-1.9999999999527063</v>
      </c>
      <c r="BJ64" s="118">
        <f t="shared" si="50"/>
        <v>18.110770276185544</v>
      </c>
      <c r="BK64" s="127">
        <v>838.32299999999987</v>
      </c>
      <c r="BL64" s="127">
        <v>-3265.3270000000002</v>
      </c>
      <c r="BM64" s="118">
        <f t="shared" si="51"/>
        <v>18.99999999989177</v>
      </c>
      <c r="BN64" s="118">
        <f t="shared" si="52"/>
        <v>-5.0000000001091394</v>
      </c>
      <c r="BO64" s="118">
        <f t="shared" si="53"/>
        <v>19.646882704311608</v>
      </c>
      <c r="BP64" s="127">
        <v>838.31999999999982</v>
      </c>
      <c r="BQ64" s="127">
        <v>-3265.3290000000002</v>
      </c>
      <c r="BR64" s="118">
        <f t="shared" si="33"/>
        <v>15.999999999849024</v>
      </c>
      <c r="BS64" s="118">
        <f t="shared" si="34"/>
        <v>-7.0000000000618456</v>
      </c>
      <c r="BT64" s="118">
        <f t="shared" si="35"/>
        <v>17.464249196459452</v>
      </c>
      <c r="BU64" s="127">
        <v>838.31899999999985</v>
      </c>
      <c r="BV64" s="127">
        <v>-3265.3300000000004</v>
      </c>
      <c r="BW64" s="118">
        <f t="shared" si="36"/>
        <v>14.999999999872671</v>
      </c>
      <c r="BX64" s="118">
        <f t="shared" si="37"/>
        <v>-8.0000000002655725</v>
      </c>
      <c r="BY64" s="118">
        <f t="shared" si="38"/>
        <v>17.000000000012626</v>
      </c>
      <c r="BZ64" s="115">
        <f t="shared" si="54"/>
        <v>54</v>
      </c>
    </row>
    <row r="65" spans="2:78" ht="15.95" customHeight="1" x14ac:dyDescent="0.25">
      <c r="B65" s="115">
        <v>55</v>
      </c>
      <c r="C65" s="116">
        <v>838.39700000000005</v>
      </c>
      <c r="D65" s="116">
        <v>-3270.58</v>
      </c>
      <c r="E65" s="117">
        <v>0</v>
      </c>
      <c r="F65" s="117">
        <v>0</v>
      </c>
      <c r="G65" s="118">
        <f t="shared" si="84"/>
        <v>0</v>
      </c>
      <c r="H65" s="116">
        <v>838.39</v>
      </c>
      <c r="I65" s="116">
        <v>-3270.578</v>
      </c>
      <c r="J65" s="117">
        <v>0</v>
      </c>
      <c r="K65" s="117">
        <v>0</v>
      </c>
      <c r="L65" s="118">
        <v>0</v>
      </c>
      <c r="M65" s="116">
        <v>838.40700000000004</v>
      </c>
      <c r="N65" s="116">
        <v>-3270.59</v>
      </c>
      <c r="O65" s="121">
        <f t="shared" si="85"/>
        <v>17.000000000052751</v>
      </c>
      <c r="P65" s="117">
        <f t="shared" si="85"/>
        <v>-12.000000000170985</v>
      </c>
      <c r="Q65" s="118">
        <f t="shared" si="86"/>
        <v>20.808652046826513</v>
      </c>
      <c r="R65" s="116">
        <v>838.40200000000004</v>
      </c>
      <c r="S65" s="116">
        <v>-3270.5859999999998</v>
      </c>
      <c r="T65" s="118">
        <f t="shared" si="75"/>
        <v>12.000000000057298</v>
      </c>
      <c r="U65" s="118">
        <f t="shared" si="76"/>
        <v>-7.9999999998108251</v>
      </c>
      <c r="V65" s="118">
        <f t="shared" si="77"/>
        <v>14.422205101798697</v>
      </c>
      <c r="W65" s="116">
        <v>838.40300000000002</v>
      </c>
      <c r="X65" s="116">
        <v>-3270.5839999999998</v>
      </c>
      <c r="Y65" s="119">
        <f t="shared" si="78"/>
        <v>13.000000000033651</v>
      </c>
      <c r="Z65" s="118">
        <f t="shared" si="79"/>
        <v>-5.9999999998581188</v>
      </c>
      <c r="AA65" s="118">
        <f t="shared" si="80"/>
        <v>14.31782106324745</v>
      </c>
      <c r="AB65" s="129">
        <v>838.40200000000004</v>
      </c>
      <c r="AC65" s="129">
        <v>-3270.5859999999998</v>
      </c>
      <c r="AD65" s="118">
        <f t="shared" si="69"/>
        <v>12.000000000057298</v>
      </c>
      <c r="AE65" s="118">
        <f t="shared" si="70"/>
        <v>-7.9999999998108251</v>
      </c>
      <c r="AF65" s="118">
        <f t="shared" si="71"/>
        <v>14.422205101798697</v>
      </c>
      <c r="AG65" s="116">
        <v>838.40800000000002</v>
      </c>
      <c r="AH65" s="116">
        <v>-3270.5849999999996</v>
      </c>
      <c r="AI65" s="118">
        <f t="shared" si="72"/>
        <v>18.000000000029104</v>
      </c>
      <c r="AJ65" s="118">
        <f t="shared" si="73"/>
        <v>-6.9999999996070983</v>
      </c>
      <c r="AK65" s="118">
        <f t="shared" si="74"/>
        <v>19.313207915712685</v>
      </c>
      <c r="AL65" s="116">
        <v>838.40300000000002</v>
      </c>
      <c r="AM65" s="116">
        <v>-3270.5879999999997</v>
      </c>
      <c r="AN65" s="118">
        <f t="shared" si="81"/>
        <v>13.000000000033651</v>
      </c>
      <c r="AO65" s="118">
        <f t="shared" si="82"/>
        <v>-9.9999999997635314</v>
      </c>
      <c r="AP65" s="118">
        <f t="shared" si="83"/>
        <v>16.401219466739221</v>
      </c>
      <c r="AQ65" s="116">
        <v>838.399</v>
      </c>
      <c r="AR65" s="116">
        <v>-3270.5839999999998</v>
      </c>
      <c r="AS65" s="118">
        <f t="shared" si="18"/>
        <v>9.0000000000145519</v>
      </c>
      <c r="AT65" s="118">
        <f t="shared" si="19"/>
        <v>-5.9999999998581188</v>
      </c>
      <c r="AU65" s="118">
        <f t="shared" si="20"/>
        <v>10.816653826325375</v>
      </c>
      <c r="AV65" s="116">
        <v>838.40200000000004</v>
      </c>
      <c r="AW65" s="116">
        <v>-3270.5819999999999</v>
      </c>
      <c r="AX65" s="125">
        <f t="shared" si="21"/>
        <v>12.000000000057298</v>
      </c>
      <c r="AY65" s="118">
        <f t="shared" si="22"/>
        <v>-3.9999999999054126</v>
      </c>
      <c r="AZ65" s="118">
        <f t="shared" si="23"/>
        <v>12.649110640697964</v>
      </c>
      <c r="BA65" s="116">
        <v>838.40300000000002</v>
      </c>
      <c r="BB65" s="116">
        <v>-3270.578</v>
      </c>
      <c r="BC65" s="118">
        <f t="shared" si="24"/>
        <v>13.000000000033651</v>
      </c>
      <c r="BD65" s="118">
        <f t="shared" si="25"/>
        <v>0</v>
      </c>
      <c r="BE65" s="118">
        <f t="shared" si="26"/>
        <v>13.000000000033651</v>
      </c>
      <c r="BF65" s="127">
        <v>838.40200000000004</v>
      </c>
      <c r="BG65" s="127">
        <v>-3270.576</v>
      </c>
      <c r="BH65" s="118">
        <f t="shared" si="48"/>
        <v>12.000000000057298</v>
      </c>
      <c r="BI65" s="118">
        <f t="shared" si="49"/>
        <v>1.9999999999527063</v>
      </c>
      <c r="BJ65" s="118">
        <f t="shared" si="50"/>
        <v>12.165525060645184</v>
      </c>
      <c r="BK65" s="127">
        <v>838.40100000000007</v>
      </c>
      <c r="BL65" s="127">
        <v>-3270.5729999999999</v>
      </c>
      <c r="BM65" s="118">
        <f t="shared" si="51"/>
        <v>11.000000000080945</v>
      </c>
      <c r="BN65" s="118">
        <f t="shared" si="52"/>
        <v>5.0000000001091394</v>
      </c>
      <c r="BO65" s="118">
        <f t="shared" si="53"/>
        <v>12.083045973713423</v>
      </c>
      <c r="BP65" s="127">
        <v>838.39800000000002</v>
      </c>
      <c r="BQ65" s="127">
        <v>-3270.5699999999997</v>
      </c>
      <c r="BR65" s="118">
        <f t="shared" si="33"/>
        <v>8.0000000000381988</v>
      </c>
      <c r="BS65" s="118">
        <f t="shared" si="34"/>
        <v>8.0000000002655725</v>
      </c>
      <c r="BT65" s="118">
        <f t="shared" si="35"/>
        <v>11.313708499199558</v>
      </c>
      <c r="BU65" s="127">
        <v>838.39700000000005</v>
      </c>
      <c r="BV65" s="127">
        <v>-3270.5709999999999</v>
      </c>
      <c r="BW65" s="118">
        <f t="shared" si="36"/>
        <v>7.0000000000618456</v>
      </c>
      <c r="BX65" s="118">
        <f t="shared" si="37"/>
        <v>7.0000000000618456</v>
      </c>
      <c r="BY65" s="118">
        <f t="shared" si="38"/>
        <v>9.8994949366991278</v>
      </c>
      <c r="BZ65" s="115">
        <f t="shared" si="54"/>
        <v>55</v>
      </c>
    </row>
    <row r="66" spans="2:78" ht="15.95" customHeight="1" x14ac:dyDescent="0.25">
      <c r="B66" s="115">
        <v>56</v>
      </c>
      <c r="C66" s="116">
        <v>838.31799999999998</v>
      </c>
      <c r="D66" s="116">
        <v>-3276.2559999999999</v>
      </c>
      <c r="E66" s="117">
        <v>0</v>
      </c>
      <c r="F66" s="117">
        <v>0</v>
      </c>
      <c r="G66" s="118">
        <f t="shared" si="84"/>
        <v>0</v>
      </c>
      <c r="H66" s="116">
        <v>838.31899999999996</v>
      </c>
      <c r="I66" s="116">
        <v>-3276.259</v>
      </c>
      <c r="J66" s="117">
        <v>0</v>
      </c>
      <c r="K66" s="117">
        <v>0</v>
      </c>
      <c r="L66" s="118">
        <v>0</v>
      </c>
      <c r="M66" s="116">
        <v>838.30700000000002</v>
      </c>
      <c r="N66" s="116">
        <v>-3276.26</v>
      </c>
      <c r="O66" s="117">
        <f t="shared" si="85"/>
        <v>-11.999999999943611</v>
      </c>
      <c r="P66" s="117">
        <f t="shared" si="85"/>
        <v>-1.0000000002037268</v>
      </c>
      <c r="Q66" s="118">
        <f t="shared" si="86"/>
        <v>12.041594578753021</v>
      </c>
      <c r="R66" s="116">
        <v>838.31200000000001</v>
      </c>
      <c r="S66" s="116">
        <v>-3276.2649999999999</v>
      </c>
      <c r="T66" s="118">
        <f t="shared" si="75"/>
        <v>-6.9999999999481588</v>
      </c>
      <c r="U66" s="118">
        <f t="shared" si="76"/>
        <v>-5.9999999998581188</v>
      </c>
      <c r="V66" s="118">
        <f t="shared" si="77"/>
        <v>9.2195444571611915</v>
      </c>
      <c r="W66" s="116">
        <v>838.31500000000005</v>
      </c>
      <c r="X66" s="116">
        <v>-3276.2639999999997</v>
      </c>
      <c r="Y66" s="118">
        <f t="shared" si="78"/>
        <v>-3.9999999999054126</v>
      </c>
      <c r="Z66" s="118">
        <f t="shared" si="79"/>
        <v>-4.999999999654392</v>
      </c>
      <c r="AA66" s="118">
        <f t="shared" si="80"/>
        <v>6.4031242371038859</v>
      </c>
      <c r="AB66" s="129">
        <v>838.31200000000001</v>
      </c>
      <c r="AC66" s="129">
        <v>-3276.2649999999999</v>
      </c>
      <c r="AD66" s="118">
        <f t="shared" si="69"/>
        <v>-6.9999999999481588</v>
      </c>
      <c r="AE66" s="118">
        <f t="shared" si="70"/>
        <v>-5.9999999998581188</v>
      </c>
      <c r="AF66" s="118">
        <f t="shared" si="71"/>
        <v>9.2195444571611915</v>
      </c>
      <c r="AG66" s="116">
        <v>838.31399999999996</v>
      </c>
      <c r="AH66" s="116">
        <v>-3276.2649999999999</v>
      </c>
      <c r="AI66" s="118">
        <f t="shared" si="72"/>
        <v>-4.9999999999954525</v>
      </c>
      <c r="AJ66" s="118">
        <f t="shared" si="73"/>
        <v>-5.9999999998581188</v>
      </c>
      <c r="AK66" s="118">
        <f t="shared" si="74"/>
        <v>7.810249675794747</v>
      </c>
      <c r="AL66" s="116">
        <v>838.31799999999998</v>
      </c>
      <c r="AM66" s="116">
        <v>-3276.2649999999999</v>
      </c>
      <c r="AN66" s="118">
        <f t="shared" si="81"/>
        <v>-0.99999999997635314</v>
      </c>
      <c r="AO66" s="118">
        <f t="shared" si="82"/>
        <v>-5.9999999998581188</v>
      </c>
      <c r="AP66" s="118">
        <f t="shared" si="83"/>
        <v>6.0827625301543815</v>
      </c>
      <c r="AQ66" s="116">
        <v>838.31799999999998</v>
      </c>
      <c r="AR66" s="116">
        <v>-3276.2629999999999</v>
      </c>
      <c r="AS66" s="118">
        <f t="shared" si="18"/>
        <v>-0.99999999997635314</v>
      </c>
      <c r="AT66" s="118">
        <f t="shared" si="19"/>
        <v>-3.9999999999054126</v>
      </c>
      <c r="AU66" s="118">
        <f t="shared" si="20"/>
        <v>4.1231056255201617</v>
      </c>
      <c r="AV66" s="116">
        <v>838.32100000000003</v>
      </c>
      <c r="AW66" s="116">
        <v>-3276.259</v>
      </c>
      <c r="AX66" s="125">
        <f t="shared" si="21"/>
        <v>2.0000000000663931</v>
      </c>
      <c r="AY66" s="118">
        <f t="shared" si="22"/>
        <v>0</v>
      </c>
      <c r="AZ66" s="118">
        <f t="shared" si="23"/>
        <v>2.0000000000663931</v>
      </c>
      <c r="BA66" s="116">
        <v>838.322</v>
      </c>
      <c r="BB66" s="116">
        <v>-3276.26</v>
      </c>
      <c r="BC66" s="118">
        <f t="shared" si="24"/>
        <v>3.0000000000427463</v>
      </c>
      <c r="BD66" s="118">
        <f t="shared" si="25"/>
        <v>-1.0000000002037268</v>
      </c>
      <c r="BE66" s="118">
        <f t="shared" si="26"/>
        <v>3.162277660273356</v>
      </c>
      <c r="BF66" s="127">
        <v>838.32500000000005</v>
      </c>
      <c r="BG66" s="127">
        <v>-3276.26</v>
      </c>
      <c r="BH66" s="118">
        <f t="shared" si="48"/>
        <v>6.0000000000854925</v>
      </c>
      <c r="BI66" s="118">
        <f t="shared" si="49"/>
        <v>-1.0000000002037268</v>
      </c>
      <c r="BJ66" s="118">
        <f t="shared" si="50"/>
        <v>6.0827625304160415</v>
      </c>
      <c r="BK66" s="127">
        <v>838.327</v>
      </c>
      <c r="BL66" s="127">
        <v>-3276.26</v>
      </c>
      <c r="BM66" s="118">
        <f t="shared" si="51"/>
        <v>8.0000000000381988</v>
      </c>
      <c r="BN66" s="118">
        <f t="shared" si="52"/>
        <v>-1.0000000002037268</v>
      </c>
      <c r="BO66" s="118">
        <f t="shared" si="53"/>
        <v>8.0622577483617235</v>
      </c>
      <c r="BP66" s="127">
        <v>838.32799999999997</v>
      </c>
      <c r="BQ66" s="127">
        <v>-3276.259</v>
      </c>
      <c r="BR66" s="118">
        <f t="shared" si="33"/>
        <v>9.0000000000145519</v>
      </c>
      <c r="BS66" s="118">
        <f t="shared" si="34"/>
        <v>0</v>
      </c>
      <c r="BT66" s="118">
        <f t="shared" si="35"/>
        <v>9.0000000000145519</v>
      </c>
      <c r="BU66" s="127">
        <v>838.32499999999993</v>
      </c>
      <c r="BV66" s="127">
        <v>-3276.259</v>
      </c>
      <c r="BW66" s="118">
        <f t="shared" si="36"/>
        <v>5.9999999999718057</v>
      </c>
      <c r="BX66" s="118">
        <f t="shared" si="37"/>
        <v>0</v>
      </c>
      <c r="BY66" s="118">
        <f t="shared" si="38"/>
        <v>5.9999999999718057</v>
      </c>
      <c r="BZ66" s="115">
        <f t="shared" si="54"/>
        <v>56</v>
      </c>
    </row>
    <row r="67" spans="2:78" s="32" customFormat="1" ht="15.95" customHeight="1" x14ac:dyDescent="0.25">
      <c r="B67" s="115">
        <v>57</v>
      </c>
      <c r="C67" s="116">
        <v>834.673</v>
      </c>
      <c r="D67" s="116">
        <v>-3277.0219999999999</v>
      </c>
      <c r="E67" s="117">
        <v>0</v>
      </c>
      <c r="F67" s="117">
        <v>0</v>
      </c>
      <c r="G67" s="118">
        <f t="shared" si="84"/>
        <v>0</v>
      </c>
      <c r="H67" s="116">
        <v>834.67200000000003</v>
      </c>
      <c r="I67" s="116">
        <v>-3277.0189999999998</v>
      </c>
      <c r="J67" s="117">
        <v>0</v>
      </c>
      <c r="K67" s="117">
        <v>0</v>
      </c>
      <c r="L67" s="118">
        <v>0</v>
      </c>
      <c r="M67" s="116">
        <v>834.66700000000003</v>
      </c>
      <c r="N67" s="116">
        <v>-3277.0210000000002</v>
      </c>
      <c r="O67" s="117">
        <f t="shared" si="85"/>
        <v>-4.9999999999954525</v>
      </c>
      <c r="P67" s="117">
        <f t="shared" si="85"/>
        <v>-2.0000000004074536</v>
      </c>
      <c r="Q67" s="118">
        <f t="shared" si="86"/>
        <v>5.3851648072816065</v>
      </c>
      <c r="R67" s="116">
        <v>834.67600000000004</v>
      </c>
      <c r="S67" s="116">
        <v>-3277.0279999999998</v>
      </c>
      <c r="T67" s="118">
        <f t="shared" si="75"/>
        <v>4.0000000000190994</v>
      </c>
      <c r="U67" s="118">
        <f t="shared" si="76"/>
        <v>-9.0000000000145519</v>
      </c>
      <c r="V67" s="118">
        <f t="shared" si="77"/>
        <v>9.8488578018171591</v>
      </c>
      <c r="W67" s="116">
        <v>834.67200000000003</v>
      </c>
      <c r="X67" s="116">
        <v>-3277.0319999999997</v>
      </c>
      <c r="Y67" s="118">
        <f t="shared" si="78"/>
        <v>0</v>
      </c>
      <c r="Z67" s="118">
        <f t="shared" si="79"/>
        <v>-12.999999999919964</v>
      </c>
      <c r="AA67" s="118">
        <f t="shared" si="80"/>
        <v>12.999999999919964</v>
      </c>
      <c r="AB67" s="116">
        <v>834.67600000000004</v>
      </c>
      <c r="AC67" s="116">
        <v>-3277.0279999999998</v>
      </c>
      <c r="AD67" s="118">
        <f t="shared" si="69"/>
        <v>4.0000000000190994</v>
      </c>
      <c r="AE67" s="118">
        <f t="shared" si="70"/>
        <v>-9.0000000000145519</v>
      </c>
      <c r="AF67" s="118">
        <f t="shared" si="71"/>
        <v>9.8488578018171591</v>
      </c>
      <c r="AG67" s="116">
        <v>834.68200000000002</v>
      </c>
      <c r="AH67" s="116">
        <v>-3277.0239999999999</v>
      </c>
      <c r="AI67" s="118">
        <f t="shared" si="72"/>
        <v>9.9999999999909051</v>
      </c>
      <c r="AJ67" s="118">
        <f t="shared" si="73"/>
        <v>-5.0000000001091394</v>
      </c>
      <c r="AK67" s="118">
        <f t="shared" si="74"/>
        <v>11.180339887539622</v>
      </c>
      <c r="AL67" s="186" t="s">
        <v>41</v>
      </c>
      <c r="AM67" s="187"/>
      <c r="AN67" s="118" t="s">
        <v>40</v>
      </c>
      <c r="AO67" s="118" t="s">
        <v>40</v>
      </c>
      <c r="AP67" s="118" t="s">
        <v>40</v>
      </c>
      <c r="AQ67" s="186" t="s">
        <v>41</v>
      </c>
      <c r="AR67" s="187"/>
      <c r="AS67" s="118" t="s">
        <v>40</v>
      </c>
      <c r="AT67" s="118" t="s">
        <v>40</v>
      </c>
      <c r="AU67" s="118" t="s">
        <v>40</v>
      </c>
      <c r="AV67" s="186" t="s">
        <v>41</v>
      </c>
      <c r="AW67" s="187"/>
      <c r="AX67" s="118" t="s">
        <v>40</v>
      </c>
      <c r="AY67" s="118" t="s">
        <v>40</v>
      </c>
      <c r="AZ67" s="118" t="s">
        <v>40</v>
      </c>
      <c r="BA67" s="186" t="s">
        <v>41</v>
      </c>
      <c r="BB67" s="187"/>
      <c r="BC67" s="118" t="s">
        <v>40</v>
      </c>
      <c r="BD67" s="118" t="s">
        <v>40</v>
      </c>
      <c r="BE67" s="118" t="s">
        <v>40</v>
      </c>
      <c r="BF67" s="186" t="s">
        <v>41</v>
      </c>
      <c r="BG67" s="187"/>
      <c r="BH67" s="118" t="s">
        <v>40</v>
      </c>
      <c r="BI67" s="118" t="s">
        <v>40</v>
      </c>
      <c r="BJ67" s="118" t="s">
        <v>40</v>
      </c>
      <c r="BK67" s="186" t="s">
        <v>41</v>
      </c>
      <c r="BL67" s="187"/>
      <c r="BM67" s="118" t="s">
        <v>40</v>
      </c>
      <c r="BN67" s="118" t="s">
        <v>40</v>
      </c>
      <c r="BO67" s="118" t="s">
        <v>40</v>
      </c>
      <c r="BP67" s="193" t="s">
        <v>41</v>
      </c>
      <c r="BQ67" s="194"/>
      <c r="BR67" s="118" t="s">
        <v>40</v>
      </c>
      <c r="BS67" s="118" t="s">
        <v>40</v>
      </c>
      <c r="BT67" s="118" t="s">
        <v>40</v>
      </c>
      <c r="BU67" s="193" t="s">
        <v>41</v>
      </c>
      <c r="BV67" s="194"/>
      <c r="BW67" s="118" t="s">
        <v>40</v>
      </c>
      <c r="BX67" s="118" t="s">
        <v>40</v>
      </c>
      <c r="BY67" s="118" t="s">
        <v>40</v>
      </c>
      <c r="BZ67" s="115">
        <f t="shared" si="54"/>
        <v>57</v>
      </c>
    </row>
    <row r="68" spans="2:78" s="32" customFormat="1" ht="15.95" customHeight="1" x14ac:dyDescent="0.25">
      <c r="B68" s="115">
        <v>58</v>
      </c>
      <c r="C68" s="116">
        <v>827.654</v>
      </c>
      <c r="D68" s="116">
        <v>-3277.2469999999998</v>
      </c>
      <c r="E68" s="117">
        <v>0</v>
      </c>
      <c r="F68" s="117">
        <v>0</v>
      </c>
      <c r="G68" s="118">
        <f t="shared" si="84"/>
        <v>0</v>
      </c>
      <c r="H68" s="116">
        <v>827.65200000000004</v>
      </c>
      <c r="I68" s="116">
        <v>-3277.2469999999998</v>
      </c>
      <c r="J68" s="117">
        <v>0</v>
      </c>
      <c r="K68" s="117">
        <v>0</v>
      </c>
      <c r="L68" s="118">
        <v>0</v>
      </c>
      <c r="M68" s="116">
        <v>827.65899999999999</v>
      </c>
      <c r="N68" s="116">
        <v>-3277.2539999999999</v>
      </c>
      <c r="O68" s="117">
        <f t="shared" si="85"/>
        <v>6.9999999999481588</v>
      </c>
      <c r="P68" s="117">
        <f t="shared" si="85"/>
        <v>-7.0000000000618456</v>
      </c>
      <c r="Q68" s="118">
        <f t="shared" si="86"/>
        <v>9.8994949366187388</v>
      </c>
      <c r="R68" s="116">
        <v>827.65800000000002</v>
      </c>
      <c r="S68" s="116">
        <v>-3277.2539999999999</v>
      </c>
      <c r="T68" s="118">
        <f t="shared" si="75"/>
        <v>5.9999999999718057</v>
      </c>
      <c r="U68" s="118">
        <f t="shared" si="76"/>
        <v>-7.0000000000618456</v>
      </c>
      <c r="V68" s="118">
        <f t="shared" si="77"/>
        <v>9.2195444573214953</v>
      </c>
      <c r="W68" s="116">
        <v>827.65499999999997</v>
      </c>
      <c r="X68" s="116">
        <v>-3277.2559999999999</v>
      </c>
      <c r="Y68" s="118">
        <f t="shared" si="78"/>
        <v>2.9999999999290594</v>
      </c>
      <c r="Z68" s="118">
        <f t="shared" si="79"/>
        <v>-9.0000000000145519</v>
      </c>
      <c r="AA68" s="118">
        <f t="shared" si="80"/>
        <v>9.4868329804965104</v>
      </c>
      <c r="AB68" s="116">
        <v>827.65800000000002</v>
      </c>
      <c r="AC68" s="116">
        <v>-3277.2539999999999</v>
      </c>
      <c r="AD68" s="118">
        <f t="shared" si="69"/>
        <v>5.9999999999718057</v>
      </c>
      <c r="AE68" s="118">
        <f t="shared" si="70"/>
        <v>-7.0000000000618456</v>
      </c>
      <c r="AF68" s="118">
        <f t="shared" si="71"/>
        <v>9.2195444573214953</v>
      </c>
      <c r="AG68" s="116">
        <v>827.65600000000006</v>
      </c>
      <c r="AH68" s="116">
        <v>-3277.248</v>
      </c>
      <c r="AI68" s="118">
        <f t="shared" si="72"/>
        <v>4.0000000000190994</v>
      </c>
      <c r="AJ68" s="118">
        <f t="shared" si="73"/>
        <v>-1.0000000002037268</v>
      </c>
      <c r="AK68" s="118">
        <f t="shared" si="74"/>
        <v>4.1231056256856009</v>
      </c>
      <c r="AL68" s="186" t="s">
        <v>41</v>
      </c>
      <c r="AM68" s="187"/>
      <c r="AN68" s="118" t="s">
        <v>40</v>
      </c>
      <c r="AO68" s="118" t="s">
        <v>40</v>
      </c>
      <c r="AP68" s="118" t="s">
        <v>40</v>
      </c>
      <c r="AQ68" s="186" t="s">
        <v>41</v>
      </c>
      <c r="AR68" s="187"/>
      <c r="AS68" s="118" t="s">
        <v>40</v>
      </c>
      <c r="AT68" s="118" t="s">
        <v>40</v>
      </c>
      <c r="AU68" s="118" t="s">
        <v>40</v>
      </c>
      <c r="AV68" s="186" t="s">
        <v>41</v>
      </c>
      <c r="AW68" s="187"/>
      <c r="AX68" s="118" t="s">
        <v>40</v>
      </c>
      <c r="AY68" s="118" t="s">
        <v>40</v>
      </c>
      <c r="AZ68" s="118" t="s">
        <v>40</v>
      </c>
      <c r="BA68" s="186" t="s">
        <v>41</v>
      </c>
      <c r="BB68" s="187"/>
      <c r="BC68" s="118" t="s">
        <v>40</v>
      </c>
      <c r="BD68" s="118" t="s">
        <v>40</v>
      </c>
      <c r="BE68" s="118" t="s">
        <v>40</v>
      </c>
      <c r="BF68" s="186" t="s">
        <v>41</v>
      </c>
      <c r="BG68" s="187"/>
      <c r="BH68" s="118" t="s">
        <v>40</v>
      </c>
      <c r="BI68" s="118" t="s">
        <v>40</v>
      </c>
      <c r="BJ68" s="118" t="s">
        <v>40</v>
      </c>
      <c r="BK68" s="186" t="s">
        <v>41</v>
      </c>
      <c r="BL68" s="187"/>
      <c r="BM68" s="118" t="s">
        <v>40</v>
      </c>
      <c r="BN68" s="118" t="s">
        <v>40</v>
      </c>
      <c r="BO68" s="118" t="s">
        <v>40</v>
      </c>
      <c r="BP68" s="193" t="s">
        <v>41</v>
      </c>
      <c r="BQ68" s="194"/>
      <c r="BR68" s="118" t="s">
        <v>40</v>
      </c>
      <c r="BS68" s="118" t="s">
        <v>40</v>
      </c>
      <c r="BT68" s="118" t="s">
        <v>40</v>
      </c>
      <c r="BU68" s="193" t="s">
        <v>41</v>
      </c>
      <c r="BV68" s="194"/>
      <c r="BW68" s="118" t="s">
        <v>40</v>
      </c>
      <c r="BX68" s="118" t="s">
        <v>40</v>
      </c>
      <c r="BY68" s="118" t="s">
        <v>40</v>
      </c>
      <c r="BZ68" s="115">
        <f t="shared" si="54"/>
        <v>58</v>
      </c>
    </row>
    <row r="69" spans="2:78" s="32" customFormat="1" ht="15.95" customHeight="1" x14ac:dyDescent="0.25">
      <c r="B69" s="115">
        <v>59</v>
      </c>
      <c r="C69" s="116">
        <v>822.54</v>
      </c>
      <c r="D69" s="116">
        <v>-3277.4079999999999</v>
      </c>
      <c r="E69" s="117">
        <v>0</v>
      </c>
      <c r="F69" s="117">
        <v>0</v>
      </c>
      <c r="G69" s="118">
        <f t="shared" si="84"/>
        <v>0</v>
      </c>
      <c r="H69" s="116">
        <v>822.54099999999994</v>
      </c>
      <c r="I69" s="116">
        <v>-3277.404</v>
      </c>
      <c r="J69" s="117">
        <v>0</v>
      </c>
      <c r="K69" s="117">
        <v>0</v>
      </c>
      <c r="L69" s="118">
        <v>0</v>
      </c>
      <c r="M69" s="116">
        <v>822.529</v>
      </c>
      <c r="N69" s="116">
        <v>-3277.415</v>
      </c>
      <c r="O69" s="117">
        <f t="shared" si="85"/>
        <v>-11.999999999943611</v>
      </c>
      <c r="P69" s="117">
        <f t="shared" si="85"/>
        <v>-10.999999999967258</v>
      </c>
      <c r="Q69" s="118">
        <f t="shared" si="86"/>
        <v>16.278820596036013</v>
      </c>
      <c r="R69" s="116">
        <v>822.53499999999997</v>
      </c>
      <c r="S69" s="116">
        <v>-3277.415</v>
      </c>
      <c r="T69" s="118">
        <f t="shared" si="75"/>
        <v>-5.9999999999718057</v>
      </c>
      <c r="U69" s="118">
        <f t="shared" si="76"/>
        <v>-10.999999999967258</v>
      </c>
      <c r="V69" s="118">
        <f t="shared" si="77"/>
        <v>12.529964086099422</v>
      </c>
      <c r="W69" s="116">
        <v>822.54</v>
      </c>
      <c r="X69" s="116">
        <v>-3277.42</v>
      </c>
      <c r="Y69" s="118">
        <f t="shared" si="78"/>
        <v>-0.99999999997635314</v>
      </c>
      <c r="Z69" s="118">
        <f t="shared" si="79"/>
        <v>-16.000000000076398</v>
      </c>
      <c r="AA69" s="118">
        <f t="shared" si="80"/>
        <v>16.031219541956172</v>
      </c>
      <c r="AB69" s="116">
        <v>822.53499999999997</v>
      </c>
      <c r="AC69" s="116">
        <v>-3277.415</v>
      </c>
      <c r="AD69" s="118">
        <f t="shared" si="69"/>
        <v>-5.9999999999718057</v>
      </c>
      <c r="AE69" s="118">
        <f t="shared" si="70"/>
        <v>-10.999999999967258</v>
      </c>
      <c r="AF69" s="118">
        <f t="shared" si="71"/>
        <v>12.529964086099422</v>
      </c>
      <c r="AG69" s="116">
        <v>822.53</v>
      </c>
      <c r="AH69" s="116">
        <v>-3277.4189999999999</v>
      </c>
      <c r="AI69" s="118">
        <f t="shared" si="72"/>
        <v>-10.999999999967258</v>
      </c>
      <c r="AJ69" s="118">
        <f t="shared" si="73"/>
        <v>-14.999999999872671</v>
      </c>
      <c r="AK69" s="118">
        <f t="shared" si="74"/>
        <v>18.601075237616232</v>
      </c>
      <c r="AL69" s="186" t="s">
        <v>41</v>
      </c>
      <c r="AM69" s="187"/>
      <c r="AN69" s="118" t="s">
        <v>40</v>
      </c>
      <c r="AO69" s="118" t="s">
        <v>40</v>
      </c>
      <c r="AP69" s="118" t="s">
        <v>40</v>
      </c>
      <c r="AQ69" s="186" t="s">
        <v>41</v>
      </c>
      <c r="AR69" s="187"/>
      <c r="AS69" s="118" t="s">
        <v>40</v>
      </c>
      <c r="AT69" s="118" t="s">
        <v>40</v>
      </c>
      <c r="AU69" s="118" t="s">
        <v>40</v>
      </c>
      <c r="AV69" s="186" t="s">
        <v>41</v>
      </c>
      <c r="AW69" s="187"/>
      <c r="AX69" s="118" t="s">
        <v>40</v>
      </c>
      <c r="AY69" s="118" t="s">
        <v>40</v>
      </c>
      <c r="AZ69" s="118" t="s">
        <v>40</v>
      </c>
      <c r="BA69" s="186" t="s">
        <v>41</v>
      </c>
      <c r="BB69" s="187"/>
      <c r="BC69" s="118" t="s">
        <v>40</v>
      </c>
      <c r="BD69" s="118" t="s">
        <v>40</v>
      </c>
      <c r="BE69" s="118" t="s">
        <v>40</v>
      </c>
      <c r="BF69" s="186" t="s">
        <v>41</v>
      </c>
      <c r="BG69" s="187"/>
      <c r="BH69" s="118" t="s">
        <v>40</v>
      </c>
      <c r="BI69" s="118" t="s">
        <v>40</v>
      </c>
      <c r="BJ69" s="118" t="s">
        <v>40</v>
      </c>
      <c r="BK69" s="186" t="s">
        <v>41</v>
      </c>
      <c r="BL69" s="187"/>
      <c r="BM69" s="118" t="s">
        <v>40</v>
      </c>
      <c r="BN69" s="118" t="s">
        <v>40</v>
      </c>
      <c r="BO69" s="118" t="s">
        <v>40</v>
      </c>
      <c r="BP69" s="193" t="s">
        <v>41</v>
      </c>
      <c r="BQ69" s="194"/>
      <c r="BR69" s="118" t="s">
        <v>40</v>
      </c>
      <c r="BS69" s="118" t="s">
        <v>40</v>
      </c>
      <c r="BT69" s="118" t="s">
        <v>40</v>
      </c>
      <c r="BU69" s="193" t="s">
        <v>41</v>
      </c>
      <c r="BV69" s="194"/>
      <c r="BW69" s="118" t="s">
        <v>40</v>
      </c>
      <c r="BX69" s="118" t="s">
        <v>40</v>
      </c>
      <c r="BY69" s="118" t="s">
        <v>40</v>
      </c>
      <c r="BZ69" s="115">
        <f t="shared" si="54"/>
        <v>59</v>
      </c>
    </row>
    <row r="70" spans="2:78" s="32" customFormat="1" ht="15.95" customHeight="1" x14ac:dyDescent="0.25">
      <c r="B70" s="115">
        <v>60</v>
      </c>
      <c r="C70" s="116">
        <v>817.35599999999999</v>
      </c>
      <c r="D70" s="116">
        <v>-3277.5790000000002</v>
      </c>
      <c r="E70" s="117">
        <v>0</v>
      </c>
      <c r="F70" s="117">
        <v>0</v>
      </c>
      <c r="G70" s="118">
        <f t="shared" si="84"/>
        <v>0</v>
      </c>
      <c r="H70" s="116">
        <v>817.36</v>
      </c>
      <c r="I70" s="116">
        <v>-3277.5800000000004</v>
      </c>
      <c r="J70" s="117">
        <v>0</v>
      </c>
      <c r="K70" s="117">
        <v>0</v>
      </c>
      <c r="L70" s="118">
        <v>0</v>
      </c>
      <c r="M70" s="116">
        <v>817.34699999999998</v>
      </c>
      <c r="N70" s="116">
        <v>-3277.5740000000001</v>
      </c>
      <c r="O70" s="117">
        <f t="shared" si="85"/>
        <v>-13.000000000033651</v>
      </c>
      <c r="P70" s="117">
        <f t="shared" si="85"/>
        <v>6.0000000003128662</v>
      </c>
      <c r="Q70" s="118">
        <f t="shared" si="86"/>
        <v>14.317821063438016</v>
      </c>
      <c r="R70" s="116">
        <v>817.35199999999998</v>
      </c>
      <c r="S70" s="116">
        <v>-3277.58</v>
      </c>
      <c r="T70" s="118">
        <f t="shared" si="75"/>
        <v>-8.0000000000381988</v>
      </c>
      <c r="U70" s="118">
        <f t="shared" si="76"/>
        <v>4.5474735088646412E-10</v>
      </c>
      <c r="V70" s="118">
        <f t="shared" si="77"/>
        <v>8.0000000000381988</v>
      </c>
      <c r="W70" s="116">
        <v>817.35299999999995</v>
      </c>
      <c r="X70" s="116">
        <v>-3277.5830000000001</v>
      </c>
      <c r="Y70" s="118">
        <f t="shared" si="78"/>
        <v>-7.0000000000618456</v>
      </c>
      <c r="Z70" s="118">
        <f t="shared" si="79"/>
        <v>-2.9999999997016857</v>
      </c>
      <c r="AA70" s="118">
        <f t="shared" si="80"/>
        <v>7.6157731058032416</v>
      </c>
      <c r="AB70" s="116">
        <v>817.35199999999998</v>
      </c>
      <c r="AC70" s="116">
        <v>-3277.58</v>
      </c>
      <c r="AD70" s="118">
        <f t="shared" si="69"/>
        <v>-8.0000000000381988</v>
      </c>
      <c r="AE70" s="118">
        <f t="shared" si="70"/>
        <v>4.5474735088646412E-10</v>
      </c>
      <c r="AF70" s="118">
        <f t="shared" si="71"/>
        <v>8.0000000000381988</v>
      </c>
      <c r="AG70" s="116">
        <v>817.35599999999999</v>
      </c>
      <c r="AH70" s="116">
        <v>-3277.5789999999997</v>
      </c>
      <c r="AI70" s="118">
        <f t="shared" si="72"/>
        <v>-4.0000000000190994</v>
      </c>
      <c r="AJ70" s="118">
        <f t="shared" si="73"/>
        <v>1.0000000006584742</v>
      </c>
      <c r="AK70" s="118">
        <f t="shared" si="74"/>
        <v>4.1231056257958931</v>
      </c>
      <c r="AL70" s="186" t="s">
        <v>41</v>
      </c>
      <c r="AM70" s="187"/>
      <c r="AN70" s="118" t="s">
        <v>40</v>
      </c>
      <c r="AO70" s="118" t="s">
        <v>40</v>
      </c>
      <c r="AP70" s="118" t="s">
        <v>40</v>
      </c>
      <c r="AQ70" s="186" t="s">
        <v>41</v>
      </c>
      <c r="AR70" s="187"/>
      <c r="AS70" s="118" t="s">
        <v>40</v>
      </c>
      <c r="AT70" s="118" t="s">
        <v>40</v>
      </c>
      <c r="AU70" s="118" t="s">
        <v>40</v>
      </c>
      <c r="AV70" s="186" t="s">
        <v>41</v>
      </c>
      <c r="AW70" s="187"/>
      <c r="AX70" s="118" t="s">
        <v>40</v>
      </c>
      <c r="AY70" s="118" t="s">
        <v>40</v>
      </c>
      <c r="AZ70" s="118" t="s">
        <v>40</v>
      </c>
      <c r="BA70" s="186" t="s">
        <v>41</v>
      </c>
      <c r="BB70" s="187"/>
      <c r="BC70" s="118" t="s">
        <v>40</v>
      </c>
      <c r="BD70" s="118" t="s">
        <v>40</v>
      </c>
      <c r="BE70" s="118" t="s">
        <v>40</v>
      </c>
      <c r="BF70" s="186" t="s">
        <v>41</v>
      </c>
      <c r="BG70" s="187"/>
      <c r="BH70" s="118" t="s">
        <v>40</v>
      </c>
      <c r="BI70" s="118" t="s">
        <v>40</v>
      </c>
      <c r="BJ70" s="118" t="s">
        <v>40</v>
      </c>
      <c r="BK70" s="186" t="s">
        <v>41</v>
      </c>
      <c r="BL70" s="187"/>
      <c r="BM70" s="118" t="s">
        <v>40</v>
      </c>
      <c r="BN70" s="118" t="s">
        <v>40</v>
      </c>
      <c r="BO70" s="118" t="s">
        <v>40</v>
      </c>
      <c r="BP70" s="193" t="s">
        <v>41</v>
      </c>
      <c r="BQ70" s="194"/>
      <c r="BR70" s="118" t="s">
        <v>40</v>
      </c>
      <c r="BS70" s="118" t="s">
        <v>40</v>
      </c>
      <c r="BT70" s="118" t="s">
        <v>40</v>
      </c>
      <c r="BU70" s="193" t="s">
        <v>41</v>
      </c>
      <c r="BV70" s="194"/>
      <c r="BW70" s="118" t="s">
        <v>40</v>
      </c>
      <c r="BX70" s="118" t="s">
        <v>40</v>
      </c>
      <c r="BY70" s="118" t="s">
        <v>40</v>
      </c>
      <c r="BZ70" s="115">
        <f t="shared" si="54"/>
        <v>60</v>
      </c>
    </row>
    <row r="71" spans="2:78" s="32" customFormat="1" ht="15.95" customHeight="1" x14ac:dyDescent="0.25">
      <c r="B71" s="115">
        <v>61</v>
      </c>
      <c r="C71" s="116">
        <v>811.47799999999995</v>
      </c>
      <c r="D71" s="116">
        <v>-3277.7809999999999</v>
      </c>
      <c r="E71" s="117">
        <v>0</v>
      </c>
      <c r="F71" s="117">
        <v>0</v>
      </c>
      <c r="G71" s="118">
        <f t="shared" si="84"/>
        <v>0</v>
      </c>
      <c r="H71" s="116">
        <v>811.47799999999995</v>
      </c>
      <c r="I71" s="116">
        <v>-3277.7799999999997</v>
      </c>
      <c r="J71" s="117">
        <v>0</v>
      </c>
      <c r="K71" s="117">
        <v>0</v>
      </c>
      <c r="L71" s="118">
        <v>0</v>
      </c>
      <c r="M71" s="116">
        <v>811.471</v>
      </c>
      <c r="N71" s="116">
        <v>-3277.7719999999999</v>
      </c>
      <c r="O71" s="117">
        <f t="shared" si="85"/>
        <v>-6.9999999999481588</v>
      </c>
      <c r="P71" s="117">
        <f t="shared" si="85"/>
        <v>7.9999999998108251</v>
      </c>
      <c r="Q71" s="118">
        <f t="shared" si="86"/>
        <v>10.630145812558142</v>
      </c>
      <c r="R71" s="116">
        <v>811.476</v>
      </c>
      <c r="S71" s="116">
        <v>-3277.7689999999998</v>
      </c>
      <c r="T71" s="118">
        <f t="shared" si="75"/>
        <v>-1.9999999999527063</v>
      </c>
      <c r="U71" s="118">
        <f t="shared" si="76"/>
        <v>10.999999999967258</v>
      </c>
      <c r="V71" s="118">
        <f t="shared" si="77"/>
        <v>11.180339887458274</v>
      </c>
      <c r="W71" s="116">
        <v>811.47400000000005</v>
      </c>
      <c r="X71" s="116">
        <v>-3277.7739999999999</v>
      </c>
      <c r="Y71" s="118">
        <f t="shared" si="78"/>
        <v>-3.9999999999054126</v>
      </c>
      <c r="Z71" s="118">
        <f t="shared" si="79"/>
        <v>5.9999999998581188</v>
      </c>
      <c r="AA71" s="118">
        <f t="shared" si="80"/>
        <v>7.2111025507574587</v>
      </c>
      <c r="AB71" s="116">
        <v>811.476</v>
      </c>
      <c r="AC71" s="116">
        <v>-3277.7689999999998</v>
      </c>
      <c r="AD71" s="118">
        <f t="shared" si="69"/>
        <v>-1.9999999999527063</v>
      </c>
      <c r="AE71" s="118">
        <f t="shared" si="70"/>
        <v>10.999999999967258</v>
      </c>
      <c r="AF71" s="118">
        <f t="shared" si="71"/>
        <v>11.180339887458274</v>
      </c>
      <c r="AG71" s="116">
        <v>811.476</v>
      </c>
      <c r="AH71" s="116">
        <v>-3277.7689999999998</v>
      </c>
      <c r="AI71" s="118">
        <f t="shared" si="72"/>
        <v>-1.9999999999527063</v>
      </c>
      <c r="AJ71" s="118">
        <f t="shared" si="73"/>
        <v>10.999999999967258</v>
      </c>
      <c r="AK71" s="118">
        <f t="shared" si="74"/>
        <v>11.180339887458274</v>
      </c>
      <c r="AL71" s="186" t="s">
        <v>41</v>
      </c>
      <c r="AM71" s="187"/>
      <c r="AN71" s="118" t="s">
        <v>40</v>
      </c>
      <c r="AO71" s="118" t="s">
        <v>40</v>
      </c>
      <c r="AP71" s="118" t="s">
        <v>40</v>
      </c>
      <c r="AQ71" s="186" t="s">
        <v>41</v>
      </c>
      <c r="AR71" s="187"/>
      <c r="AS71" s="118" t="s">
        <v>40</v>
      </c>
      <c r="AT71" s="118" t="s">
        <v>40</v>
      </c>
      <c r="AU71" s="118" t="s">
        <v>40</v>
      </c>
      <c r="AV71" s="186" t="s">
        <v>41</v>
      </c>
      <c r="AW71" s="187"/>
      <c r="AX71" s="118" t="s">
        <v>40</v>
      </c>
      <c r="AY71" s="118" t="s">
        <v>40</v>
      </c>
      <c r="AZ71" s="118" t="s">
        <v>40</v>
      </c>
      <c r="BA71" s="186" t="s">
        <v>41</v>
      </c>
      <c r="BB71" s="187"/>
      <c r="BC71" s="118" t="s">
        <v>40</v>
      </c>
      <c r="BD71" s="118" t="s">
        <v>40</v>
      </c>
      <c r="BE71" s="118" t="s">
        <v>40</v>
      </c>
      <c r="BF71" s="186" t="s">
        <v>41</v>
      </c>
      <c r="BG71" s="187"/>
      <c r="BH71" s="118" t="s">
        <v>40</v>
      </c>
      <c r="BI71" s="118" t="s">
        <v>40</v>
      </c>
      <c r="BJ71" s="118" t="s">
        <v>40</v>
      </c>
      <c r="BK71" s="186" t="s">
        <v>41</v>
      </c>
      <c r="BL71" s="187"/>
      <c r="BM71" s="118" t="s">
        <v>40</v>
      </c>
      <c r="BN71" s="118" t="s">
        <v>40</v>
      </c>
      <c r="BO71" s="118" t="s">
        <v>40</v>
      </c>
      <c r="BP71" s="193" t="s">
        <v>41</v>
      </c>
      <c r="BQ71" s="194"/>
      <c r="BR71" s="118" t="s">
        <v>40</v>
      </c>
      <c r="BS71" s="118" t="s">
        <v>40</v>
      </c>
      <c r="BT71" s="118" t="s">
        <v>40</v>
      </c>
      <c r="BU71" s="193" t="s">
        <v>41</v>
      </c>
      <c r="BV71" s="194"/>
      <c r="BW71" s="118" t="s">
        <v>40</v>
      </c>
      <c r="BX71" s="118" t="s">
        <v>40</v>
      </c>
      <c r="BY71" s="118" t="s">
        <v>40</v>
      </c>
      <c r="BZ71" s="115">
        <f t="shared" si="54"/>
        <v>61</v>
      </c>
    </row>
    <row r="72" spans="2:78" s="32" customFormat="1" ht="15.95" customHeight="1" x14ac:dyDescent="0.25">
      <c r="B72" s="115">
        <v>62</v>
      </c>
      <c r="C72" s="116">
        <v>806.67499999999995</v>
      </c>
      <c r="D72" s="116">
        <v>-3277.9369999999999</v>
      </c>
      <c r="E72" s="117">
        <v>0</v>
      </c>
      <c r="F72" s="117">
        <v>0</v>
      </c>
      <c r="G72" s="118">
        <f t="shared" si="84"/>
        <v>0</v>
      </c>
      <c r="H72" s="116">
        <v>806.678</v>
      </c>
      <c r="I72" s="116">
        <v>-3277.94</v>
      </c>
      <c r="J72" s="117">
        <v>0</v>
      </c>
      <c r="K72" s="117">
        <v>0</v>
      </c>
      <c r="L72" s="118">
        <v>0</v>
      </c>
      <c r="M72" s="116">
        <v>806.6819999999999</v>
      </c>
      <c r="N72" s="116">
        <v>-3277.94</v>
      </c>
      <c r="O72" s="117">
        <f t="shared" si="85"/>
        <v>3.9999999999054126</v>
      </c>
      <c r="P72" s="117">
        <f t="shared" si="85"/>
        <v>0</v>
      </c>
      <c r="Q72" s="118">
        <f t="shared" si="86"/>
        <v>3.9999999999054126</v>
      </c>
      <c r="R72" s="116">
        <v>806.68399999999986</v>
      </c>
      <c r="S72" s="116">
        <v>-3277.9349999999999</v>
      </c>
      <c r="T72" s="118">
        <f t="shared" si="75"/>
        <v>5.9999999998581188</v>
      </c>
      <c r="U72" s="118">
        <f t="shared" si="76"/>
        <v>5.0000000001091394</v>
      </c>
      <c r="V72" s="118">
        <f t="shared" si="77"/>
        <v>7.8102496758675279</v>
      </c>
      <c r="W72" s="116">
        <v>806.6869999999999</v>
      </c>
      <c r="X72" s="116">
        <v>-3277.9380000000001</v>
      </c>
      <c r="Y72" s="118">
        <f t="shared" si="78"/>
        <v>8.9999999999008651</v>
      </c>
      <c r="Z72" s="118">
        <f t="shared" si="79"/>
        <v>1.9999999999527063</v>
      </c>
      <c r="AA72" s="118">
        <f t="shared" si="80"/>
        <v>9.2195444571858545</v>
      </c>
      <c r="AB72" s="116">
        <v>806.68499999999995</v>
      </c>
      <c r="AC72" s="116">
        <v>-3277.9380000000001</v>
      </c>
      <c r="AD72" s="118">
        <f t="shared" si="69"/>
        <v>6.9999999999481588</v>
      </c>
      <c r="AE72" s="118">
        <f t="shared" si="70"/>
        <v>1.9999999999527063</v>
      </c>
      <c r="AF72" s="118">
        <f t="shared" si="71"/>
        <v>7.2801098892176794</v>
      </c>
      <c r="AG72" s="116">
        <v>806.68999999999994</v>
      </c>
      <c r="AH72" s="116">
        <v>-3277.9410000000003</v>
      </c>
      <c r="AI72" s="118">
        <f t="shared" si="72"/>
        <v>11.999999999943611</v>
      </c>
      <c r="AJ72" s="118">
        <f t="shared" si="73"/>
        <v>-1.0000000002037268</v>
      </c>
      <c r="AK72" s="118">
        <f t="shared" si="74"/>
        <v>12.041594578753021</v>
      </c>
      <c r="AL72" s="186" t="s">
        <v>41</v>
      </c>
      <c r="AM72" s="187"/>
      <c r="AN72" s="118" t="s">
        <v>40</v>
      </c>
      <c r="AO72" s="118" t="s">
        <v>40</v>
      </c>
      <c r="AP72" s="118" t="s">
        <v>40</v>
      </c>
      <c r="AQ72" s="186" t="s">
        <v>41</v>
      </c>
      <c r="AR72" s="187"/>
      <c r="AS72" s="118" t="s">
        <v>40</v>
      </c>
      <c r="AT72" s="118" t="s">
        <v>40</v>
      </c>
      <c r="AU72" s="118" t="s">
        <v>40</v>
      </c>
      <c r="AV72" s="186" t="s">
        <v>41</v>
      </c>
      <c r="AW72" s="187"/>
      <c r="AX72" s="118" t="s">
        <v>40</v>
      </c>
      <c r="AY72" s="118" t="s">
        <v>40</v>
      </c>
      <c r="AZ72" s="118" t="s">
        <v>40</v>
      </c>
      <c r="BA72" s="186" t="s">
        <v>41</v>
      </c>
      <c r="BB72" s="187"/>
      <c r="BC72" s="118" t="s">
        <v>40</v>
      </c>
      <c r="BD72" s="118" t="s">
        <v>40</v>
      </c>
      <c r="BE72" s="118" t="s">
        <v>40</v>
      </c>
      <c r="BF72" s="186" t="s">
        <v>41</v>
      </c>
      <c r="BG72" s="187"/>
      <c r="BH72" s="118" t="s">
        <v>40</v>
      </c>
      <c r="BI72" s="118" t="s">
        <v>40</v>
      </c>
      <c r="BJ72" s="118" t="s">
        <v>40</v>
      </c>
      <c r="BK72" s="186" t="s">
        <v>41</v>
      </c>
      <c r="BL72" s="187"/>
      <c r="BM72" s="118" t="s">
        <v>40</v>
      </c>
      <c r="BN72" s="118" t="s">
        <v>40</v>
      </c>
      <c r="BO72" s="118" t="s">
        <v>40</v>
      </c>
      <c r="BP72" s="193" t="s">
        <v>41</v>
      </c>
      <c r="BQ72" s="194"/>
      <c r="BR72" s="118" t="s">
        <v>40</v>
      </c>
      <c r="BS72" s="118" t="s">
        <v>40</v>
      </c>
      <c r="BT72" s="118" t="s">
        <v>40</v>
      </c>
      <c r="BU72" s="193" t="s">
        <v>41</v>
      </c>
      <c r="BV72" s="194"/>
      <c r="BW72" s="118" t="s">
        <v>40</v>
      </c>
      <c r="BX72" s="118" t="s">
        <v>40</v>
      </c>
      <c r="BY72" s="118" t="s">
        <v>40</v>
      </c>
      <c r="BZ72" s="115">
        <f t="shared" si="54"/>
        <v>62</v>
      </c>
    </row>
    <row r="73" spans="2:78" s="32" customFormat="1" ht="15.95" customHeight="1" x14ac:dyDescent="0.25">
      <c r="B73" s="115">
        <v>63</v>
      </c>
      <c r="C73" s="116">
        <v>800.34699999999998</v>
      </c>
      <c r="D73" s="116">
        <v>-3278.1590000000001</v>
      </c>
      <c r="E73" s="117">
        <v>0</v>
      </c>
      <c r="F73" s="117">
        <v>0</v>
      </c>
      <c r="G73" s="118">
        <f t="shared" si="84"/>
        <v>0</v>
      </c>
      <c r="H73" s="116">
        <v>800.34799999999996</v>
      </c>
      <c r="I73" s="116">
        <v>-3278.1570000000002</v>
      </c>
      <c r="J73" s="117">
        <v>0</v>
      </c>
      <c r="K73" s="117">
        <v>0</v>
      </c>
      <c r="L73" s="118">
        <v>0</v>
      </c>
      <c r="M73" s="116">
        <v>800.351</v>
      </c>
      <c r="N73" s="116">
        <v>-3278.163</v>
      </c>
      <c r="O73" s="117">
        <f t="shared" si="85"/>
        <v>3.0000000000427463</v>
      </c>
      <c r="P73" s="117">
        <f t="shared" si="85"/>
        <v>-5.9999999998581188</v>
      </c>
      <c r="Q73" s="118">
        <f t="shared" si="86"/>
        <v>6.7082039323915836</v>
      </c>
      <c r="R73" s="116">
        <v>800.35299999999995</v>
      </c>
      <c r="S73" s="116">
        <v>-3278.16</v>
      </c>
      <c r="T73" s="118">
        <f t="shared" si="75"/>
        <v>4.9999999999954525</v>
      </c>
      <c r="U73" s="118">
        <f t="shared" si="76"/>
        <v>-2.9999999997016857</v>
      </c>
      <c r="V73" s="118">
        <f t="shared" si="77"/>
        <v>5.83095189468792</v>
      </c>
      <c r="W73" s="116">
        <v>800.35900000000004</v>
      </c>
      <c r="X73" s="116">
        <v>-3278.1589999999997</v>
      </c>
      <c r="Y73" s="118">
        <f t="shared" si="78"/>
        <v>11.000000000080945</v>
      </c>
      <c r="Z73" s="118">
        <f t="shared" si="79"/>
        <v>-1.9999999994979589</v>
      </c>
      <c r="AA73" s="118">
        <f t="shared" si="80"/>
        <v>11.180339887488779</v>
      </c>
      <c r="AB73" s="116">
        <v>800.35599999999999</v>
      </c>
      <c r="AC73" s="116">
        <v>-3278.16</v>
      </c>
      <c r="AD73" s="118">
        <f t="shared" si="69"/>
        <v>8.0000000000381988</v>
      </c>
      <c r="AE73" s="118">
        <f t="shared" si="70"/>
        <v>-2.9999999997016857</v>
      </c>
      <c r="AF73" s="118">
        <f t="shared" si="71"/>
        <v>8.5440037452485527</v>
      </c>
      <c r="AG73" s="116">
        <v>800.35900000000004</v>
      </c>
      <c r="AH73" s="116">
        <v>-3278.163</v>
      </c>
      <c r="AI73" s="118">
        <f t="shared" si="72"/>
        <v>11.000000000080945</v>
      </c>
      <c r="AJ73" s="118">
        <f t="shared" si="73"/>
        <v>-5.9999999998581188</v>
      </c>
      <c r="AK73" s="118">
        <f t="shared" si="74"/>
        <v>12.529964086144789</v>
      </c>
      <c r="AL73" s="186" t="s">
        <v>41</v>
      </c>
      <c r="AM73" s="187"/>
      <c r="AN73" s="118" t="s">
        <v>40</v>
      </c>
      <c r="AO73" s="118" t="s">
        <v>40</v>
      </c>
      <c r="AP73" s="118" t="s">
        <v>40</v>
      </c>
      <c r="AQ73" s="186" t="s">
        <v>41</v>
      </c>
      <c r="AR73" s="187"/>
      <c r="AS73" s="118" t="s">
        <v>40</v>
      </c>
      <c r="AT73" s="118" t="s">
        <v>40</v>
      </c>
      <c r="AU73" s="118" t="s">
        <v>40</v>
      </c>
      <c r="AV73" s="186" t="s">
        <v>41</v>
      </c>
      <c r="AW73" s="187"/>
      <c r="AX73" s="118" t="s">
        <v>40</v>
      </c>
      <c r="AY73" s="118" t="s">
        <v>40</v>
      </c>
      <c r="AZ73" s="118" t="s">
        <v>40</v>
      </c>
      <c r="BA73" s="186" t="s">
        <v>41</v>
      </c>
      <c r="BB73" s="187"/>
      <c r="BC73" s="118" t="s">
        <v>40</v>
      </c>
      <c r="BD73" s="118" t="s">
        <v>40</v>
      </c>
      <c r="BE73" s="118" t="s">
        <v>40</v>
      </c>
      <c r="BF73" s="186" t="s">
        <v>41</v>
      </c>
      <c r="BG73" s="187"/>
      <c r="BH73" s="118" t="s">
        <v>40</v>
      </c>
      <c r="BI73" s="118" t="s">
        <v>40</v>
      </c>
      <c r="BJ73" s="118" t="s">
        <v>40</v>
      </c>
      <c r="BK73" s="186" t="s">
        <v>41</v>
      </c>
      <c r="BL73" s="187"/>
      <c r="BM73" s="118" t="s">
        <v>40</v>
      </c>
      <c r="BN73" s="118" t="s">
        <v>40</v>
      </c>
      <c r="BO73" s="118" t="s">
        <v>40</v>
      </c>
      <c r="BP73" s="193" t="s">
        <v>41</v>
      </c>
      <c r="BQ73" s="194"/>
      <c r="BR73" s="118" t="s">
        <v>40</v>
      </c>
      <c r="BS73" s="118" t="s">
        <v>40</v>
      </c>
      <c r="BT73" s="118" t="s">
        <v>40</v>
      </c>
      <c r="BU73" s="193" t="s">
        <v>41</v>
      </c>
      <c r="BV73" s="194"/>
      <c r="BW73" s="118" t="s">
        <v>40</v>
      </c>
      <c r="BX73" s="118" t="s">
        <v>40</v>
      </c>
      <c r="BY73" s="118" t="s">
        <v>40</v>
      </c>
      <c r="BZ73" s="115">
        <f t="shared" si="54"/>
        <v>63</v>
      </c>
    </row>
    <row r="74" spans="2:78" s="32" customFormat="1" ht="15.95" customHeight="1" x14ac:dyDescent="0.25">
      <c r="B74" s="115">
        <v>64</v>
      </c>
      <c r="C74" s="116">
        <v>795.63300000000004</v>
      </c>
      <c r="D74" s="116">
        <v>-3278.3620000000001</v>
      </c>
      <c r="E74" s="117">
        <v>0</v>
      </c>
      <c r="F74" s="117">
        <v>0</v>
      </c>
      <c r="G74" s="118">
        <f t="shared" si="84"/>
        <v>0</v>
      </c>
      <c r="H74" s="116">
        <v>795.63</v>
      </c>
      <c r="I74" s="116">
        <v>-3278.3620000000001</v>
      </c>
      <c r="J74" s="117">
        <v>0</v>
      </c>
      <c r="K74" s="117">
        <v>0</v>
      </c>
      <c r="L74" s="118">
        <v>0</v>
      </c>
      <c r="M74" s="116">
        <v>795.63</v>
      </c>
      <c r="N74" s="116">
        <v>-3278.3580000000002</v>
      </c>
      <c r="O74" s="117">
        <f t="shared" si="85"/>
        <v>0</v>
      </c>
      <c r="P74" s="117">
        <f t="shared" si="85"/>
        <v>3.9999999999054126</v>
      </c>
      <c r="Q74" s="118">
        <f t="shared" si="86"/>
        <v>3.9999999999054126</v>
      </c>
      <c r="R74" s="116">
        <v>795.63300000000004</v>
      </c>
      <c r="S74" s="116">
        <v>-3278.355</v>
      </c>
      <c r="T74" s="118">
        <f t="shared" si="75"/>
        <v>3.0000000000427463</v>
      </c>
      <c r="U74" s="118">
        <f t="shared" si="76"/>
        <v>7.0000000000618456</v>
      </c>
      <c r="V74" s="118">
        <f t="shared" si="77"/>
        <v>7.6157731059375919</v>
      </c>
      <c r="W74" s="116">
        <v>795.64099999999996</v>
      </c>
      <c r="X74" s="116">
        <v>-3278.3560000000002</v>
      </c>
      <c r="Y74" s="118">
        <f t="shared" si="78"/>
        <v>10.999999999967258</v>
      </c>
      <c r="Z74" s="118">
        <f t="shared" si="79"/>
        <v>5.9999999998581188</v>
      </c>
      <c r="AA74" s="118">
        <f t="shared" si="80"/>
        <v>12.529964086044984</v>
      </c>
      <c r="AB74" s="116">
        <v>795.63599999999997</v>
      </c>
      <c r="AC74" s="116">
        <v>-3278.3560000000002</v>
      </c>
      <c r="AD74" s="118">
        <f t="shared" si="69"/>
        <v>5.9999999999718057</v>
      </c>
      <c r="AE74" s="118">
        <f t="shared" si="70"/>
        <v>5.9999999998581188</v>
      </c>
      <c r="AF74" s="118">
        <f t="shared" si="71"/>
        <v>8.4852813741183084</v>
      </c>
      <c r="AG74" s="116">
        <v>795.64199999999994</v>
      </c>
      <c r="AH74" s="116">
        <v>-3278.3570000000004</v>
      </c>
      <c r="AI74" s="118">
        <f t="shared" si="72"/>
        <v>11.999999999943611</v>
      </c>
      <c r="AJ74" s="118">
        <f t="shared" si="73"/>
        <v>4.999999999654392</v>
      </c>
      <c r="AK74" s="118">
        <f t="shared" si="74"/>
        <v>12.999999999815023</v>
      </c>
      <c r="AL74" s="186" t="s">
        <v>41</v>
      </c>
      <c r="AM74" s="187"/>
      <c r="AN74" s="118" t="s">
        <v>40</v>
      </c>
      <c r="AO74" s="118" t="s">
        <v>40</v>
      </c>
      <c r="AP74" s="118" t="s">
        <v>40</v>
      </c>
      <c r="AQ74" s="186" t="s">
        <v>41</v>
      </c>
      <c r="AR74" s="187"/>
      <c r="AS74" s="118" t="s">
        <v>40</v>
      </c>
      <c r="AT74" s="118" t="s">
        <v>40</v>
      </c>
      <c r="AU74" s="118" t="s">
        <v>40</v>
      </c>
      <c r="AV74" s="186" t="s">
        <v>41</v>
      </c>
      <c r="AW74" s="187"/>
      <c r="AX74" s="118" t="s">
        <v>40</v>
      </c>
      <c r="AY74" s="118" t="s">
        <v>40</v>
      </c>
      <c r="AZ74" s="118" t="s">
        <v>40</v>
      </c>
      <c r="BA74" s="186" t="s">
        <v>41</v>
      </c>
      <c r="BB74" s="187"/>
      <c r="BC74" s="118" t="s">
        <v>40</v>
      </c>
      <c r="BD74" s="118" t="s">
        <v>40</v>
      </c>
      <c r="BE74" s="118" t="s">
        <v>40</v>
      </c>
      <c r="BF74" s="186" t="s">
        <v>41</v>
      </c>
      <c r="BG74" s="187"/>
      <c r="BH74" s="118" t="s">
        <v>40</v>
      </c>
      <c r="BI74" s="118" t="s">
        <v>40</v>
      </c>
      <c r="BJ74" s="118" t="s">
        <v>40</v>
      </c>
      <c r="BK74" s="186" t="s">
        <v>41</v>
      </c>
      <c r="BL74" s="187"/>
      <c r="BM74" s="118" t="s">
        <v>40</v>
      </c>
      <c r="BN74" s="118" t="s">
        <v>40</v>
      </c>
      <c r="BO74" s="118" t="s">
        <v>40</v>
      </c>
      <c r="BP74" s="193" t="s">
        <v>41</v>
      </c>
      <c r="BQ74" s="194"/>
      <c r="BR74" s="118" t="s">
        <v>40</v>
      </c>
      <c r="BS74" s="118" t="s">
        <v>40</v>
      </c>
      <c r="BT74" s="118" t="s">
        <v>40</v>
      </c>
      <c r="BU74" s="193" t="s">
        <v>41</v>
      </c>
      <c r="BV74" s="194"/>
      <c r="BW74" s="118" t="s">
        <v>40</v>
      </c>
      <c r="BX74" s="118" t="s">
        <v>40</v>
      </c>
      <c r="BY74" s="118" t="s">
        <v>40</v>
      </c>
      <c r="BZ74" s="115">
        <f t="shared" si="54"/>
        <v>64</v>
      </c>
    </row>
    <row r="75" spans="2:78" s="32" customFormat="1" ht="15.95" customHeight="1" x14ac:dyDescent="0.25">
      <c r="B75" s="115">
        <v>65</v>
      </c>
      <c r="C75" s="116">
        <v>790.82100000000003</v>
      </c>
      <c r="D75" s="116">
        <v>-3277.8</v>
      </c>
      <c r="E75" s="117">
        <v>0</v>
      </c>
      <c r="F75" s="117">
        <v>0</v>
      </c>
      <c r="G75" s="118">
        <f t="shared" si="84"/>
        <v>0</v>
      </c>
      <c r="H75" s="116">
        <v>790.81799999999998</v>
      </c>
      <c r="I75" s="116">
        <v>-3277.799</v>
      </c>
      <c r="J75" s="117">
        <v>0</v>
      </c>
      <c r="K75" s="117">
        <v>0</v>
      </c>
      <c r="L75" s="118">
        <v>0</v>
      </c>
      <c r="M75" s="116">
        <v>790.82600000000002</v>
      </c>
      <c r="N75" s="116">
        <v>-3277.7920000000004</v>
      </c>
      <c r="O75" s="117">
        <f t="shared" si="85"/>
        <v>8.0000000000381988</v>
      </c>
      <c r="P75" s="117">
        <f t="shared" si="85"/>
        <v>6.9999999996070983</v>
      </c>
      <c r="Q75" s="118">
        <f t="shared" si="86"/>
        <v>10.630145812504669</v>
      </c>
      <c r="R75" s="116">
        <v>790.82600000000002</v>
      </c>
      <c r="S75" s="116">
        <v>-3277.7880000000005</v>
      </c>
      <c r="T75" s="118">
        <f t="shared" si="75"/>
        <v>8.0000000000381988</v>
      </c>
      <c r="U75" s="118">
        <f t="shared" si="76"/>
        <v>10.999999999512511</v>
      </c>
      <c r="V75" s="118">
        <f t="shared" si="77"/>
        <v>13.601470508363661</v>
      </c>
      <c r="W75" s="116">
        <v>790.82400000000007</v>
      </c>
      <c r="X75" s="116">
        <v>-3277.7830000000004</v>
      </c>
      <c r="Y75" s="118">
        <f t="shared" si="78"/>
        <v>6.0000000000854925</v>
      </c>
      <c r="Z75" s="118">
        <f t="shared" si="79"/>
        <v>15.99999999962165</v>
      </c>
      <c r="AA75" s="118">
        <f t="shared" si="80"/>
        <v>17.088007490310822</v>
      </c>
      <c r="AB75" s="116">
        <v>790.82900000000006</v>
      </c>
      <c r="AC75" s="116">
        <v>-3277.7890000000002</v>
      </c>
      <c r="AD75" s="118">
        <f t="shared" si="69"/>
        <v>11.000000000080945</v>
      </c>
      <c r="AE75" s="118">
        <f t="shared" si="70"/>
        <v>9.9999999997635314</v>
      </c>
      <c r="AF75" s="118">
        <f t="shared" si="71"/>
        <v>14.866068747219334</v>
      </c>
      <c r="AG75" s="116">
        <v>790.82500000000005</v>
      </c>
      <c r="AH75" s="116">
        <v>-3277.7830000000004</v>
      </c>
      <c r="AI75" s="118">
        <f t="shared" si="72"/>
        <v>7.0000000000618456</v>
      </c>
      <c r="AJ75" s="118">
        <f t="shared" si="73"/>
        <v>15.99999999962165</v>
      </c>
      <c r="AK75" s="118">
        <f t="shared" si="74"/>
        <v>17.464249196251142</v>
      </c>
      <c r="AL75" s="116">
        <v>790.82600000000002</v>
      </c>
      <c r="AM75" s="116">
        <v>-3277.78</v>
      </c>
      <c r="AN75" s="118">
        <f t="shared" si="81"/>
        <v>8.0000000000381988</v>
      </c>
      <c r="AO75" s="118">
        <f t="shared" si="82"/>
        <v>18.999999999778083</v>
      </c>
      <c r="AP75" s="118">
        <f t="shared" si="83"/>
        <v>20.6155281278986</v>
      </c>
      <c r="AQ75" s="116">
        <v>790.83</v>
      </c>
      <c r="AR75" s="116">
        <v>-3277.7780000000002</v>
      </c>
      <c r="AS75" s="118">
        <f t="shared" ref="AS75:AS81" si="87">AN75+(AQ75-AL75)*1000</f>
        <v>12.000000000057298</v>
      </c>
      <c r="AT75" s="118">
        <f t="shared" ref="AT75:AT81" si="88">AO75+(AR75-AM75)*1000</f>
        <v>20.99999999973079</v>
      </c>
      <c r="AU75" s="118">
        <f t="shared" ref="AU75:AU81" si="89">SQRT(((AS75*AS75)+(AT75*AT75)))</f>
        <v>24.186773244690336</v>
      </c>
      <c r="AV75" s="116">
        <v>790.82800000000009</v>
      </c>
      <c r="AW75" s="116">
        <v>-3277.7760000000003</v>
      </c>
      <c r="AX75" s="118">
        <f t="shared" ref="AX75:AX81" si="90">AS75+(AV75-AQ75)*1000</f>
        <v>10.000000000104592</v>
      </c>
      <c r="AY75" s="118">
        <f t="shared" ref="AY75:AY81" si="91">AT75+(AW75-AR75)*1000</f>
        <v>22.999999999683496</v>
      </c>
      <c r="AZ75" s="118">
        <f t="shared" ref="AZ75:AZ81" si="92">SQRT(((AX75*AX75)+(AY75*AY75)))</f>
        <v>25.079872407720352</v>
      </c>
      <c r="BA75" s="116">
        <v>790.82800000000009</v>
      </c>
      <c r="BB75" s="116">
        <v>-3277.7760000000003</v>
      </c>
      <c r="BC75" s="118">
        <f t="shared" ref="BC75:BC81" si="93">AX75+(BA75-AV75)*1000</f>
        <v>10.000000000104592</v>
      </c>
      <c r="BD75" s="118">
        <f t="shared" ref="BD75:BD81" si="94">AY75+(BB75-AW75)*1000</f>
        <v>22.999999999683496</v>
      </c>
      <c r="BE75" s="118">
        <f t="shared" ref="BE75:BE81" si="95">SQRT(((BC75*BC75)+(BD75*BD75)))</f>
        <v>25.079872407720352</v>
      </c>
      <c r="BF75" s="127">
        <v>790.82800000000009</v>
      </c>
      <c r="BG75" s="127">
        <v>-3277.7760000000003</v>
      </c>
      <c r="BH75" s="118">
        <f t="shared" si="48"/>
        <v>10.000000000104592</v>
      </c>
      <c r="BI75" s="118">
        <f t="shared" si="49"/>
        <v>22.999999999683496</v>
      </c>
      <c r="BJ75" s="118">
        <f t="shared" si="50"/>
        <v>25.079872407720352</v>
      </c>
      <c r="BK75" s="186" t="s">
        <v>41</v>
      </c>
      <c r="BL75" s="187"/>
      <c r="BM75" s="118" t="s">
        <v>40</v>
      </c>
      <c r="BN75" s="118" t="s">
        <v>40</v>
      </c>
      <c r="BO75" s="118" t="s">
        <v>40</v>
      </c>
      <c r="BP75" s="193" t="s">
        <v>41</v>
      </c>
      <c r="BQ75" s="194"/>
      <c r="BR75" s="118" t="s">
        <v>40</v>
      </c>
      <c r="BS75" s="118" t="s">
        <v>40</v>
      </c>
      <c r="BT75" s="118" t="s">
        <v>40</v>
      </c>
      <c r="BU75" s="193" t="s">
        <v>41</v>
      </c>
      <c r="BV75" s="194"/>
      <c r="BW75" s="118" t="s">
        <v>40</v>
      </c>
      <c r="BX75" s="118" t="s">
        <v>40</v>
      </c>
      <c r="BY75" s="118" t="s">
        <v>40</v>
      </c>
      <c r="BZ75" s="115">
        <f t="shared" si="54"/>
        <v>65</v>
      </c>
    </row>
    <row r="76" spans="2:78" s="32" customFormat="1" ht="15.95" customHeight="1" x14ac:dyDescent="0.25">
      <c r="B76" s="115">
        <v>66</v>
      </c>
      <c r="C76" s="116">
        <v>790.46299999999997</v>
      </c>
      <c r="D76" s="116">
        <v>-3273.5219999999999</v>
      </c>
      <c r="E76" s="117">
        <v>0</v>
      </c>
      <c r="F76" s="117">
        <v>0</v>
      </c>
      <c r="G76" s="118">
        <f t="shared" si="84"/>
        <v>0</v>
      </c>
      <c r="H76" s="116">
        <v>790.45999999999992</v>
      </c>
      <c r="I76" s="116">
        <v>-3273.5239999999999</v>
      </c>
      <c r="J76" s="117">
        <v>0</v>
      </c>
      <c r="K76" s="117">
        <v>0</v>
      </c>
      <c r="L76" s="118">
        <v>0</v>
      </c>
      <c r="M76" s="116">
        <v>790.45100000000002</v>
      </c>
      <c r="N76" s="116">
        <v>-3273.5189999999998</v>
      </c>
      <c r="O76" s="117">
        <f t="shared" si="85"/>
        <v>-8.9999999999008651</v>
      </c>
      <c r="P76" s="117">
        <f t="shared" si="85"/>
        <v>5.0000000001091394</v>
      </c>
      <c r="Q76" s="118">
        <f t="shared" si="86"/>
        <v>10.295630140953344</v>
      </c>
      <c r="R76" s="116">
        <v>790.452</v>
      </c>
      <c r="S76" s="116">
        <v>-3273.5159999999996</v>
      </c>
      <c r="T76" s="118">
        <f t="shared" si="75"/>
        <v>-7.9999999999245119</v>
      </c>
      <c r="U76" s="118">
        <f t="shared" si="76"/>
        <v>8.0000000002655725</v>
      </c>
      <c r="V76" s="118">
        <f t="shared" si="77"/>
        <v>11.313708499119171</v>
      </c>
      <c r="W76" s="116">
        <v>790.45499999999993</v>
      </c>
      <c r="X76" s="116">
        <v>-3273.5189999999998</v>
      </c>
      <c r="Y76" s="118">
        <f t="shared" si="78"/>
        <v>-4.9999999999954525</v>
      </c>
      <c r="Z76" s="118">
        <f t="shared" si="79"/>
        <v>5.0000000001091394</v>
      </c>
      <c r="AA76" s="118">
        <f t="shared" si="80"/>
        <v>7.0710678119394332</v>
      </c>
      <c r="AB76" s="116">
        <v>790.45299999999997</v>
      </c>
      <c r="AC76" s="116">
        <v>-3273.5149999999999</v>
      </c>
      <c r="AD76" s="118">
        <f t="shared" si="69"/>
        <v>-6.9999999999481588</v>
      </c>
      <c r="AE76" s="118">
        <f t="shared" si="70"/>
        <v>9.0000000000145519</v>
      </c>
      <c r="AF76" s="118">
        <f t="shared" si="71"/>
        <v>11.401754250971038</v>
      </c>
      <c r="AG76" s="116">
        <v>790.44799999999998</v>
      </c>
      <c r="AH76" s="116">
        <v>-3273.5139999999997</v>
      </c>
      <c r="AI76" s="118">
        <f t="shared" si="72"/>
        <v>-11.999999999943611</v>
      </c>
      <c r="AJ76" s="118">
        <f t="shared" si="73"/>
        <v>10.000000000218279</v>
      </c>
      <c r="AK76" s="118">
        <f t="shared" si="74"/>
        <v>15.620499351909729</v>
      </c>
      <c r="AL76" s="116">
        <v>790.44499999999994</v>
      </c>
      <c r="AM76" s="116">
        <v>-3273.5099999999998</v>
      </c>
      <c r="AN76" s="118">
        <f t="shared" si="81"/>
        <v>-14.999999999986358</v>
      </c>
      <c r="AO76" s="118">
        <f t="shared" si="82"/>
        <v>14.000000000123691</v>
      </c>
      <c r="AP76" s="118">
        <f t="shared" si="83"/>
        <v>20.518284528757615</v>
      </c>
      <c r="AQ76" s="116">
        <v>790.44499999999994</v>
      </c>
      <c r="AR76" s="116">
        <v>-3273.5119999999997</v>
      </c>
      <c r="AS76" s="118">
        <f t="shared" si="87"/>
        <v>-14.999999999986358</v>
      </c>
      <c r="AT76" s="118">
        <f t="shared" si="88"/>
        <v>12.000000000170985</v>
      </c>
      <c r="AU76" s="118">
        <f t="shared" si="89"/>
        <v>19.209372712394707</v>
      </c>
      <c r="AV76" s="116">
        <v>790.43999999999994</v>
      </c>
      <c r="AW76" s="116">
        <v>-3273.5119999999997</v>
      </c>
      <c r="AX76" s="118">
        <f t="shared" si="90"/>
        <v>-19.99999999998181</v>
      </c>
      <c r="AY76" s="118">
        <f t="shared" si="91"/>
        <v>12.000000000170985</v>
      </c>
      <c r="AZ76" s="118">
        <f t="shared" si="92"/>
        <v>23.323807579453575</v>
      </c>
      <c r="BA76" s="116">
        <v>790.43999999999994</v>
      </c>
      <c r="BB76" s="116">
        <v>-3273.5129999999999</v>
      </c>
      <c r="BC76" s="118">
        <f t="shared" si="93"/>
        <v>-19.99999999998181</v>
      </c>
      <c r="BD76" s="118">
        <f t="shared" si="94"/>
        <v>10.999999999967258</v>
      </c>
      <c r="BE76" s="118">
        <f t="shared" si="95"/>
        <v>22.825424420994938</v>
      </c>
      <c r="BF76" s="127">
        <v>790.4369999999999</v>
      </c>
      <c r="BG76" s="127">
        <v>-3273.5149999999999</v>
      </c>
      <c r="BH76" s="118">
        <f t="shared" ref="BH76:BH87" si="96">BC76+(BF76-BA76)*1000</f>
        <v>-23.000000000024556</v>
      </c>
      <c r="BI76" s="118">
        <f t="shared" ref="BI76:BI87" si="97">BD76+(BG76-BB76)*1000</f>
        <v>9.0000000000145519</v>
      </c>
      <c r="BJ76" s="118">
        <f t="shared" ref="BJ76:BJ87" si="98">SQRT(((BH76*BH76)+(BI76*BI76)))</f>
        <v>24.69817807048511</v>
      </c>
      <c r="BK76" s="127">
        <v>790.43599999999992</v>
      </c>
      <c r="BL76" s="127">
        <v>-3273.5160000000001</v>
      </c>
      <c r="BM76" s="119">
        <f t="shared" ref="BM76:BM87" si="99">BH76+(BK76-BF76)*1000</f>
        <v>-24.000000000000909</v>
      </c>
      <c r="BN76" s="118">
        <f t="shared" ref="BN76:BN87" si="100">BI76+(BL76-BG76)*1000</f>
        <v>7.9999999998108251</v>
      </c>
      <c r="BO76" s="118">
        <f t="shared" ref="BO76:BO87" si="101">SQRT(((BM76*BM76)+(BN76*BN76)))</f>
        <v>25.298221281288075</v>
      </c>
      <c r="BP76" s="127">
        <v>790.4369999999999</v>
      </c>
      <c r="BQ76" s="127">
        <v>-3273.518</v>
      </c>
      <c r="BR76" s="119">
        <f t="shared" ref="BR76:BR81" si="102">BM76+(BP76-BK76)*1000</f>
        <v>-23.000000000024556</v>
      </c>
      <c r="BS76" s="118">
        <f t="shared" ref="BS76:BS81" si="103">BN76+(BQ76-BL76)*1000</f>
        <v>5.9999999998581188</v>
      </c>
      <c r="BT76" s="118">
        <f t="shared" ref="BT76:BT81" si="104">SQRT(((BR76*BR76)+(BS76*BS76)))</f>
        <v>23.769728647997372</v>
      </c>
      <c r="BU76" s="127">
        <v>790.43899999999985</v>
      </c>
      <c r="BV76" s="127">
        <v>-3273.5160000000001</v>
      </c>
      <c r="BW76" s="118">
        <f t="shared" ref="BW76:BW81" si="105">BR76+(BU76-BP76)*1000</f>
        <v>-21.00000000007185</v>
      </c>
      <c r="BX76" s="118">
        <f t="shared" ref="BX76:BX81" si="106">BS76+(BV76-BQ76)*1000</f>
        <v>7.9999999998108251</v>
      </c>
      <c r="BY76" s="118">
        <f t="shared" ref="BY76:BY81" si="107">SQRT(((BW76*BW76)+(BX76*BX76)))</f>
        <v>22.472205054244029</v>
      </c>
      <c r="BZ76" s="115">
        <f t="shared" ref="BZ76:BZ87" si="108">B76</f>
        <v>66</v>
      </c>
    </row>
    <row r="77" spans="2:78" s="32" customFormat="1" ht="15.95" customHeight="1" x14ac:dyDescent="0.25">
      <c r="B77" s="115">
        <v>67</v>
      </c>
      <c r="C77" s="116">
        <v>788.99199999999996</v>
      </c>
      <c r="D77" s="116">
        <v>-3268.3670000000002</v>
      </c>
      <c r="E77" s="117">
        <v>0</v>
      </c>
      <c r="F77" s="117">
        <v>0</v>
      </c>
      <c r="G77" s="118">
        <f t="shared" si="84"/>
        <v>0</v>
      </c>
      <c r="H77" s="116">
        <v>788.99099999999999</v>
      </c>
      <c r="I77" s="116">
        <v>-3268.3700000000003</v>
      </c>
      <c r="J77" s="117">
        <v>0</v>
      </c>
      <c r="K77" s="117">
        <v>0</v>
      </c>
      <c r="L77" s="118">
        <v>0</v>
      </c>
      <c r="M77" s="116">
        <v>788.98599999999999</v>
      </c>
      <c r="N77" s="116">
        <v>-3268.3580000000002</v>
      </c>
      <c r="O77" s="117">
        <f t="shared" si="85"/>
        <v>-4.9999999999954525</v>
      </c>
      <c r="P77" s="117">
        <f t="shared" si="85"/>
        <v>12.000000000170985</v>
      </c>
      <c r="Q77" s="118">
        <f t="shared" si="86"/>
        <v>13.000000000156083</v>
      </c>
      <c r="R77" s="116">
        <v>788.99</v>
      </c>
      <c r="S77" s="116">
        <v>-3268.355</v>
      </c>
      <c r="T77" s="118">
        <f t="shared" si="75"/>
        <v>-0.99999999997635314</v>
      </c>
      <c r="U77" s="118">
        <f t="shared" si="76"/>
        <v>15.000000000327418</v>
      </c>
      <c r="V77" s="118">
        <f t="shared" si="77"/>
        <v>15.033296378698028</v>
      </c>
      <c r="W77" s="116">
        <v>788.98900000000003</v>
      </c>
      <c r="X77" s="116">
        <v>-3268.3490000000002</v>
      </c>
      <c r="Y77" s="118">
        <f t="shared" si="78"/>
        <v>-1.9999999999527063</v>
      </c>
      <c r="Z77" s="118">
        <f t="shared" si="79"/>
        <v>21.000000000185537</v>
      </c>
      <c r="AA77" s="118">
        <f t="shared" si="80"/>
        <v>21.095023109909203</v>
      </c>
      <c r="AB77" s="116">
        <v>788.98400000000004</v>
      </c>
      <c r="AC77" s="116">
        <v>-3268.3540000000003</v>
      </c>
      <c r="AD77" s="118">
        <f t="shared" si="69"/>
        <v>-6.9999999999481588</v>
      </c>
      <c r="AE77" s="118">
        <f t="shared" si="70"/>
        <v>16.000000000076398</v>
      </c>
      <c r="AF77" s="118">
        <f t="shared" si="71"/>
        <v>17.464249196622195</v>
      </c>
      <c r="AG77" s="116">
        <v>788.98500000000001</v>
      </c>
      <c r="AH77" s="116">
        <v>-3268.3490000000002</v>
      </c>
      <c r="AI77" s="118">
        <f t="shared" si="72"/>
        <v>-5.9999999999718057</v>
      </c>
      <c r="AJ77" s="118">
        <f t="shared" si="73"/>
        <v>21.000000000185537</v>
      </c>
      <c r="AK77" s="118">
        <f t="shared" si="74"/>
        <v>21.840329668012206</v>
      </c>
      <c r="AL77" s="116">
        <v>788.98699999999997</v>
      </c>
      <c r="AM77" s="116">
        <v>-3268.3470000000002</v>
      </c>
      <c r="AN77" s="118">
        <f t="shared" si="81"/>
        <v>-4.0000000000190994</v>
      </c>
      <c r="AO77" s="118">
        <f t="shared" si="82"/>
        <v>23.000000000138243</v>
      </c>
      <c r="AP77" s="118">
        <f t="shared" si="83"/>
        <v>23.345235059996977</v>
      </c>
      <c r="AQ77" s="116">
        <v>788.98799999999994</v>
      </c>
      <c r="AR77" s="116">
        <v>-3268.3490000000002</v>
      </c>
      <c r="AS77" s="118">
        <f t="shared" si="87"/>
        <v>-3.0000000000427463</v>
      </c>
      <c r="AT77" s="118">
        <f t="shared" si="88"/>
        <v>21.000000000185537</v>
      </c>
      <c r="AU77" s="118">
        <f t="shared" si="89"/>
        <v>21.213203435786141</v>
      </c>
      <c r="AV77" s="116">
        <v>788.98599999999999</v>
      </c>
      <c r="AW77" s="116">
        <v>-3268.3510000000001</v>
      </c>
      <c r="AX77" s="118">
        <f t="shared" si="90"/>
        <v>-4.9999999999954525</v>
      </c>
      <c r="AY77" s="118">
        <f t="shared" si="91"/>
        <v>19.000000000232831</v>
      </c>
      <c r="AZ77" s="118">
        <f t="shared" si="92"/>
        <v>19.646882704612509</v>
      </c>
      <c r="BA77" s="116">
        <v>788.98299999999995</v>
      </c>
      <c r="BB77" s="116">
        <v>-3268.348</v>
      </c>
      <c r="BC77" s="118">
        <f t="shared" si="93"/>
        <v>-8.0000000000381988</v>
      </c>
      <c r="BD77" s="118">
        <f t="shared" si="94"/>
        <v>22.000000000389264</v>
      </c>
      <c r="BE77" s="118">
        <f t="shared" si="95"/>
        <v>23.409399821818131</v>
      </c>
      <c r="BF77" s="127">
        <v>788.9799999999999</v>
      </c>
      <c r="BG77" s="127">
        <v>-3268.3449999999998</v>
      </c>
      <c r="BH77" s="118">
        <f t="shared" si="96"/>
        <v>-11.000000000080945</v>
      </c>
      <c r="BI77" s="118">
        <f t="shared" si="97"/>
        <v>25.000000000545697</v>
      </c>
      <c r="BJ77" s="118">
        <f t="shared" si="98"/>
        <v>27.313000568027409</v>
      </c>
      <c r="BK77" s="127">
        <v>788.98399999999992</v>
      </c>
      <c r="BL77" s="127">
        <v>-3268.3429999999998</v>
      </c>
      <c r="BM77" s="118">
        <f t="shared" si="99"/>
        <v>-7.0000000000618456</v>
      </c>
      <c r="BN77" s="119">
        <f t="shared" si="100"/>
        <v>27.000000000498403</v>
      </c>
      <c r="BO77" s="119">
        <f t="shared" si="101"/>
        <v>27.892651362460679</v>
      </c>
      <c r="BP77" s="127">
        <v>788.98099999999988</v>
      </c>
      <c r="BQ77" s="127">
        <v>-3268.3409999999999</v>
      </c>
      <c r="BR77" s="118">
        <f t="shared" si="102"/>
        <v>-10.000000000104592</v>
      </c>
      <c r="BS77" s="119">
        <f t="shared" si="103"/>
        <v>29.000000000451109</v>
      </c>
      <c r="BT77" s="119">
        <f t="shared" si="104"/>
        <v>30.675723300816497</v>
      </c>
      <c r="BU77" s="127">
        <v>788.9799999999999</v>
      </c>
      <c r="BV77" s="127">
        <v>-3268.3389999999999</v>
      </c>
      <c r="BW77" s="118">
        <f t="shared" si="105"/>
        <v>-11.000000000080945</v>
      </c>
      <c r="BX77" s="211">
        <f t="shared" si="106"/>
        <v>31.000000000403816</v>
      </c>
      <c r="BY77" s="211">
        <f t="shared" si="107"/>
        <v>32.893768407204689</v>
      </c>
      <c r="BZ77" s="115">
        <f t="shared" si="108"/>
        <v>67</v>
      </c>
    </row>
    <row r="78" spans="2:78" s="32" customFormat="1" ht="15.95" customHeight="1" x14ac:dyDescent="0.25">
      <c r="B78" s="115">
        <v>68</v>
      </c>
      <c r="C78" s="116">
        <v>784.76099999999997</v>
      </c>
      <c r="D78" s="116">
        <v>-3268.471</v>
      </c>
      <c r="E78" s="117">
        <v>0</v>
      </c>
      <c r="F78" s="117">
        <v>0</v>
      </c>
      <c r="G78" s="118">
        <f t="shared" si="84"/>
        <v>0</v>
      </c>
      <c r="H78" s="116">
        <v>784.76499999999999</v>
      </c>
      <c r="I78" s="116">
        <v>-3268.4720000000002</v>
      </c>
      <c r="J78" s="117">
        <v>0</v>
      </c>
      <c r="K78" s="117">
        <v>0</v>
      </c>
      <c r="L78" s="118">
        <v>0</v>
      </c>
      <c r="M78" s="116">
        <v>784.76499999999999</v>
      </c>
      <c r="N78" s="116">
        <v>-3268.4670000000001</v>
      </c>
      <c r="O78" s="117">
        <f t="shared" si="85"/>
        <v>0</v>
      </c>
      <c r="P78" s="117">
        <f t="shared" si="85"/>
        <v>5.0000000001091394</v>
      </c>
      <c r="Q78" s="118">
        <f t="shared" si="86"/>
        <v>5.0000000001091394</v>
      </c>
      <c r="R78" s="116">
        <v>784.76900000000001</v>
      </c>
      <c r="S78" s="116">
        <v>-3268.462</v>
      </c>
      <c r="T78" s="118">
        <f t="shared" si="75"/>
        <v>4.0000000000190994</v>
      </c>
      <c r="U78" s="118">
        <f t="shared" si="76"/>
        <v>10.000000000218279</v>
      </c>
      <c r="V78" s="118">
        <f t="shared" si="77"/>
        <v>10.770329614478769</v>
      </c>
      <c r="W78" s="116">
        <v>784.77</v>
      </c>
      <c r="X78" s="116">
        <v>-3268.4639999999999</v>
      </c>
      <c r="Y78" s="118">
        <f t="shared" si="78"/>
        <v>4.9999999999954525</v>
      </c>
      <c r="Z78" s="118">
        <f t="shared" si="79"/>
        <v>8.0000000002655725</v>
      </c>
      <c r="AA78" s="118">
        <f t="shared" si="80"/>
        <v>9.4339811322793992</v>
      </c>
      <c r="AB78" s="116">
        <v>784.77</v>
      </c>
      <c r="AC78" s="116">
        <v>-3268.4650000000001</v>
      </c>
      <c r="AD78" s="118">
        <f t="shared" si="69"/>
        <v>4.9999999999954525</v>
      </c>
      <c r="AE78" s="118">
        <f t="shared" si="70"/>
        <v>7.0000000000618456</v>
      </c>
      <c r="AF78" s="118">
        <f t="shared" si="71"/>
        <v>8.6023252670903094</v>
      </c>
      <c r="AG78" s="116">
        <v>784.76499999999999</v>
      </c>
      <c r="AH78" s="116">
        <v>-3268.4630000000002</v>
      </c>
      <c r="AI78" s="118">
        <f t="shared" si="72"/>
        <v>0</v>
      </c>
      <c r="AJ78" s="118">
        <f t="shared" si="73"/>
        <v>9.0000000000145519</v>
      </c>
      <c r="AK78" s="118">
        <f t="shared" si="74"/>
        <v>9.0000000000145519</v>
      </c>
      <c r="AL78" s="116">
        <v>784.76199999999994</v>
      </c>
      <c r="AM78" s="116">
        <v>-3268.4640000000004</v>
      </c>
      <c r="AN78" s="118">
        <f t="shared" si="81"/>
        <v>-3.0000000000427463</v>
      </c>
      <c r="AO78" s="118">
        <f t="shared" si="82"/>
        <v>7.9999999998108251</v>
      </c>
      <c r="AP78" s="118">
        <f t="shared" si="83"/>
        <v>8.5440037451554112</v>
      </c>
      <c r="AQ78" s="116">
        <v>784.7639999999999</v>
      </c>
      <c r="AR78" s="116">
        <v>-3268.4650000000006</v>
      </c>
      <c r="AS78" s="118">
        <f t="shared" si="87"/>
        <v>-1.00000000009004</v>
      </c>
      <c r="AT78" s="118">
        <f t="shared" si="88"/>
        <v>6.9999999996070983</v>
      </c>
      <c r="AU78" s="118">
        <f t="shared" si="89"/>
        <v>7.0710678114892556</v>
      </c>
      <c r="AV78" s="116">
        <v>784.76499999999987</v>
      </c>
      <c r="AW78" s="116">
        <v>-3268.4640000000004</v>
      </c>
      <c r="AX78" s="118">
        <f t="shared" si="90"/>
        <v>-1.1368683772161603E-10</v>
      </c>
      <c r="AY78" s="118">
        <f t="shared" si="91"/>
        <v>7.9999999998108251</v>
      </c>
      <c r="AZ78" s="118">
        <f t="shared" si="92"/>
        <v>7.9999999998108251</v>
      </c>
      <c r="BA78" s="116">
        <v>784.76599999999985</v>
      </c>
      <c r="BB78" s="116">
        <v>-3268.4650000000006</v>
      </c>
      <c r="BC78" s="118">
        <f t="shared" si="93"/>
        <v>0.9999999998626663</v>
      </c>
      <c r="BD78" s="118">
        <f t="shared" si="94"/>
        <v>6.9999999996070983</v>
      </c>
      <c r="BE78" s="118">
        <f t="shared" si="95"/>
        <v>7.0710678114571008</v>
      </c>
      <c r="BF78" s="127">
        <v>784.76999999999987</v>
      </c>
      <c r="BG78" s="127">
        <v>-3268.4670000000006</v>
      </c>
      <c r="BH78" s="118">
        <f t="shared" si="96"/>
        <v>4.9999999998817657</v>
      </c>
      <c r="BI78" s="118">
        <f t="shared" si="97"/>
        <v>4.999999999654392</v>
      </c>
      <c r="BJ78" s="118">
        <f t="shared" si="98"/>
        <v>7.071067811537489</v>
      </c>
      <c r="BK78" s="127">
        <v>784.77399999999989</v>
      </c>
      <c r="BL78" s="127">
        <v>-3268.4630000000006</v>
      </c>
      <c r="BM78" s="118">
        <f t="shared" si="99"/>
        <v>8.9999999999008651</v>
      </c>
      <c r="BN78" s="118">
        <f t="shared" si="100"/>
        <v>8.9999999995598046</v>
      </c>
      <c r="BO78" s="118">
        <f t="shared" si="101"/>
        <v>12.727922060976491</v>
      </c>
      <c r="BP78" s="127">
        <v>784.77099999999984</v>
      </c>
      <c r="BQ78" s="127">
        <v>-3268.4630000000006</v>
      </c>
      <c r="BR78" s="118">
        <f t="shared" si="102"/>
        <v>5.9999999998581188</v>
      </c>
      <c r="BS78" s="118">
        <f t="shared" si="103"/>
        <v>8.9999999995598046</v>
      </c>
      <c r="BT78" s="118">
        <f t="shared" si="104"/>
        <v>10.816653825947002</v>
      </c>
      <c r="BU78" s="127">
        <v>784.7729999999998</v>
      </c>
      <c r="BV78" s="127">
        <v>-3268.4620000000004</v>
      </c>
      <c r="BW78" s="118">
        <f t="shared" si="105"/>
        <v>7.9999999998108251</v>
      </c>
      <c r="BX78" s="118">
        <f t="shared" si="106"/>
        <v>9.9999999997635314</v>
      </c>
      <c r="BY78" s="118">
        <f t="shared" si="107"/>
        <v>12.806248474562869</v>
      </c>
      <c r="BZ78" s="115">
        <f t="shared" si="108"/>
        <v>68</v>
      </c>
    </row>
    <row r="79" spans="2:78" s="32" customFormat="1" ht="15.95" customHeight="1" x14ac:dyDescent="0.25">
      <c r="B79" s="115">
        <v>69</v>
      </c>
      <c r="C79" s="116">
        <v>780.62</v>
      </c>
      <c r="D79" s="116">
        <v>-3268.6060000000002</v>
      </c>
      <c r="E79" s="117">
        <v>0</v>
      </c>
      <c r="F79" s="117">
        <v>0</v>
      </c>
      <c r="G79" s="118">
        <f t="shared" si="84"/>
        <v>0</v>
      </c>
      <c r="H79" s="116">
        <v>780.61699999999996</v>
      </c>
      <c r="I79" s="116">
        <v>-3268.6070000000004</v>
      </c>
      <c r="J79" s="117">
        <v>0</v>
      </c>
      <c r="K79" s="117">
        <v>0</v>
      </c>
      <c r="L79" s="118">
        <v>0</v>
      </c>
      <c r="M79" s="116">
        <v>780.61500000000001</v>
      </c>
      <c r="N79" s="116">
        <v>-3268.5980000000004</v>
      </c>
      <c r="O79" s="117">
        <f t="shared" si="85"/>
        <v>-1.9999999999527063</v>
      </c>
      <c r="P79" s="117">
        <f t="shared" si="85"/>
        <v>9.0000000000145519</v>
      </c>
      <c r="Q79" s="118">
        <f t="shared" si="86"/>
        <v>9.2195444572968341</v>
      </c>
      <c r="R79" s="116">
        <v>780.61900000000003</v>
      </c>
      <c r="S79" s="116">
        <v>-3268.5930000000003</v>
      </c>
      <c r="T79" s="118">
        <f t="shared" si="75"/>
        <v>2.0000000000663931</v>
      </c>
      <c r="U79" s="118">
        <f t="shared" si="76"/>
        <v>14.000000000123691</v>
      </c>
      <c r="V79" s="118">
        <f t="shared" si="77"/>
        <v>14.142135623862789</v>
      </c>
      <c r="W79" s="116">
        <v>780.61</v>
      </c>
      <c r="X79" s="116">
        <v>-3268.59</v>
      </c>
      <c r="Y79" s="118">
        <f t="shared" si="78"/>
        <v>-6.9999999999481588</v>
      </c>
      <c r="Z79" s="118">
        <f t="shared" si="79"/>
        <v>17.000000000280124</v>
      </c>
      <c r="AA79" s="118">
        <f t="shared" si="80"/>
        <v>18.384776311089521</v>
      </c>
      <c r="AB79" s="116">
        <v>780.61500000000001</v>
      </c>
      <c r="AC79" s="116">
        <v>-3268.5950000000003</v>
      </c>
      <c r="AD79" s="118">
        <f t="shared" si="69"/>
        <v>-1.9999999999527063</v>
      </c>
      <c r="AE79" s="118">
        <f t="shared" si="70"/>
        <v>12.000000000170985</v>
      </c>
      <c r="AF79" s="118">
        <f t="shared" si="71"/>
        <v>12.165525060757323</v>
      </c>
      <c r="AG79" s="116">
        <v>780.61599999999999</v>
      </c>
      <c r="AH79" s="116">
        <v>-3268.59</v>
      </c>
      <c r="AI79" s="118">
        <f t="shared" si="72"/>
        <v>-0.99999999997635314</v>
      </c>
      <c r="AJ79" s="118">
        <f t="shared" si="73"/>
        <v>17.000000000280124</v>
      </c>
      <c r="AK79" s="118">
        <f t="shared" si="74"/>
        <v>17.029386366204655</v>
      </c>
      <c r="AL79" s="116">
        <v>780.61400000000003</v>
      </c>
      <c r="AM79" s="116">
        <v>-3268.5930000000003</v>
      </c>
      <c r="AN79" s="118">
        <f t="shared" si="81"/>
        <v>-2.9999999999290594</v>
      </c>
      <c r="AO79" s="118">
        <f t="shared" si="82"/>
        <v>14.000000000123691</v>
      </c>
      <c r="AP79" s="118">
        <f t="shared" si="83"/>
        <v>14.317821063382434</v>
      </c>
      <c r="AQ79" s="116">
        <v>780.61200000000008</v>
      </c>
      <c r="AR79" s="116">
        <v>-3268.5950000000003</v>
      </c>
      <c r="AS79" s="118">
        <f t="shared" si="87"/>
        <v>-4.9999999998817657</v>
      </c>
      <c r="AT79" s="118">
        <f t="shared" si="88"/>
        <v>12.000000000170985</v>
      </c>
      <c r="AU79" s="118">
        <f t="shared" si="89"/>
        <v>13.000000000112358</v>
      </c>
      <c r="AV79" s="116">
        <v>780.61400000000003</v>
      </c>
      <c r="AW79" s="116">
        <v>-3268.5940000000001</v>
      </c>
      <c r="AX79" s="118">
        <f t="shared" si="90"/>
        <v>-2.9999999999290594</v>
      </c>
      <c r="AY79" s="118">
        <f t="shared" si="91"/>
        <v>13.000000000374712</v>
      </c>
      <c r="AZ79" s="118">
        <f t="shared" si="92"/>
        <v>13.341664064475498</v>
      </c>
      <c r="BA79" s="116">
        <v>780.61200000000008</v>
      </c>
      <c r="BB79" s="116">
        <v>-3268.5909999999999</v>
      </c>
      <c r="BC79" s="118">
        <f t="shared" si="93"/>
        <v>-4.9999999998817657</v>
      </c>
      <c r="BD79" s="118">
        <f t="shared" si="94"/>
        <v>16.000000000531145</v>
      </c>
      <c r="BE79" s="118">
        <f t="shared" si="95"/>
        <v>16.763054614711912</v>
      </c>
      <c r="BF79" s="127">
        <v>780.61400000000003</v>
      </c>
      <c r="BG79" s="127">
        <v>-3268.5909999999999</v>
      </c>
      <c r="BH79" s="118">
        <f t="shared" si="96"/>
        <v>-2.9999999999290594</v>
      </c>
      <c r="BI79" s="118">
        <f t="shared" si="97"/>
        <v>16.000000000531145</v>
      </c>
      <c r="BJ79" s="118">
        <f t="shared" si="98"/>
        <v>16.278820596608682</v>
      </c>
      <c r="BK79" s="127">
        <v>780.61500000000001</v>
      </c>
      <c r="BL79" s="127">
        <v>-3268.5879999999997</v>
      </c>
      <c r="BM79" s="118">
        <f t="shared" si="99"/>
        <v>-1.9999999999527063</v>
      </c>
      <c r="BN79" s="118">
        <f t="shared" si="100"/>
        <v>19.000000000687578</v>
      </c>
      <c r="BO79" s="118">
        <f t="shared" si="101"/>
        <v>19.104973175221648</v>
      </c>
      <c r="BP79" s="127">
        <v>780.61199999999997</v>
      </c>
      <c r="BQ79" s="127">
        <v>-3268.5849999999996</v>
      </c>
      <c r="BR79" s="118">
        <f t="shared" si="102"/>
        <v>-4.9999999999954525</v>
      </c>
      <c r="BS79" s="118">
        <f t="shared" si="103"/>
        <v>22.000000000844011</v>
      </c>
      <c r="BT79" s="118">
        <f t="shared" si="104"/>
        <v>22.561028346178972</v>
      </c>
      <c r="BU79" s="127">
        <v>780.61</v>
      </c>
      <c r="BV79" s="127">
        <v>-3268.5819999999994</v>
      </c>
      <c r="BW79" s="118">
        <f t="shared" si="105"/>
        <v>-6.9999999999481588</v>
      </c>
      <c r="BX79" s="118">
        <f t="shared" si="106"/>
        <v>25.000000001000444</v>
      </c>
      <c r="BY79" s="118">
        <f t="shared" si="107"/>
        <v>25.961509972443753</v>
      </c>
      <c r="BZ79" s="115">
        <f t="shared" si="108"/>
        <v>69</v>
      </c>
    </row>
    <row r="80" spans="2:78" s="32" customFormat="1" ht="15.95" customHeight="1" x14ac:dyDescent="0.25">
      <c r="B80" s="115">
        <v>70</v>
      </c>
      <c r="C80" s="116">
        <v>779.91</v>
      </c>
      <c r="D80" s="116">
        <v>-3274.1990000000001</v>
      </c>
      <c r="E80" s="117">
        <v>0</v>
      </c>
      <c r="F80" s="117">
        <v>0</v>
      </c>
      <c r="G80" s="118">
        <f t="shared" si="84"/>
        <v>0</v>
      </c>
      <c r="H80" s="116">
        <v>779.91300000000001</v>
      </c>
      <c r="I80" s="116">
        <v>-3274.1990000000001</v>
      </c>
      <c r="J80" s="117">
        <v>0</v>
      </c>
      <c r="K80" s="117">
        <v>0</v>
      </c>
      <c r="L80" s="118">
        <v>0</v>
      </c>
      <c r="M80" s="116">
        <v>779.89800000000002</v>
      </c>
      <c r="N80" s="116">
        <v>-3274.1930000000002</v>
      </c>
      <c r="O80" s="117">
        <f t="shared" si="85"/>
        <v>-14.999999999986358</v>
      </c>
      <c r="P80" s="117">
        <f t="shared" si="85"/>
        <v>5.9999999998581188</v>
      </c>
      <c r="Q80" s="118">
        <f t="shared" si="86"/>
        <v>16.155494421338151</v>
      </c>
      <c r="R80" s="116">
        <v>779.90100000000007</v>
      </c>
      <c r="S80" s="116">
        <v>-3274.1880000000001</v>
      </c>
      <c r="T80" s="118">
        <f t="shared" si="75"/>
        <v>-11.999999999943611</v>
      </c>
      <c r="U80" s="118">
        <f t="shared" si="76"/>
        <v>10.999999999967258</v>
      </c>
      <c r="V80" s="118">
        <f t="shared" si="77"/>
        <v>16.278820596036013</v>
      </c>
      <c r="W80" s="116">
        <v>779.9</v>
      </c>
      <c r="X80" s="116">
        <v>-3274.1890000000003</v>
      </c>
      <c r="Y80" s="118">
        <f t="shared" si="78"/>
        <v>-13.000000000033651</v>
      </c>
      <c r="Z80" s="118">
        <f t="shared" si="79"/>
        <v>9.9999999997635314</v>
      </c>
      <c r="AA80" s="118">
        <f t="shared" si="80"/>
        <v>16.401219466739221</v>
      </c>
      <c r="AB80" s="116">
        <v>779.90499999999997</v>
      </c>
      <c r="AC80" s="116">
        <v>-3274.1910000000003</v>
      </c>
      <c r="AD80" s="118">
        <f t="shared" si="69"/>
        <v>-8.0000000000381988</v>
      </c>
      <c r="AE80" s="118">
        <f t="shared" si="70"/>
        <v>7.9999999998108251</v>
      </c>
      <c r="AF80" s="118">
        <f t="shared" si="71"/>
        <v>11.313708498878004</v>
      </c>
      <c r="AG80" s="116">
        <v>779.90499999999997</v>
      </c>
      <c r="AH80" s="116">
        <v>-3274.1880000000001</v>
      </c>
      <c r="AI80" s="118">
        <f t="shared" si="72"/>
        <v>-8.0000000000381988</v>
      </c>
      <c r="AJ80" s="118">
        <f t="shared" si="73"/>
        <v>10.999999999967258</v>
      </c>
      <c r="AK80" s="118">
        <f t="shared" si="74"/>
        <v>13.601470508731431</v>
      </c>
      <c r="AL80" s="116">
        <v>779.90599999999995</v>
      </c>
      <c r="AM80" s="116">
        <v>-3274.183</v>
      </c>
      <c r="AN80" s="118">
        <f t="shared" si="81"/>
        <v>-7.0000000000618456</v>
      </c>
      <c r="AO80" s="118">
        <f t="shared" si="82"/>
        <v>16.000000000076398</v>
      </c>
      <c r="AP80" s="118">
        <f t="shared" si="83"/>
        <v>17.464249196667762</v>
      </c>
      <c r="AQ80" s="116">
        <v>779.90499999999997</v>
      </c>
      <c r="AR80" s="116">
        <v>-3274.183</v>
      </c>
      <c r="AS80" s="118">
        <f t="shared" si="87"/>
        <v>-8.0000000000381988</v>
      </c>
      <c r="AT80" s="118">
        <f t="shared" si="88"/>
        <v>16.000000000076398</v>
      </c>
      <c r="AU80" s="118">
        <f t="shared" si="89"/>
        <v>17.888543820083733</v>
      </c>
      <c r="AV80" s="116">
        <v>779.90800000000002</v>
      </c>
      <c r="AW80" s="116">
        <v>-3274.1840000000002</v>
      </c>
      <c r="AX80" s="118">
        <f t="shared" si="90"/>
        <v>-4.9999999999954525</v>
      </c>
      <c r="AY80" s="118">
        <f t="shared" si="91"/>
        <v>14.999999999872671</v>
      </c>
      <c r="AZ80" s="118">
        <f t="shared" si="92"/>
        <v>15.811388300719663</v>
      </c>
      <c r="BA80" s="116">
        <v>779.90700000000004</v>
      </c>
      <c r="BB80" s="116">
        <v>-3274.181</v>
      </c>
      <c r="BC80" s="118">
        <f t="shared" si="93"/>
        <v>-5.9999999999718057</v>
      </c>
      <c r="BD80" s="118">
        <f t="shared" si="94"/>
        <v>18.000000000029104</v>
      </c>
      <c r="BE80" s="118">
        <f t="shared" si="95"/>
        <v>18.973665961028971</v>
      </c>
      <c r="BF80" s="127">
        <v>779.90600000000006</v>
      </c>
      <c r="BG80" s="127">
        <v>-3274.1779999999999</v>
      </c>
      <c r="BH80" s="118">
        <f t="shared" si="96"/>
        <v>-6.9999999999481588</v>
      </c>
      <c r="BI80" s="118">
        <f t="shared" si="97"/>
        <v>21.000000000185537</v>
      </c>
      <c r="BJ80" s="118">
        <f t="shared" si="98"/>
        <v>22.135943621338278</v>
      </c>
      <c r="BK80" s="127">
        <v>779.90900000000011</v>
      </c>
      <c r="BL80" s="127">
        <v>-3274.1749999999997</v>
      </c>
      <c r="BM80" s="118">
        <f t="shared" si="99"/>
        <v>-3.9999999999054126</v>
      </c>
      <c r="BN80" s="118">
        <f t="shared" si="100"/>
        <v>24.00000000034197</v>
      </c>
      <c r="BO80" s="118">
        <f t="shared" si="101"/>
        <v>24.331050121514647</v>
      </c>
      <c r="BP80" s="127">
        <v>779.90800000000013</v>
      </c>
      <c r="BQ80" s="127">
        <v>-3274.1759999999999</v>
      </c>
      <c r="BR80" s="118">
        <f t="shared" si="102"/>
        <v>-4.9999999998817657</v>
      </c>
      <c r="BS80" s="118">
        <f t="shared" si="103"/>
        <v>23.000000000138243</v>
      </c>
      <c r="BT80" s="118">
        <f t="shared" si="104"/>
        <v>23.53720459198961</v>
      </c>
      <c r="BU80" s="127">
        <v>779.90800000000013</v>
      </c>
      <c r="BV80" s="127">
        <v>-3274.1770000000001</v>
      </c>
      <c r="BW80" s="118">
        <f t="shared" si="105"/>
        <v>-4.9999999998817657</v>
      </c>
      <c r="BX80" s="118">
        <f t="shared" si="106"/>
        <v>21.999999999934516</v>
      </c>
      <c r="BY80" s="118">
        <f t="shared" si="107"/>
        <v>22.561028345266898</v>
      </c>
      <c r="BZ80" s="115">
        <f t="shared" si="108"/>
        <v>70</v>
      </c>
    </row>
    <row r="81" spans="2:78" s="32" customFormat="1" ht="15.95" customHeight="1" x14ac:dyDescent="0.25">
      <c r="B81" s="115">
        <v>71</v>
      </c>
      <c r="C81" s="116">
        <v>779.55200000000002</v>
      </c>
      <c r="D81" s="116">
        <v>-3278.26</v>
      </c>
      <c r="E81" s="117">
        <v>0</v>
      </c>
      <c r="F81" s="117">
        <v>0</v>
      </c>
      <c r="G81" s="118">
        <f t="shared" si="84"/>
        <v>0</v>
      </c>
      <c r="H81" s="116">
        <v>779.553</v>
      </c>
      <c r="I81" s="116">
        <v>-3278.2640000000001</v>
      </c>
      <c r="J81" s="117">
        <v>0</v>
      </c>
      <c r="K81" s="117">
        <v>0</v>
      </c>
      <c r="L81" s="118">
        <v>0</v>
      </c>
      <c r="M81" s="116">
        <v>779.54300000000001</v>
      </c>
      <c r="N81" s="116">
        <v>-3278.2510000000002</v>
      </c>
      <c r="O81" s="117">
        <f t="shared" si="85"/>
        <v>-9.9999999999909051</v>
      </c>
      <c r="P81" s="117">
        <f t="shared" si="85"/>
        <v>12.999999999919964</v>
      </c>
      <c r="Q81" s="118">
        <f t="shared" si="86"/>
        <v>16.40121946678774</v>
      </c>
      <c r="R81" s="116">
        <v>779.54399999999998</v>
      </c>
      <c r="S81" s="116">
        <v>-3278.2470000000003</v>
      </c>
      <c r="T81" s="118">
        <f t="shared" si="75"/>
        <v>-9.0000000000145519</v>
      </c>
      <c r="U81" s="118">
        <f t="shared" si="76"/>
        <v>16.999999999825377</v>
      </c>
      <c r="V81" s="118">
        <f t="shared" si="77"/>
        <v>19.235384061523824</v>
      </c>
      <c r="W81" s="116">
        <v>779.54899999999998</v>
      </c>
      <c r="X81" s="116">
        <v>-3278.2490000000003</v>
      </c>
      <c r="Y81" s="118">
        <f t="shared" si="78"/>
        <v>-4.0000000000190994</v>
      </c>
      <c r="Z81" s="118">
        <f t="shared" si="79"/>
        <v>14.999999999872671</v>
      </c>
      <c r="AA81" s="119">
        <f t="shared" si="80"/>
        <v>15.524174696141914</v>
      </c>
      <c r="AB81" s="116">
        <v>779.548</v>
      </c>
      <c r="AC81" s="116">
        <v>-3278.2470000000003</v>
      </c>
      <c r="AD81" s="118">
        <f t="shared" si="69"/>
        <v>-4.9999999999954525</v>
      </c>
      <c r="AE81" s="118">
        <f t="shared" si="70"/>
        <v>16.999999999825377</v>
      </c>
      <c r="AF81" s="118">
        <f t="shared" si="71"/>
        <v>17.720045146500539</v>
      </c>
      <c r="AG81" s="116">
        <v>779.548</v>
      </c>
      <c r="AH81" s="116">
        <v>-3278.2450000000003</v>
      </c>
      <c r="AI81" s="118">
        <f t="shared" si="72"/>
        <v>-4.9999999999954525</v>
      </c>
      <c r="AJ81" s="118">
        <f t="shared" si="73"/>
        <v>18.999999999778083</v>
      </c>
      <c r="AK81" s="118">
        <f t="shared" si="74"/>
        <v>19.646882704172732</v>
      </c>
      <c r="AL81" s="116">
        <v>779.54899999999998</v>
      </c>
      <c r="AM81" s="116">
        <v>-3278.2460000000005</v>
      </c>
      <c r="AN81" s="118">
        <f t="shared" si="81"/>
        <v>-4.0000000000190994</v>
      </c>
      <c r="AO81" s="118">
        <f t="shared" si="82"/>
        <v>17.999999999574356</v>
      </c>
      <c r="AP81" s="118">
        <f t="shared" si="83"/>
        <v>18.439088914174409</v>
      </c>
      <c r="AQ81" s="116">
        <v>779.54499999999996</v>
      </c>
      <c r="AR81" s="116">
        <v>-3278.2450000000003</v>
      </c>
      <c r="AS81" s="118">
        <f t="shared" si="87"/>
        <v>-8.0000000000381988</v>
      </c>
      <c r="AT81" s="118">
        <f t="shared" si="88"/>
        <v>18.999999999778083</v>
      </c>
      <c r="AU81" s="118">
        <f t="shared" si="89"/>
        <v>20.6155281278986</v>
      </c>
      <c r="AV81" s="116">
        <v>779.54099999999994</v>
      </c>
      <c r="AW81" s="116">
        <v>-3278.2430000000004</v>
      </c>
      <c r="AX81" s="118">
        <f t="shared" si="90"/>
        <v>-12.000000000057298</v>
      </c>
      <c r="AY81" s="118">
        <f t="shared" si="91"/>
        <v>20.99999999973079</v>
      </c>
      <c r="AZ81" s="118">
        <f t="shared" si="92"/>
        <v>24.186773244690336</v>
      </c>
      <c r="BA81" s="116">
        <v>779.54399999999998</v>
      </c>
      <c r="BB81" s="116">
        <v>-3278.2390000000005</v>
      </c>
      <c r="BC81" s="118">
        <f t="shared" si="93"/>
        <v>-9.0000000000145519</v>
      </c>
      <c r="BD81" s="118">
        <f t="shared" si="94"/>
        <v>24.999999999636202</v>
      </c>
      <c r="BE81" s="118">
        <f t="shared" si="95"/>
        <v>26.570660510835481</v>
      </c>
      <c r="BF81" s="127">
        <v>779.54599999999994</v>
      </c>
      <c r="BG81" s="127">
        <v>-3278.2420000000006</v>
      </c>
      <c r="BH81" s="118">
        <f t="shared" si="96"/>
        <v>-7.0000000000618456</v>
      </c>
      <c r="BI81" s="118">
        <f t="shared" si="97"/>
        <v>21.999999999479769</v>
      </c>
      <c r="BJ81" s="118">
        <f t="shared" si="98"/>
        <v>23.086792760753401</v>
      </c>
      <c r="BK81" s="127">
        <v>779.54599999999994</v>
      </c>
      <c r="BL81" s="127">
        <v>-3278.2380000000007</v>
      </c>
      <c r="BM81" s="118">
        <f t="shared" si="99"/>
        <v>-7.0000000000618456</v>
      </c>
      <c r="BN81" s="118">
        <f t="shared" si="100"/>
        <v>25.999999999385182</v>
      </c>
      <c r="BO81" s="118">
        <f t="shared" si="101"/>
        <v>26.925824035094919</v>
      </c>
      <c r="BP81" s="127">
        <v>779.54799999999989</v>
      </c>
      <c r="BQ81" s="127">
        <v>-3278.2380000000007</v>
      </c>
      <c r="BR81" s="118">
        <f t="shared" si="102"/>
        <v>-5.0000000001091394</v>
      </c>
      <c r="BS81" s="118">
        <f t="shared" si="103"/>
        <v>25.999999999385182</v>
      </c>
      <c r="BT81" s="118">
        <f t="shared" si="104"/>
        <v>26.476404589164307</v>
      </c>
      <c r="BU81" s="127">
        <v>779.54499999999985</v>
      </c>
      <c r="BV81" s="127">
        <v>-3278.2350000000006</v>
      </c>
      <c r="BW81" s="118">
        <f t="shared" si="105"/>
        <v>-8.0000000001518856</v>
      </c>
      <c r="BX81" s="118">
        <f t="shared" si="106"/>
        <v>28.999999999541615</v>
      </c>
      <c r="BY81" s="118">
        <f t="shared" si="107"/>
        <v>30.083217912581159</v>
      </c>
      <c r="BZ81" s="115">
        <f t="shared" si="108"/>
        <v>71</v>
      </c>
    </row>
    <row r="82" spans="2:78" s="32" customFormat="1" ht="15.95" customHeight="1" x14ac:dyDescent="0.25">
      <c r="B82" s="115">
        <v>72</v>
      </c>
      <c r="C82" s="116">
        <v>776.49099999999999</v>
      </c>
      <c r="D82" s="116">
        <v>-3279.0010000000002</v>
      </c>
      <c r="E82" s="117">
        <v>0</v>
      </c>
      <c r="F82" s="117">
        <v>0</v>
      </c>
      <c r="G82" s="118">
        <f t="shared" si="84"/>
        <v>0</v>
      </c>
      <c r="H82" s="116">
        <v>776.48900000000003</v>
      </c>
      <c r="I82" s="116">
        <v>-3278.998</v>
      </c>
      <c r="J82" s="117">
        <v>0</v>
      </c>
      <c r="K82" s="117">
        <v>0</v>
      </c>
      <c r="L82" s="118">
        <v>0</v>
      </c>
      <c r="M82" s="116">
        <v>776.48</v>
      </c>
      <c r="N82" s="116">
        <v>-3278.998</v>
      </c>
      <c r="O82" s="117">
        <f t="shared" si="85"/>
        <v>-9.0000000000145519</v>
      </c>
      <c r="P82" s="117">
        <f t="shared" si="85"/>
        <v>0</v>
      </c>
      <c r="Q82" s="118">
        <f t="shared" si="86"/>
        <v>9.0000000000145519</v>
      </c>
      <c r="R82" s="116">
        <v>776.48400000000004</v>
      </c>
      <c r="S82" s="116">
        <v>-3278.9940000000001</v>
      </c>
      <c r="T82" s="118">
        <f t="shared" si="75"/>
        <v>-4.9999999999954525</v>
      </c>
      <c r="U82" s="118">
        <f t="shared" si="76"/>
        <v>3.9999999999054126</v>
      </c>
      <c r="V82" s="118">
        <f t="shared" si="77"/>
        <v>6.4031242373702097</v>
      </c>
      <c r="W82" s="116">
        <v>776.48699999999997</v>
      </c>
      <c r="X82" s="116">
        <v>-3278.998</v>
      </c>
      <c r="Y82" s="118">
        <f t="shared" si="78"/>
        <v>-2.0000000000663931</v>
      </c>
      <c r="Z82" s="118">
        <f t="shared" si="79"/>
        <v>0</v>
      </c>
      <c r="AA82" s="118">
        <f t="shared" si="80"/>
        <v>2.0000000000663931</v>
      </c>
      <c r="AB82" s="116">
        <v>776.48599999999999</v>
      </c>
      <c r="AC82" s="116">
        <v>-3278.9929999999999</v>
      </c>
      <c r="AD82" s="118">
        <f t="shared" si="69"/>
        <v>-3.0000000000427463</v>
      </c>
      <c r="AE82" s="118">
        <f t="shared" si="70"/>
        <v>5.0000000001091394</v>
      </c>
      <c r="AF82" s="118">
        <f t="shared" si="71"/>
        <v>5.8309518949608794</v>
      </c>
      <c r="AG82" s="116">
        <v>776.49</v>
      </c>
      <c r="AH82" s="116">
        <v>-3278.9929999999999</v>
      </c>
      <c r="AI82" s="118">
        <f t="shared" si="72"/>
        <v>0.99999999997635314</v>
      </c>
      <c r="AJ82" s="118">
        <f t="shared" si="73"/>
        <v>5.0000000001091394</v>
      </c>
      <c r="AK82" s="118">
        <f t="shared" si="74"/>
        <v>5.0990195136951675</v>
      </c>
      <c r="AL82" s="186" t="s">
        <v>41</v>
      </c>
      <c r="AM82" s="187"/>
      <c r="AN82" s="118" t="s">
        <v>40</v>
      </c>
      <c r="AO82" s="118" t="s">
        <v>40</v>
      </c>
      <c r="AP82" s="118" t="s">
        <v>40</v>
      </c>
      <c r="AQ82" s="186" t="s">
        <v>41</v>
      </c>
      <c r="AR82" s="187"/>
      <c r="AS82" s="118" t="s">
        <v>40</v>
      </c>
      <c r="AT82" s="118" t="s">
        <v>40</v>
      </c>
      <c r="AU82" s="118" t="s">
        <v>40</v>
      </c>
      <c r="AV82" s="186" t="s">
        <v>41</v>
      </c>
      <c r="AW82" s="187"/>
      <c r="AX82" s="118" t="s">
        <v>40</v>
      </c>
      <c r="AY82" s="118" t="s">
        <v>40</v>
      </c>
      <c r="AZ82" s="118" t="s">
        <v>40</v>
      </c>
      <c r="BA82" s="186" t="s">
        <v>41</v>
      </c>
      <c r="BB82" s="187"/>
      <c r="BC82" s="118" t="s">
        <v>40</v>
      </c>
      <c r="BD82" s="118" t="s">
        <v>40</v>
      </c>
      <c r="BE82" s="118" t="s">
        <v>40</v>
      </c>
      <c r="BF82" s="186" t="s">
        <v>41</v>
      </c>
      <c r="BG82" s="187"/>
      <c r="BH82" s="118" t="s">
        <v>40</v>
      </c>
      <c r="BI82" s="118" t="s">
        <v>40</v>
      </c>
      <c r="BJ82" s="118" t="s">
        <v>40</v>
      </c>
      <c r="BK82" s="186" t="s">
        <v>41</v>
      </c>
      <c r="BL82" s="187"/>
      <c r="BM82" s="118" t="s">
        <v>40</v>
      </c>
      <c r="BN82" s="118" t="s">
        <v>40</v>
      </c>
      <c r="BO82" s="118" t="s">
        <v>40</v>
      </c>
      <c r="BP82" s="193" t="s">
        <v>41</v>
      </c>
      <c r="BQ82" s="194"/>
      <c r="BR82" s="118" t="s">
        <v>40</v>
      </c>
      <c r="BS82" s="118" t="s">
        <v>40</v>
      </c>
      <c r="BT82" s="118" t="s">
        <v>40</v>
      </c>
      <c r="BU82" s="193" t="s">
        <v>41</v>
      </c>
      <c r="BV82" s="194"/>
      <c r="BW82" s="118" t="s">
        <v>40</v>
      </c>
      <c r="BX82" s="118" t="s">
        <v>40</v>
      </c>
      <c r="BY82" s="118" t="s">
        <v>40</v>
      </c>
      <c r="BZ82" s="115">
        <f t="shared" si="108"/>
        <v>72</v>
      </c>
    </row>
    <row r="83" spans="2:78" s="32" customFormat="1" ht="15.95" customHeight="1" x14ac:dyDescent="0.25">
      <c r="B83" s="115">
        <v>73</v>
      </c>
      <c r="C83" s="116">
        <v>773.56299999999999</v>
      </c>
      <c r="D83" s="116">
        <v>-3279.317</v>
      </c>
      <c r="E83" s="117">
        <v>0</v>
      </c>
      <c r="F83" s="117">
        <v>0</v>
      </c>
      <c r="G83" s="118">
        <f t="shared" si="84"/>
        <v>0</v>
      </c>
      <c r="H83" s="116">
        <v>773.56600000000003</v>
      </c>
      <c r="I83" s="116">
        <v>-3279.319</v>
      </c>
      <c r="J83" s="117">
        <v>0</v>
      </c>
      <c r="K83" s="117">
        <v>0</v>
      </c>
      <c r="L83" s="118">
        <v>0</v>
      </c>
      <c r="M83" s="116">
        <v>773.56799999999998</v>
      </c>
      <c r="N83" s="116">
        <v>-3279.319</v>
      </c>
      <c r="O83" s="117">
        <f t="shared" si="85"/>
        <v>1.9999999999527063</v>
      </c>
      <c r="P83" s="117">
        <f t="shared" si="85"/>
        <v>0</v>
      </c>
      <c r="Q83" s="118">
        <f t="shared" si="86"/>
        <v>1.9999999999527063</v>
      </c>
      <c r="R83" s="116">
        <v>773.56999999999994</v>
      </c>
      <c r="S83" s="116">
        <v>-3279.317</v>
      </c>
      <c r="T83" s="118">
        <f t="shared" si="75"/>
        <v>3.9999999999054126</v>
      </c>
      <c r="U83" s="118">
        <f t="shared" si="76"/>
        <v>1.9999999999527063</v>
      </c>
      <c r="V83" s="118">
        <f t="shared" si="77"/>
        <v>4.4721359548938278</v>
      </c>
      <c r="W83" s="116">
        <v>773.57100000000003</v>
      </c>
      <c r="X83" s="116">
        <v>-3279.3179999999998</v>
      </c>
      <c r="Y83" s="118">
        <f t="shared" si="78"/>
        <v>4.9999999999954525</v>
      </c>
      <c r="Z83" s="118">
        <f t="shared" si="79"/>
        <v>1.0000000002037268</v>
      </c>
      <c r="AA83" s="118">
        <f t="shared" si="80"/>
        <v>5.0990195136282797</v>
      </c>
      <c r="AB83" s="116">
        <v>773.56600000000003</v>
      </c>
      <c r="AC83" s="116">
        <v>-3279.3139999999999</v>
      </c>
      <c r="AD83" s="118">
        <f t="shared" si="69"/>
        <v>0</v>
      </c>
      <c r="AE83" s="118">
        <f t="shared" si="70"/>
        <v>5.0000000001091394</v>
      </c>
      <c r="AF83" s="118">
        <f t="shared" si="71"/>
        <v>5.0000000001091394</v>
      </c>
      <c r="AG83" s="116">
        <v>773.572</v>
      </c>
      <c r="AH83" s="116">
        <v>-3279.3109999999997</v>
      </c>
      <c r="AI83" s="118">
        <f t="shared" si="72"/>
        <v>5.9999999999718057</v>
      </c>
      <c r="AJ83" s="118">
        <f t="shared" si="73"/>
        <v>8.0000000002655725</v>
      </c>
      <c r="AK83" s="118">
        <f t="shared" si="74"/>
        <v>10.000000000195541</v>
      </c>
      <c r="AL83" s="186" t="s">
        <v>41</v>
      </c>
      <c r="AM83" s="187"/>
      <c r="AN83" s="118" t="s">
        <v>40</v>
      </c>
      <c r="AO83" s="118" t="s">
        <v>40</v>
      </c>
      <c r="AP83" s="118" t="s">
        <v>40</v>
      </c>
      <c r="AQ83" s="186" t="s">
        <v>41</v>
      </c>
      <c r="AR83" s="187"/>
      <c r="AS83" s="118" t="s">
        <v>40</v>
      </c>
      <c r="AT83" s="118" t="s">
        <v>40</v>
      </c>
      <c r="AU83" s="118" t="s">
        <v>40</v>
      </c>
      <c r="AV83" s="186" t="s">
        <v>41</v>
      </c>
      <c r="AW83" s="187"/>
      <c r="AX83" s="118" t="s">
        <v>40</v>
      </c>
      <c r="AY83" s="118" t="s">
        <v>40</v>
      </c>
      <c r="AZ83" s="118" t="s">
        <v>40</v>
      </c>
      <c r="BA83" s="186" t="s">
        <v>41</v>
      </c>
      <c r="BB83" s="187"/>
      <c r="BC83" s="118" t="s">
        <v>40</v>
      </c>
      <c r="BD83" s="118" t="s">
        <v>40</v>
      </c>
      <c r="BE83" s="118" t="s">
        <v>40</v>
      </c>
      <c r="BF83" s="186" t="s">
        <v>41</v>
      </c>
      <c r="BG83" s="187"/>
      <c r="BH83" s="118" t="s">
        <v>40</v>
      </c>
      <c r="BI83" s="118" t="s">
        <v>40</v>
      </c>
      <c r="BJ83" s="118" t="s">
        <v>40</v>
      </c>
      <c r="BK83" s="186" t="s">
        <v>41</v>
      </c>
      <c r="BL83" s="187"/>
      <c r="BM83" s="118" t="s">
        <v>40</v>
      </c>
      <c r="BN83" s="118" t="s">
        <v>40</v>
      </c>
      <c r="BO83" s="118" t="s">
        <v>40</v>
      </c>
      <c r="BP83" s="193" t="s">
        <v>41</v>
      </c>
      <c r="BQ83" s="194"/>
      <c r="BR83" s="118" t="s">
        <v>40</v>
      </c>
      <c r="BS83" s="118" t="s">
        <v>40</v>
      </c>
      <c r="BT83" s="118" t="s">
        <v>40</v>
      </c>
      <c r="BU83" s="193" t="s">
        <v>41</v>
      </c>
      <c r="BV83" s="194"/>
      <c r="BW83" s="118" t="s">
        <v>40</v>
      </c>
      <c r="BX83" s="118" t="s">
        <v>40</v>
      </c>
      <c r="BY83" s="118" t="s">
        <v>40</v>
      </c>
      <c r="BZ83" s="115">
        <f t="shared" si="108"/>
        <v>73</v>
      </c>
    </row>
    <row r="84" spans="2:78" s="32" customFormat="1" ht="15.95" customHeight="1" x14ac:dyDescent="0.25">
      <c r="B84" s="115">
        <v>74</v>
      </c>
      <c r="C84" s="116">
        <v>768.92</v>
      </c>
      <c r="D84" s="116">
        <v>-3283.0160000000001</v>
      </c>
      <c r="E84" s="117">
        <v>0</v>
      </c>
      <c r="F84" s="117">
        <v>0</v>
      </c>
      <c r="G84" s="118">
        <f t="shared" si="84"/>
        <v>0</v>
      </c>
      <c r="H84" s="116">
        <v>768.92099999999994</v>
      </c>
      <c r="I84" s="116">
        <v>-3283.0170000000003</v>
      </c>
      <c r="J84" s="117">
        <v>0</v>
      </c>
      <c r="K84" s="117">
        <v>0</v>
      </c>
      <c r="L84" s="118">
        <v>0</v>
      </c>
      <c r="M84" s="116">
        <v>768.91699999999992</v>
      </c>
      <c r="N84" s="116">
        <v>-3283.002</v>
      </c>
      <c r="O84" s="117">
        <f t="shared" si="85"/>
        <v>-4.0000000000190994</v>
      </c>
      <c r="P84" s="117">
        <f t="shared" si="85"/>
        <v>15.000000000327418</v>
      </c>
      <c r="Q84" s="118">
        <f t="shared" si="86"/>
        <v>15.524174696581309</v>
      </c>
      <c r="R84" s="116">
        <v>768.91799999999989</v>
      </c>
      <c r="S84" s="116">
        <v>-3282.9989999999998</v>
      </c>
      <c r="T84" s="118">
        <f t="shared" si="75"/>
        <v>-3.0000000000427463</v>
      </c>
      <c r="U84" s="118">
        <f t="shared" si="76"/>
        <v>18.000000000483851</v>
      </c>
      <c r="V84" s="118">
        <f t="shared" si="77"/>
        <v>18.248287591378954</v>
      </c>
      <c r="W84" s="116">
        <v>768.91799999999989</v>
      </c>
      <c r="X84" s="116">
        <v>-3282.9969999999998</v>
      </c>
      <c r="Y84" s="118">
        <f t="shared" si="78"/>
        <v>-3.0000000000427463</v>
      </c>
      <c r="Z84" s="119">
        <f t="shared" si="79"/>
        <v>20.000000000436557</v>
      </c>
      <c r="AA84" s="119">
        <f t="shared" si="80"/>
        <v>20.223748416594752</v>
      </c>
      <c r="AB84" s="116">
        <v>768.91799999999989</v>
      </c>
      <c r="AC84" s="116">
        <v>-3282.9989999999998</v>
      </c>
      <c r="AD84" s="118">
        <f t="shared" si="69"/>
        <v>-3.0000000000427463</v>
      </c>
      <c r="AE84" s="119">
        <f t="shared" si="70"/>
        <v>18.000000000483851</v>
      </c>
      <c r="AF84" s="118">
        <f t="shared" si="71"/>
        <v>18.248287591378954</v>
      </c>
      <c r="AG84" s="116">
        <v>768.92099999999994</v>
      </c>
      <c r="AH84" s="116">
        <v>-3283.0039999999999</v>
      </c>
      <c r="AI84" s="118">
        <f t="shared" si="72"/>
        <v>0</v>
      </c>
      <c r="AJ84" s="118">
        <f t="shared" si="73"/>
        <v>13.000000000374712</v>
      </c>
      <c r="AK84" s="118">
        <f t="shared" si="74"/>
        <v>13.000000000374712</v>
      </c>
      <c r="AL84" s="186" t="s">
        <v>41</v>
      </c>
      <c r="AM84" s="187"/>
      <c r="AN84" s="118" t="s">
        <v>40</v>
      </c>
      <c r="AO84" s="118" t="s">
        <v>40</v>
      </c>
      <c r="AP84" s="118" t="s">
        <v>40</v>
      </c>
      <c r="AQ84" s="186" t="s">
        <v>41</v>
      </c>
      <c r="AR84" s="187"/>
      <c r="AS84" s="118" t="s">
        <v>40</v>
      </c>
      <c r="AT84" s="118" t="s">
        <v>40</v>
      </c>
      <c r="AU84" s="118" t="s">
        <v>40</v>
      </c>
      <c r="AV84" s="186" t="s">
        <v>41</v>
      </c>
      <c r="AW84" s="187"/>
      <c r="AX84" s="118" t="s">
        <v>40</v>
      </c>
      <c r="AY84" s="118" t="s">
        <v>40</v>
      </c>
      <c r="AZ84" s="118" t="s">
        <v>40</v>
      </c>
      <c r="BA84" s="186" t="s">
        <v>41</v>
      </c>
      <c r="BB84" s="187"/>
      <c r="BC84" s="118" t="s">
        <v>40</v>
      </c>
      <c r="BD84" s="118" t="s">
        <v>40</v>
      </c>
      <c r="BE84" s="118" t="s">
        <v>40</v>
      </c>
      <c r="BF84" s="186" t="s">
        <v>41</v>
      </c>
      <c r="BG84" s="187"/>
      <c r="BH84" s="118" t="s">
        <v>40</v>
      </c>
      <c r="BI84" s="118" t="s">
        <v>40</v>
      </c>
      <c r="BJ84" s="118" t="s">
        <v>40</v>
      </c>
      <c r="BK84" s="186" t="s">
        <v>41</v>
      </c>
      <c r="BL84" s="187"/>
      <c r="BM84" s="118" t="s">
        <v>40</v>
      </c>
      <c r="BN84" s="118" t="s">
        <v>40</v>
      </c>
      <c r="BO84" s="118" t="s">
        <v>40</v>
      </c>
      <c r="BP84" s="193" t="s">
        <v>41</v>
      </c>
      <c r="BQ84" s="194"/>
      <c r="BR84" s="118" t="s">
        <v>40</v>
      </c>
      <c r="BS84" s="118" t="s">
        <v>40</v>
      </c>
      <c r="BT84" s="118" t="s">
        <v>40</v>
      </c>
      <c r="BU84" s="193" t="s">
        <v>41</v>
      </c>
      <c r="BV84" s="194"/>
      <c r="BW84" s="118" t="s">
        <v>40</v>
      </c>
      <c r="BX84" s="118" t="s">
        <v>40</v>
      </c>
      <c r="BY84" s="118" t="s">
        <v>40</v>
      </c>
      <c r="BZ84" s="115">
        <f t="shared" si="108"/>
        <v>74</v>
      </c>
    </row>
    <row r="85" spans="2:78" s="32" customFormat="1" ht="15.95" customHeight="1" x14ac:dyDescent="0.25">
      <c r="B85" s="115">
        <v>75</v>
      </c>
      <c r="C85" s="116">
        <v>763.51800000000003</v>
      </c>
      <c r="D85" s="116">
        <v>-3287.4670000000001</v>
      </c>
      <c r="E85" s="117">
        <v>0</v>
      </c>
      <c r="F85" s="117">
        <v>0</v>
      </c>
      <c r="G85" s="118">
        <f t="shared" si="84"/>
        <v>0</v>
      </c>
      <c r="H85" s="116">
        <v>763.51900000000001</v>
      </c>
      <c r="I85" s="116">
        <v>-3287.4639999999999</v>
      </c>
      <c r="J85" s="117">
        <v>0</v>
      </c>
      <c r="K85" s="117">
        <v>0</v>
      </c>
      <c r="L85" s="118">
        <v>0</v>
      </c>
      <c r="M85" s="116">
        <v>763.52</v>
      </c>
      <c r="N85" s="116">
        <v>-3287.453</v>
      </c>
      <c r="O85" s="117">
        <f t="shared" si="85"/>
        <v>0.99999999997635314</v>
      </c>
      <c r="P85" s="117">
        <f t="shared" si="85"/>
        <v>10.999999999967258</v>
      </c>
      <c r="Q85" s="118">
        <f t="shared" si="86"/>
        <v>11.045361017152512</v>
      </c>
      <c r="R85" s="116">
        <v>763.52300000000002</v>
      </c>
      <c r="S85" s="116">
        <v>-3287.4479999999999</v>
      </c>
      <c r="T85" s="118">
        <f t="shared" si="75"/>
        <v>4.0000000000190994</v>
      </c>
      <c r="U85" s="118">
        <f t="shared" si="76"/>
        <v>16.000000000076398</v>
      </c>
      <c r="V85" s="118">
        <f t="shared" si="77"/>
        <v>16.492422502549392</v>
      </c>
      <c r="W85" s="116">
        <v>763.52599999999995</v>
      </c>
      <c r="X85" s="116">
        <v>-3287.4519999999998</v>
      </c>
      <c r="Y85" s="118">
        <f t="shared" si="78"/>
        <v>6.9999999999481588</v>
      </c>
      <c r="Z85" s="118">
        <f t="shared" si="79"/>
        <v>12.000000000170985</v>
      </c>
      <c r="AA85" s="118">
        <f t="shared" si="80"/>
        <v>13.892443989571376</v>
      </c>
      <c r="AB85" s="116">
        <v>763.52599999999995</v>
      </c>
      <c r="AC85" s="116">
        <v>-3287.4479999999999</v>
      </c>
      <c r="AD85" s="118">
        <f t="shared" si="69"/>
        <v>6.9999999999481588</v>
      </c>
      <c r="AE85" s="118">
        <f t="shared" si="70"/>
        <v>16.000000000076398</v>
      </c>
      <c r="AF85" s="118">
        <f t="shared" si="71"/>
        <v>17.464249196622195</v>
      </c>
      <c r="AG85" s="116">
        <v>763.53099999999995</v>
      </c>
      <c r="AH85" s="116">
        <v>-3287.4519999999998</v>
      </c>
      <c r="AI85" s="118">
        <f t="shared" si="72"/>
        <v>11.999999999943611</v>
      </c>
      <c r="AJ85" s="118">
        <f t="shared" si="73"/>
        <v>12.000000000170985</v>
      </c>
      <c r="AK85" s="118">
        <f t="shared" si="74"/>
        <v>16.970562748558173</v>
      </c>
      <c r="AL85" s="186" t="s">
        <v>41</v>
      </c>
      <c r="AM85" s="187"/>
      <c r="AN85" s="118" t="s">
        <v>40</v>
      </c>
      <c r="AO85" s="118" t="s">
        <v>40</v>
      </c>
      <c r="AP85" s="118" t="s">
        <v>40</v>
      </c>
      <c r="AQ85" s="186" t="s">
        <v>41</v>
      </c>
      <c r="AR85" s="187"/>
      <c r="AS85" s="118" t="s">
        <v>40</v>
      </c>
      <c r="AT85" s="118" t="s">
        <v>40</v>
      </c>
      <c r="AU85" s="118" t="s">
        <v>40</v>
      </c>
      <c r="AV85" s="186" t="s">
        <v>41</v>
      </c>
      <c r="AW85" s="187"/>
      <c r="AX85" s="118" t="s">
        <v>40</v>
      </c>
      <c r="AY85" s="118" t="s">
        <v>40</v>
      </c>
      <c r="AZ85" s="118" t="s">
        <v>40</v>
      </c>
      <c r="BA85" s="186" t="s">
        <v>41</v>
      </c>
      <c r="BB85" s="187"/>
      <c r="BC85" s="118" t="s">
        <v>40</v>
      </c>
      <c r="BD85" s="118" t="s">
        <v>40</v>
      </c>
      <c r="BE85" s="118" t="s">
        <v>40</v>
      </c>
      <c r="BF85" s="186" t="s">
        <v>41</v>
      </c>
      <c r="BG85" s="187"/>
      <c r="BH85" s="118" t="s">
        <v>40</v>
      </c>
      <c r="BI85" s="118" t="s">
        <v>40</v>
      </c>
      <c r="BJ85" s="118" t="s">
        <v>40</v>
      </c>
      <c r="BK85" s="186" t="s">
        <v>41</v>
      </c>
      <c r="BL85" s="187"/>
      <c r="BM85" s="118" t="s">
        <v>40</v>
      </c>
      <c r="BN85" s="118" t="s">
        <v>40</v>
      </c>
      <c r="BO85" s="118" t="s">
        <v>40</v>
      </c>
      <c r="BP85" s="193" t="s">
        <v>41</v>
      </c>
      <c r="BQ85" s="194"/>
      <c r="BR85" s="118" t="s">
        <v>40</v>
      </c>
      <c r="BS85" s="118" t="s">
        <v>40</v>
      </c>
      <c r="BT85" s="118" t="s">
        <v>40</v>
      </c>
      <c r="BU85" s="193" t="s">
        <v>41</v>
      </c>
      <c r="BV85" s="194"/>
      <c r="BW85" s="118" t="s">
        <v>40</v>
      </c>
      <c r="BX85" s="118" t="s">
        <v>40</v>
      </c>
      <c r="BY85" s="118" t="s">
        <v>40</v>
      </c>
      <c r="BZ85" s="115">
        <f t="shared" si="108"/>
        <v>75</v>
      </c>
    </row>
    <row r="86" spans="2:78" s="32" customFormat="1" ht="15.95" customHeight="1" x14ac:dyDescent="0.25">
      <c r="B86" s="115">
        <v>76</v>
      </c>
      <c r="C86" s="116">
        <v>760.23199999999997</v>
      </c>
      <c r="D86" s="116">
        <v>-3290.2429999999999</v>
      </c>
      <c r="E86" s="117">
        <v>0</v>
      </c>
      <c r="F86" s="117">
        <v>0</v>
      </c>
      <c r="G86" s="118">
        <f t="shared" si="84"/>
        <v>0</v>
      </c>
      <c r="H86" s="116">
        <v>760.23500000000001</v>
      </c>
      <c r="I86" s="116">
        <v>-3290.2449999999999</v>
      </c>
      <c r="J86" s="117">
        <v>0</v>
      </c>
      <c r="K86" s="117">
        <v>0</v>
      </c>
      <c r="L86" s="118">
        <v>0</v>
      </c>
      <c r="M86" s="116">
        <v>760.22500000000002</v>
      </c>
      <c r="N86" s="116">
        <v>-3290.2429999999999</v>
      </c>
      <c r="O86" s="117">
        <f t="shared" si="85"/>
        <v>-9.9999999999909051</v>
      </c>
      <c r="P86" s="117">
        <f t="shared" si="85"/>
        <v>1.9999999999527063</v>
      </c>
      <c r="Q86" s="118">
        <f t="shared" si="86"/>
        <v>10.198039027167376</v>
      </c>
      <c r="R86" s="116">
        <v>760.22400000000005</v>
      </c>
      <c r="S86" s="116">
        <v>-3290.24</v>
      </c>
      <c r="T86" s="118">
        <f t="shared" si="75"/>
        <v>-10.999999999967258</v>
      </c>
      <c r="U86" s="118">
        <f t="shared" si="76"/>
        <v>5.0000000001091394</v>
      </c>
      <c r="V86" s="118">
        <f t="shared" si="77"/>
        <v>12.083045973609927</v>
      </c>
      <c r="W86" s="116">
        <v>760.23</v>
      </c>
      <c r="X86" s="116">
        <v>-3290.2369999999996</v>
      </c>
      <c r="Y86" s="118">
        <f t="shared" si="78"/>
        <v>-4.9999999999954525</v>
      </c>
      <c r="Z86" s="118">
        <f t="shared" si="79"/>
        <v>8.0000000002655725</v>
      </c>
      <c r="AA86" s="118">
        <f t="shared" si="80"/>
        <v>9.4339811322793992</v>
      </c>
      <c r="AB86" s="116">
        <v>760.23</v>
      </c>
      <c r="AC86" s="116">
        <v>-3290.24</v>
      </c>
      <c r="AD86" s="118">
        <f t="shared" si="69"/>
        <v>-4.9999999999954525</v>
      </c>
      <c r="AE86" s="118">
        <f t="shared" si="70"/>
        <v>5.0000000001091394</v>
      </c>
      <c r="AF86" s="118">
        <f t="shared" si="71"/>
        <v>7.0710678119394332</v>
      </c>
      <c r="AG86" s="116">
        <v>760.23199999999997</v>
      </c>
      <c r="AH86" s="116">
        <v>-3290.2429999999999</v>
      </c>
      <c r="AI86" s="118">
        <f t="shared" si="72"/>
        <v>-3.0000000000427463</v>
      </c>
      <c r="AJ86" s="118">
        <f t="shared" si="73"/>
        <v>1.9999999999527063</v>
      </c>
      <c r="AK86" s="118">
        <f t="shared" si="74"/>
        <v>3.6055512754733225</v>
      </c>
      <c r="AL86" s="186" t="s">
        <v>41</v>
      </c>
      <c r="AM86" s="187"/>
      <c r="AN86" s="118" t="s">
        <v>40</v>
      </c>
      <c r="AO86" s="118" t="s">
        <v>40</v>
      </c>
      <c r="AP86" s="118" t="s">
        <v>40</v>
      </c>
      <c r="AQ86" s="186" t="s">
        <v>41</v>
      </c>
      <c r="AR86" s="187"/>
      <c r="AS86" s="118" t="s">
        <v>40</v>
      </c>
      <c r="AT86" s="118" t="s">
        <v>40</v>
      </c>
      <c r="AU86" s="118" t="s">
        <v>40</v>
      </c>
      <c r="AV86" s="186" t="s">
        <v>41</v>
      </c>
      <c r="AW86" s="187"/>
      <c r="AX86" s="118" t="s">
        <v>40</v>
      </c>
      <c r="AY86" s="118" t="s">
        <v>40</v>
      </c>
      <c r="AZ86" s="118" t="s">
        <v>40</v>
      </c>
      <c r="BA86" s="186" t="s">
        <v>41</v>
      </c>
      <c r="BB86" s="187"/>
      <c r="BC86" s="118" t="s">
        <v>40</v>
      </c>
      <c r="BD86" s="118" t="s">
        <v>40</v>
      </c>
      <c r="BE86" s="118" t="s">
        <v>40</v>
      </c>
      <c r="BF86" s="186" t="s">
        <v>41</v>
      </c>
      <c r="BG86" s="187"/>
      <c r="BH86" s="118" t="s">
        <v>40</v>
      </c>
      <c r="BI86" s="118" t="s">
        <v>40</v>
      </c>
      <c r="BJ86" s="118" t="s">
        <v>40</v>
      </c>
      <c r="BK86" s="186" t="s">
        <v>41</v>
      </c>
      <c r="BL86" s="187"/>
      <c r="BM86" s="118" t="s">
        <v>40</v>
      </c>
      <c r="BN86" s="118" t="s">
        <v>40</v>
      </c>
      <c r="BO86" s="118" t="s">
        <v>40</v>
      </c>
      <c r="BP86" s="193" t="s">
        <v>41</v>
      </c>
      <c r="BQ86" s="194"/>
      <c r="BR86" s="118" t="s">
        <v>40</v>
      </c>
      <c r="BS86" s="118" t="s">
        <v>40</v>
      </c>
      <c r="BT86" s="118" t="s">
        <v>40</v>
      </c>
      <c r="BU86" s="193" t="s">
        <v>41</v>
      </c>
      <c r="BV86" s="194"/>
      <c r="BW86" s="118" t="s">
        <v>40</v>
      </c>
      <c r="BX86" s="118" t="s">
        <v>40</v>
      </c>
      <c r="BY86" s="118" t="s">
        <v>40</v>
      </c>
      <c r="BZ86" s="115">
        <f t="shared" si="108"/>
        <v>76</v>
      </c>
    </row>
    <row r="87" spans="2:78" ht="15.95" customHeight="1" x14ac:dyDescent="0.25">
      <c r="B87" s="115">
        <v>77</v>
      </c>
      <c r="C87" s="116">
        <v>757.18</v>
      </c>
      <c r="D87" s="116">
        <v>-3292.8409999999999</v>
      </c>
      <c r="E87" s="117">
        <v>0</v>
      </c>
      <c r="F87" s="117">
        <v>0</v>
      </c>
      <c r="G87" s="118">
        <f t="shared" si="84"/>
        <v>0</v>
      </c>
      <c r="H87" s="116">
        <v>757.17699999999991</v>
      </c>
      <c r="I87" s="116">
        <v>-3292.8420000000001</v>
      </c>
      <c r="J87" s="117">
        <v>0</v>
      </c>
      <c r="K87" s="117">
        <v>0</v>
      </c>
      <c r="L87" s="118">
        <v>0</v>
      </c>
      <c r="M87" s="116">
        <v>757.18299999999999</v>
      </c>
      <c r="N87" s="116">
        <v>-3292.835</v>
      </c>
      <c r="O87" s="117">
        <f t="shared" si="85"/>
        <v>6.0000000000854925</v>
      </c>
      <c r="P87" s="117">
        <f t="shared" si="85"/>
        <v>7.0000000000618456</v>
      </c>
      <c r="Q87" s="118">
        <f t="shared" si="86"/>
        <v>9.2195444573954823</v>
      </c>
      <c r="R87" s="116">
        <v>757.18100000000004</v>
      </c>
      <c r="S87" s="116">
        <v>-3292.8310000000001</v>
      </c>
      <c r="T87" s="118">
        <f t="shared" si="75"/>
        <v>4.0000000001327862</v>
      </c>
      <c r="U87" s="118">
        <f t="shared" si="76"/>
        <v>10.999999999967258</v>
      </c>
      <c r="V87" s="118">
        <f t="shared" si="77"/>
        <v>11.704699910734233</v>
      </c>
      <c r="W87" s="116">
        <v>757.18</v>
      </c>
      <c r="X87" s="116">
        <v>-3292.8310000000001</v>
      </c>
      <c r="Y87" s="118">
        <f t="shared" si="78"/>
        <v>3.0000000000427463</v>
      </c>
      <c r="Z87" s="118">
        <f t="shared" si="79"/>
        <v>10.999999999967258</v>
      </c>
      <c r="AA87" s="118">
        <f t="shared" si="80"/>
        <v>11.401754250971038</v>
      </c>
      <c r="AB87" s="129">
        <v>757.18299999999999</v>
      </c>
      <c r="AC87" s="129">
        <v>-3292.83</v>
      </c>
      <c r="AD87" s="118">
        <f t="shared" si="69"/>
        <v>6.0000000000854925</v>
      </c>
      <c r="AE87" s="118">
        <f t="shared" si="70"/>
        <v>12.000000000170985</v>
      </c>
      <c r="AF87" s="118">
        <f t="shared" si="71"/>
        <v>13.416407865189905</v>
      </c>
      <c r="AG87" s="116">
        <v>757.18299999999999</v>
      </c>
      <c r="AH87" s="116">
        <v>-3292.8289999999997</v>
      </c>
      <c r="AI87" s="118">
        <f t="shared" si="72"/>
        <v>6.0000000000854925</v>
      </c>
      <c r="AJ87" s="118">
        <f t="shared" si="73"/>
        <v>13.000000000374712</v>
      </c>
      <c r="AK87" s="118">
        <f t="shared" si="74"/>
        <v>14.317821063652403</v>
      </c>
      <c r="AL87" s="116">
        <v>757.18</v>
      </c>
      <c r="AM87" s="116">
        <v>-3292.826</v>
      </c>
      <c r="AN87" s="118">
        <f t="shared" si="81"/>
        <v>3.0000000000427463</v>
      </c>
      <c r="AO87" s="118">
        <f t="shared" si="82"/>
        <v>16.000000000076398</v>
      </c>
      <c r="AP87" s="118">
        <f t="shared" si="83"/>
        <v>16.278820596182673</v>
      </c>
      <c r="AQ87" s="116">
        <v>757.178</v>
      </c>
      <c r="AR87" s="116">
        <v>-3292.826</v>
      </c>
      <c r="AS87" s="118">
        <f t="shared" ref="AS87" si="109">AN87+(AQ87-AL87)*1000</f>
        <v>1.00000000009004</v>
      </c>
      <c r="AT87" s="118">
        <f t="shared" ref="AT87" si="110">AO87+(AR87-AM87)*1000</f>
        <v>16.000000000076398</v>
      </c>
      <c r="AU87" s="118">
        <f t="shared" ref="AU87" si="111">SQRT(((AS87*AS87)+(AT87*AT87)))</f>
        <v>16.031219541963264</v>
      </c>
      <c r="AV87" s="116">
        <v>757.18</v>
      </c>
      <c r="AW87" s="116">
        <v>-3292.8220000000001</v>
      </c>
      <c r="AX87" s="118">
        <f t="shared" ref="AX87" si="112">AS87+(AV87-AQ87)*1000</f>
        <v>3.0000000000427463</v>
      </c>
      <c r="AY87" s="118">
        <f t="shared" ref="AY87" si="113">AT87+(AW87-AR87)*1000</f>
        <v>19.99999999998181</v>
      </c>
      <c r="AZ87" s="118">
        <f t="shared" ref="AZ87" si="114">SQRT(((AX87*AX87)+(AY87*AY87)))</f>
        <v>20.223748416145035</v>
      </c>
      <c r="BA87" s="116">
        <v>757.178</v>
      </c>
      <c r="BB87" s="116">
        <v>-3292.8250000000003</v>
      </c>
      <c r="BC87" s="118">
        <f t="shared" ref="BC87" si="115">AX87+(BA87-AV87)*1000</f>
        <v>1.00000000009004</v>
      </c>
      <c r="BD87" s="118">
        <f t="shared" ref="BD87" si="116">AY87+(BB87-AW87)*1000</f>
        <v>16.999999999825377</v>
      </c>
      <c r="BE87" s="118">
        <f t="shared" ref="BE87" si="117">SQRT(((BC87*BC87)+(BD87*BD87)))</f>
        <v>17.029386365757368</v>
      </c>
      <c r="BF87" s="127">
        <v>757.178</v>
      </c>
      <c r="BG87" s="127">
        <v>-3292.8210000000004</v>
      </c>
      <c r="BH87" s="118">
        <f t="shared" si="96"/>
        <v>1.00000000009004</v>
      </c>
      <c r="BI87" s="118">
        <f t="shared" si="97"/>
        <v>20.99999999973079</v>
      </c>
      <c r="BJ87" s="118">
        <f t="shared" si="98"/>
        <v>21.023796041364015</v>
      </c>
      <c r="BK87" s="127">
        <v>757.17899999999997</v>
      </c>
      <c r="BL87" s="127">
        <v>-3292.8180000000002</v>
      </c>
      <c r="BM87" s="118">
        <f t="shared" si="99"/>
        <v>2.0000000000663931</v>
      </c>
      <c r="BN87" s="118">
        <f t="shared" si="100"/>
        <v>23.999999999887223</v>
      </c>
      <c r="BO87" s="118">
        <f t="shared" si="101"/>
        <v>24.083189157477715</v>
      </c>
      <c r="BP87" s="127">
        <v>757.18</v>
      </c>
      <c r="BQ87" s="127">
        <v>-3292.82</v>
      </c>
      <c r="BR87" s="118">
        <f t="shared" ref="BR87" si="118">BM87+(BP87-BK87)*1000</f>
        <v>3.0000000000427463</v>
      </c>
      <c r="BS87" s="118">
        <f t="shared" ref="BS87" si="119">BN87+(BQ87-BL87)*1000</f>
        <v>21.999999999934516</v>
      </c>
      <c r="BT87" s="118">
        <f t="shared" ref="BT87" si="120">SQRT(((BR87*BR87)+(BS87*BS87)))</f>
        <v>22.203603311115408</v>
      </c>
      <c r="BU87" s="127">
        <v>757.17899999999997</v>
      </c>
      <c r="BV87" s="127">
        <v>-3292.8180000000002</v>
      </c>
      <c r="BW87" s="118">
        <f t="shared" ref="BW87" si="121">BR87+(BU87-BP87)*1000</f>
        <v>2.0000000000663931</v>
      </c>
      <c r="BX87" s="118">
        <f t="shared" ref="BX87" si="122">BS87+(BV87-BQ87)*1000</f>
        <v>23.999999999887223</v>
      </c>
      <c r="BY87" s="118">
        <f t="shared" ref="BY87" si="123">SQRT(((BW87*BW87)+(BX87*BX87)))</f>
        <v>24.083189157477715</v>
      </c>
      <c r="BZ87" s="115">
        <f t="shared" si="108"/>
        <v>77</v>
      </c>
    </row>
  </sheetData>
  <mergeCells count="240">
    <mergeCell ref="BP83:BQ83"/>
    <mergeCell ref="BU83:BV83"/>
    <mergeCell ref="BP84:BQ84"/>
    <mergeCell ref="BU84:BV84"/>
    <mergeCell ref="BP85:BQ85"/>
    <mergeCell ref="BU85:BV85"/>
    <mergeCell ref="BP86:BQ86"/>
    <mergeCell ref="BU86:BV86"/>
    <mergeCell ref="BP75:BQ75"/>
    <mergeCell ref="BP72:BQ72"/>
    <mergeCell ref="BU72:BV72"/>
    <mergeCell ref="BP73:BQ73"/>
    <mergeCell ref="BU73:BV73"/>
    <mergeCell ref="BP74:BQ74"/>
    <mergeCell ref="BU74:BV74"/>
    <mergeCell ref="BU75:BV75"/>
    <mergeCell ref="BP82:BQ82"/>
    <mergeCell ref="BU82:BV82"/>
    <mergeCell ref="BP67:BQ67"/>
    <mergeCell ref="BU67:BV67"/>
    <mergeCell ref="BP68:BQ68"/>
    <mergeCell ref="BU68:BV68"/>
    <mergeCell ref="BP69:BQ69"/>
    <mergeCell ref="BU69:BV69"/>
    <mergeCell ref="BP70:BQ70"/>
    <mergeCell ref="BU70:BV70"/>
    <mergeCell ref="BP71:BQ71"/>
    <mergeCell ref="BU71:BV71"/>
    <mergeCell ref="BK83:BL83"/>
    <mergeCell ref="BK84:BL84"/>
    <mergeCell ref="BK85:BL85"/>
    <mergeCell ref="BK86:BL86"/>
    <mergeCell ref="BK68:BL68"/>
    <mergeCell ref="BK69:BL69"/>
    <mergeCell ref="BK70:BL70"/>
    <mergeCell ref="BK71:BL71"/>
    <mergeCell ref="BK72:BL72"/>
    <mergeCell ref="BK73:BL73"/>
    <mergeCell ref="BK74:BL74"/>
    <mergeCell ref="BK75:BL75"/>
    <mergeCell ref="BF83:BG83"/>
    <mergeCell ref="BF84:BG84"/>
    <mergeCell ref="BF85:BG85"/>
    <mergeCell ref="BF86:BG86"/>
    <mergeCell ref="AV83:AW83"/>
    <mergeCell ref="AV84:AW84"/>
    <mergeCell ref="AV85:AW85"/>
    <mergeCell ref="AV86:AW86"/>
    <mergeCell ref="BA8:BB8"/>
    <mergeCell ref="BC8:BE8"/>
    <mergeCell ref="BA67:BB67"/>
    <mergeCell ref="BA68:BB68"/>
    <mergeCell ref="BA69:BB69"/>
    <mergeCell ref="BA70:BB70"/>
    <mergeCell ref="BA71:BB71"/>
    <mergeCell ref="BA72:BB72"/>
    <mergeCell ref="BA73:BB73"/>
    <mergeCell ref="BA74:BB74"/>
    <mergeCell ref="BA82:BB82"/>
    <mergeCell ref="BA83:BB83"/>
    <mergeCell ref="BA84:BB84"/>
    <mergeCell ref="BA85:BB85"/>
    <mergeCell ref="BA86:BB86"/>
    <mergeCell ref="AV67:AW67"/>
    <mergeCell ref="AV68:AW68"/>
    <mergeCell ref="AV69:AW69"/>
    <mergeCell ref="AV70:AW70"/>
    <mergeCell ref="AV71:AW71"/>
    <mergeCell ref="AV72:AW72"/>
    <mergeCell ref="AV73:AW73"/>
    <mergeCell ref="AV74:AW74"/>
    <mergeCell ref="AV82:AW82"/>
    <mergeCell ref="BZ8:BZ9"/>
    <mergeCell ref="BF67:BG67"/>
    <mergeCell ref="BF68:BG68"/>
    <mergeCell ref="BF69:BG69"/>
    <mergeCell ref="BF70:BG70"/>
    <mergeCell ref="BF71:BG71"/>
    <mergeCell ref="BF72:BG72"/>
    <mergeCell ref="BF73:BG73"/>
    <mergeCell ref="BF74:BG74"/>
    <mergeCell ref="BF82:BG82"/>
    <mergeCell ref="BK67:BL67"/>
    <mergeCell ref="BK82:BL82"/>
    <mergeCell ref="BP8:BQ8"/>
    <mergeCell ref="BR8:BT8"/>
    <mergeCell ref="BU8:BV8"/>
    <mergeCell ref="BW8:BY8"/>
    <mergeCell ref="Y8:AA8"/>
    <mergeCell ref="AB8:AC8"/>
    <mergeCell ref="W53:X53"/>
    <mergeCell ref="W52:X52"/>
    <mergeCell ref="W51:X51"/>
    <mergeCell ref="W50:X50"/>
    <mergeCell ref="W49:X49"/>
    <mergeCell ref="W48:X48"/>
    <mergeCell ref="W47:X47"/>
    <mergeCell ref="W46:X46"/>
    <mergeCell ref="W45:X45"/>
    <mergeCell ref="W44:X44"/>
    <mergeCell ref="AB46:AC46"/>
    <mergeCell ref="AB47:AC47"/>
    <mergeCell ref="AB51:AC51"/>
    <mergeCell ref="AB52:AC52"/>
    <mergeCell ref="AB49:AC49"/>
    <mergeCell ref="AB50:AC50"/>
    <mergeCell ref="AB45:AC45"/>
    <mergeCell ref="AB48:AC48"/>
    <mergeCell ref="B5:BZ5"/>
    <mergeCell ref="B6:BZ6"/>
    <mergeCell ref="B8:B9"/>
    <mergeCell ref="C8:D8"/>
    <mergeCell ref="E8:G8"/>
    <mergeCell ref="H8:I8"/>
    <mergeCell ref="J8:L8"/>
    <mergeCell ref="M8:N8"/>
    <mergeCell ref="O8:Q8"/>
    <mergeCell ref="AI8:AK8"/>
    <mergeCell ref="AD8:AF8"/>
    <mergeCell ref="AL8:AM8"/>
    <mergeCell ref="AN8:AP8"/>
    <mergeCell ref="AQ8:AR8"/>
    <mergeCell ref="AS8:AU8"/>
    <mergeCell ref="AV8:AW8"/>
    <mergeCell ref="AX8:AZ8"/>
    <mergeCell ref="BF8:BG8"/>
    <mergeCell ref="BH8:BJ8"/>
    <mergeCell ref="BK8:BL8"/>
    <mergeCell ref="BM8:BO8"/>
    <mergeCell ref="R8:S8"/>
    <mergeCell ref="T8:V8"/>
    <mergeCell ref="W8:X8"/>
    <mergeCell ref="C35:D35"/>
    <mergeCell ref="H35:I35"/>
    <mergeCell ref="C36:D36"/>
    <mergeCell ref="H36:I36"/>
    <mergeCell ref="C37:D37"/>
    <mergeCell ref="H37:I37"/>
    <mergeCell ref="C32:D32"/>
    <mergeCell ref="H32:I32"/>
    <mergeCell ref="C33:D33"/>
    <mergeCell ref="H33:I33"/>
    <mergeCell ref="C34:D34"/>
    <mergeCell ref="H34:I34"/>
    <mergeCell ref="C41:D41"/>
    <mergeCell ref="H41:I41"/>
    <mergeCell ref="C42:D42"/>
    <mergeCell ref="H42:I42"/>
    <mergeCell ref="M43:N43"/>
    <mergeCell ref="AB43:AC43"/>
    <mergeCell ref="C38:D38"/>
    <mergeCell ref="H38:I38"/>
    <mergeCell ref="C39:D39"/>
    <mergeCell ref="H39:I39"/>
    <mergeCell ref="C40:D40"/>
    <mergeCell ref="H40:I40"/>
    <mergeCell ref="W43:X43"/>
    <mergeCell ref="C44:D44"/>
    <mergeCell ref="H44:I44"/>
    <mergeCell ref="R44:S44"/>
    <mergeCell ref="C45:D45"/>
    <mergeCell ref="H45:I45"/>
    <mergeCell ref="M44:N44"/>
    <mergeCell ref="M45:N45"/>
    <mergeCell ref="R45:S45"/>
    <mergeCell ref="C43:D43"/>
    <mergeCell ref="H43:I43"/>
    <mergeCell ref="R43:S43"/>
    <mergeCell ref="C58:D58"/>
    <mergeCell ref="H58:I58"/>
    <mergeCell ref="C56:D56"/>
    <mergeCell ref="H56:I56"/>
    <mergeCell ref="C57:D57"/>
    <mergeCell ref="H57:I57"/>
    <mergeCell ref="C55:D55"/>
    <mergeCell ref="H55:I55"/>
    <mergeCell ref="C46:D46"/>
    <mergeCell ref="H46:I46"/>
    <mergeCell ref="C47:D47"/>
    <mergeCell ref="H47:I47"/>
    <mergeCell ref="C48:D48"/>
    <mergeCell ref="H48:I48"/>
    <mergeCell ref="C52:D52"/>
    <mergeCell ref="H52:I52"/>
    <mergeCell ref="C53:D53"/>
    <mergeCell ref="H53:I53"/>
    <mergeCell ref="C54:D54"/>
    <mergeCell ref="H54:I54"/>
    <mergeCell ref="C49:D49"/>
    <mergeCell ref="H49:I49"/>
    <mergeCell ref="C50:D50"/>
    <mergeCell ref="H50:I50"/>
    <mergeCell ref="C51:D51"/>
    <mergeCell ref="H51:I51"/>
    <mergeCell ref="AL74:AM74"/>
    <mergeCell ref="AL82:AM82"/>
    <mergeCell ref="M52:N52"/>
    <mergeCell ref="M53:N53"/>
    <mergeCell ref="B4:BZ4"/>
    <mergeCell ref="M46:N46"/>
    <mergeCell ref="M47:N47"/>
    <mergeCell ref="M48:N48"/>
    <mergeCell ref="M49:N49"/>
    <mergeCell ref="M50:N50"/>
    <mergeCell ref="M51:N51"/>
    <mergeCell ref="R47:S47"/>
    <mergeCell ref="R46:S46"/>
    <mergeCell ref="R51:S51"/>
    <mergeCell ref="R50:S50"/>
    <mergeCell ref="R49:S49"/>
    <mergeCell ref="R48:S48"/>
    <mergeCell ref="R52:S52"/>
    <mergeCell ref="R53:S53"/>
    <mergeCell ref="AB53:AC53"/>
    <mergeCell ref="AG8:AH8"/>
    <mergeCell ref="AB44:AC44"/>
    <mergeCell ref="AL83:AM83"/>
    <mergeCell ref="AL84:AM84"/>
    <mergeCell ref="AL85:AM85"/>
    <mergeCell ref="AL86:AM86"/>
    <mergeCell ref="AQ83:AR83"/>
    <mergeCell ref="AQ84:AR84"/>
    <mergeCell ref="AQ85:AR85"/>
    <mergeCell ref="AQ86:AR86"/>
    <mergeCell ref="AQ67:AR67"/>
    <mergeCell ref="AQ68:AR68"/>
    <mergeCell ref="AQ69:AR69"/>
    <mergeCell ref="AQ70:AR70"/>
    <mergeCell ref="AQ71:AR71"/>
    <mergeCell ref="AQ72:AR72"/>
    <mergeCell ref="AQ73:AR73"/>
    <mergeCell ref="AQ74:AR74"/>
    <mergeCell ref="AQ82:AR82"/>
    <mergeCell ref="AL67:AM67"/>
    <mergeCell ref="AL68:AM68"/>
    <mergeCell ref="AL69:AM69"/>
    <mergeCell ref="AL70:AM70"/>
    <mergeCell ref="AL71:AM71"/>
    <mergeCell ref="AL72:AM72"/>
    <mergeCell ref="AL73:AM73"/>
  </mergeCells>
  <pageMargins left="0.7" right="0.7" top="0.75" bottom="0.75" header="0.3" footer="0.3"/>
  <pageSetup paperSize="9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CG9"/>
  <sheetViews>
    <sheetView zoomScaleNormal="100" workbookViewId="0">
      <selection activeCell="BN14" sqref="BN14"/>
    </sheetView>
  </sheetViews>
  <sheetFormatPr defaultRowHeight="15" x14ac:dyDescent="0.25"/>
  <cols>
    <col min="2" max="2" width="5.7109375" customWidth="1"/>
    <col min="3" max="3" width="11.7109375" hidden="1" customWidth="1"/>
    <col min="4" max="5" width="9.7109375" hidden="1" customWidth="1"/>
    <col min="6" max="6" width="11.7109375" hidden="1" customWidth="1"/>
    <col min="7" max="8" width="9.7109375" hidden="1" customWidth="1"/>
    <col min="9" max="9" width="11.7109375" hidden="1" customWidth="1"/>
    <col min="10" max="11" width="9.7109375" hidden="1" customWidth="1"/>
    <col min="12" max="12" width="11.7109375" hidden="1" customWidth="1"/>
    <col min="13" max="14" width="9.7109375" hidden="1" customWidth="1"/>
    <col min="15" max="15" width="11.7109375" hidden="1" customWidth="1"/>
    <col min="16" max="17" width="9.7109375" hidden="1" customWidth="1"/>
    <col min="18" max="18" width="11.7109375" hidden="1" customWidth="1"/>
    <col min="19" max="20" width="9.7109375" hidden="1" customWidth="1"/>
    <col min="21" max="21" width="11.7109375" hidden="1" customWidth="1"/>
    <col min="22" max="23" width="9.7109375" hidden="1" customWidth="1"/>
    <col min="24" max="24" width="11.7109375" hidden="1" customWidth="1"/>
    <col min="25" max="26" width="9.7109375" hidden="1" customWidth="1"/>
    <col min="27" max="27" width="11.7109375" hidden="1" customWidth="1"/>
    <col min="28" max="29" width="9.7109375" hidden="1" customWidth="1"/>
    <col min="30" max="30" width="11.7109375" hidden="1" customWidth="1"/>
    <col min="31" max="32" width="9.7109375" hidden="1" customWidth="1"/>
    <col min="33" max="33" width="11.7109375" hidden="1" customWidth="1"/>
    <col min="34" max="35" width="9.7109375" hidden="1" customWidth="1"/>
    <col min="36" max="36" width="11.7109375" hidden="1" customWidth="1"/>
    <col min="37" max="65" width="9.7109375" hidden="1" customWidth="1"/>
    <col min="66" max="77" width="9.7109375" customWidth="1"/>
    <col min="78" max="78" width="5.7109375" customWidth="1"/>
  </cols>
  <sheetData>
    <row r="3" spans="2:85" x14ac:dyDescent="0.25">
      <c r="B3" s="209" t="s">
        <v>42</v>
      </c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09"/>
      <c r="P3" s="209"/>
      <c r="Q3" s="209"/>
      <c r="R3" s="209"/>
      <c r="S3" s="209"/>
      <c r="T3" s="209"/>
      <c r="U3" s="209"/>
      <c r="V3" s="209"/>
      <c r="W3" s="209"/>
      <c r="X3" s="209"/>
      <c r="Y3" s="209"/>
      <c r="Z3" s="209"/>
      <c r="AA3" s="209"/>
      <c r="AB3" s="209"/>
      <c r="AC3" s="209"/>
      <c r="AD3" s="209"/>
      <c r="AE3" s="209"/>
      <c r="AF3" s="209"/>
      <c r="AG3" s="209"/>
      <c r="AH3" s="209"/>
      <c r="AI3" s="209"/>
      <c r="AJ3" s="209"/>
      <c r="AK3" s="209"/>
      <c r="AL3" s="209"/>
      <c r="AM3" s="209"/>
      <c r="AN3" s="209"/>
      <c r="AO3" s="209"/>
      <c r="AP3" s="209"/>
      <c r="AQ3" s="209"/>
      <c r="AR3" s="209"/>
      <c r="AS3" s="209"/>
      <c r="AT3" s="209"/>
      <c r="AU3" s="209"/>
      <c r="AV3" s="209"/>
      <c r="AW3" s="209"/>
      <c r="AX3" s="209"/>
      <c r="AY3" s="209"/>
      <c r="AZ3" s="209"/>
      <c r="BA3" s="209"/>
      <c r="BB3" s="209"/>
      <c r="BC3" s="209"/>
      <c r="BD3" s="209"/>
      <c r="BE3" s="209"/>
      <c r="BF3" s="209"/>
      <c r="BG3" s="209"/>
      <c r="BH3" s="209"/>
      <c r="BI3" s="209"/>
      <c r="BJ3" s="209"/>
      <c r="BK3" s="209"/>
      <c r="BL3" s="209"/>
      <c r="BM3" s="209"/>
      <c r="BN3" s="209"/>
      <c r="BO3" s="209"/>
      <c r="BP3" s="209"/>
      <c r="BQ3" s="209"/>
      <c r="BR3" s="209"/>
      <c r="BS3" s="209"/>
      <c r="BT3" s="209"/>
      <c r="BU3" s="209"/>
      <c r="BV3" s="209"/>
      <c r="BW3" s="209"/>
      <c r="BX3" s="209"/>
      <c r="BY3" s="209"/>
      <c r="BZ3" s="209"/>
    </row>
    <row r="4" spans="2:85" x14ac:dyDescent="0.25">
      <c r="B4" s="209" t="s">
        <v>43</v>
      </c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09"/>
      <c r="U4" s="209"/>
      <c r="V4" s="209"/>
      <c r="W4" s="209"/>
      <c r="X4" s="209"/>
      <c r="Y4" s="209"/>
      <c r="Z4" s="209"/>
      <c r="AA4" s="209"/>
      <c r="AB4" s="209"/>
      <c r="AC4" s="209"/>
      <c r="AD4" s="209"/>
      <c r="AE4" s="209"/>
      <c r="AF4" s="209"/>
      <c r="AG4" s="209"/>
      <c r="AH4" s="209"/>
      <c r="AI4" s="209"/>
      <c r="AJ4" s="209"/>
      <c r="AK4" s="209"/>
      <c r="AL4" s="209"/>
      <c r="AM4" s="209"/>
      <c r="AN4" s="209"/>
      <c r="AO4" s="209"/>
      <c r="AP4" s="209"/>
      <c r="AQ4" s="209"/>
      <c r="AR4" s="209"/>
      <c r="AS4" s="209"/>
      <c r="AT4" s="209"/>
      <c r="AU4" s="209"/>
      <c r="AV4" s="209"/>
      <c r="AW4" s="209"/>
      <c r="AX4" s="209"/>
      <c r="AY4" s="209"/>
      <c r="AZ4" s="209"/>
      <c r="BA4" s="209"/>
      <c r="BB4" s="209"/>
      <c r="BC4" s="209"/>
      <c r="BD4" s="209"/>
      <c r="BE4" s="209"/>
      <c r="BF4" s="209"/>
      <c r="BG4" s="209"/>
      <c r="BH4" s="209"/>
      <c r="BI4" s="209"/>
      <c r="BJ4" s="209"/>
      <c r="BK4" s="209"/>
      <c r="BL4" s="209"/>
      <c r="BM4" s="209"/>
      <c r="BN4" s="209"/>
      <c r="BO4" s="209"/>
      <c r="BP4" s="209"/>
      <c r="BQ4" s="209"/>
      <c r="BR4" s="209"/>
      <c r="BS4" s="209"/>
      <c r="BT4" s="209"/>
      <c r="BU4" s="209"/>
      <c r="BV4" s="209"/>
      <c r="BW4" s="209"/>
      <c r="BX4" s="209"/>
      <c r="BY4" s="209"/>
      <c r="BZ4" s="209"/>
    </row>
    <row r="5" spans="2:85" ht="30" customHeight="1" x14ac:dyDescent="0.25">
      <c r="B5" s="207" t="s">
        <v>44</v>
      </c>
      <c r="C5" s="204" t="s">
        <v>39</v>
      </c>
      <c r="D5" s="205"/>
      <c r="E5" s="206"/>
      <c r="F5" s="204" t="s">
        <v>60</v>
      </c>
      <c r="G5" s="205"/>
      <c r="H5" s="206"/>
      <c r="I5" s="204" t="s">
        <v>67</v>
      </c>
      <c r="J5" s="205"/>
      <c r="K5" s="206"/>
      <c r="L5" s="204" t="s">
        <v>68</v>
      </c>
      <c r="M5" s="205"/>
      <c r="N5" s="206"/>
      <c r="O5" s="204" t="s">
        <v>70</v>
      </c>
      <c r="P5" s="205"/>
      <c r="Q5" s="206"/>
      <c r="R5" s="204" t="s">
        <v>77</v>
      </c>
      <c r="S5" s="205"/>
      <c r="T5" s="206"/>
      <c r="U5" s="204" t="s">
        <v>132</v>
      </c>
      <c r="V5" s="205"/>
      <c r="W5" s="206"/>
      <c r="X5" s="204" t="s">
        <v>133</v>
      </c>
      <c r="Y5" s="205"/>
      <c r="Z5" s="206"/>
      <c r="AA5" s="204" t="s">
        <v>134</v>
      </c>
      <c r="AB5" s="205"/>
      <c r="AC5" s="206"/>
      <c r="AD5" s="204" t="s">
        <v>135</v>
      </c>
      <c r="AE5" s="205"/>
      <c r="AF5" s="206"/>
      <c r="AG5" s="204" t="s">
        <v>137</v>
      </c>
      <c r="AH5" s="205"/>
      <c r="AI5" s="206"/>
      <c r="AJ5" s="204" t="s">
        <v>138</v>
      </c>
      <c r="AK5" s="205"/>
      <c r="AL5" s="206"/>
      <c r="AM5" s="204" t="s">
        <v>139</v>
      </c>
      <c r="AN5" s="205"/>
      <c r="AO5" s="206"/>
      <c r="AP5" s="204" t="s">
        <v>140</v>
      </c>
      <c r="AQ5" s="205"/>
      <c r="AR5" s="206"/>
      <c r="AS5" s="204" t="s">
        <v>141</v>
      </c>
      <c r="AT5" s="205"/>
      <c r="AU5" s="206"/>
      <c r="AV5" s="204" t="s">
        <v>142</v>
      </c>
      <c r="AW5" s="205"/>
      <c r="AX5" s="206"/>
      <c r="AY5" s="204" t="s">
        <v>143</v>
      </c>
      <c r="AZ5" s="205"/>
      <c r="BA5" s="206"/>
      <c r="BB5" s="204" t="s">
        <v>144</v>
      </c>
      <c r="BC5" s="205"/>
      <c r="BD5" s="206"/>
      <c r="BE5" s="204" t="s">
        <v>145</v>
      </c>
      <c r="BF5" s="205"/>
      <c r="BG5" s="206"/>
      <c r="BH5" s="204" t="s">
        <v>163</v>
      </c>
      <c r="BI5" s="205"/>
      <c r="BJ5" s="206"/>
      <c r="BK5" s="204" t="s">
        <v>169</v>
      </c>
      <c r="BL5" s="205"/>
      <c r="BM5" s="206"/>
      <c r="BN5" s="204" t="s">
        <v>174</v>
      </c>
      <c r="BO5" s="205"/>
      <c r="BP5" s="206"/>
      <c r="BQ5" s="204" t="s">
        <v>179</v>
      </c>
      <c r="BR5" s="205"/>
      <c r="BS5" s="206"/>
      <c r="BT5" s="204" t="s">
        <v>180</v>
      </c>
      <c r="BU5" s="205"/>
      <c r="BV5" s="206"/>
      <c r="BW5" s="204" t="s">
        <v>215</v>
      </c>
      <c r="BX5" s="205"/>
      <c r="BY5" s="206"/>
      <c r="BZ5" s="207" t="s">
        <v>44</v>
      </c>
    </row>
    <row r="6" spans="2:85" ht="43.5" customHeight="1" x14ac:dyDescent="0.25">
      <c r="B6" s="208"/>
      <c r="C6" s="124" t="s">
        <v>2</v>
      </c>
      <c r="D6" s="124" t="s">
        <v>3</v>
      </c>
      <c r="E6" s="124" t="s">
        <v>4</v>
      </c>
      <c r="F6" s="124" t="s">
        <v>2</v>
      </c>
      <c r="G6" s="124" t="s">
        <v>3</v>
      </c>
      <c r="H6" s="124" t="s">
        <v>4</v>
      </c>
      <c r="I6" s="124" t="s">
        <v>2</v>
      </c>
      <c r="J6" s="124" t="s">
        <v>3</v>
      </c>
      <c r="K6" s="124" t="s">
        <v>4</v>
      </c>
      <c r="L6" s="124" t="s">
        <v>2</v>
      </c>
      <c r="M6" s="124" t="s">
        <v>3</v>
      </c>
      <c r="N6" s="124" t="s">
        <v>4</v>
      </c>
      <c r="O6" s="124" t="s">
        <v>2</v>
      </c>
      <c r="P6" s="124" t="s">
        <v>3</v>
      </c>
      <c r="Q6" s="124" t="s">
        <v>4</v>
      </c>
      <c r="R6" s="124" t="s">
        <v>2</v>
      </c>
      <c r="S6" s="124" t="s">
        <v>3</v>
      </c>
      <c r="T6" s="124" t="s">
        <v>4</v>
      </c>
      <c r="U6" s="124" t="s">
        <v>2</v>
      </c>
      <c r="V6" s="124" t="s">
        <v>3</v>
      </c>
      <c r="W6" s="124" t="s">
        <v>4</v>
      </c>
      <c r="X6" s="124" t="s">
        <v>2</v>
      </c>
      <c r="Y6" s="124" t="s">
        <v>3</v>
      </c>
      <c r="Z6" s="124" t="s">
        <v>4</v>
      </c>
      <c r="AA6" s="124" t="s">
        <v>2</v>
      </c>
      <c r="AB6" s="124" t="s">
        <v>3</v>
      </c>
      <c r="AC6" s="124" t="s">
        <v>4</v>
      </c>
      <c r="AD6" s="124" t="s">
        <v>2</v>
      </c>
      <c r="AE6" s="124" t="s">
        <v>3</v>
      </c>
      <c r="AF6" s="124" t="s">
        <v>4</v>
      </c>
      <c r="AG6" s="124" t="s">
        <v>2</v>
      </c>
      <c r="AH6" s="124" t="s">
        <v>3</v>
      </c>
      <c r="AI6" s="124" t="s">
        <v>4</v>
      </c>
      <c r="AJ6" s="124" t="s">
        <v>2</v>
      </c>
      <c r="AK6" s="124" t="s">
        <v>3</v>
      </c>
      <c r="AL6" s="124" t="s">
        <v>4</v>
      </c>
      <c r="AM6" s="124" t="s">
        <v>2</v>
      </c>
      <c r="AN6" s="124" t="s">
        <v>3</v>
      </c>
      <c r="AO6" s="124" t="s">
        <v>4</v>
      </c>
      <c r="AP6" s="124" t="s">
        <v>2</v>
      </c>
      <c r="AQ6" s="124" t="s">
        <v>3</v>
      </c>
      <c r="AR6" s="124" t="s">
        <v>4</v>
      </c>
      <c r="AS6" s="124" t="s">
        <v>2</v>
      </c>
      <c r="AT6" s="124" t="s">
        <v>3</v>
      </c>
      <c r="AU6" s="124" t="s">
        <v>4</v>
      </c>
      <c r="AV6" s="124" t="s">
        <v>2</v>
      </c>
      <c r="AW6" s="124" t="s">
        <v>3</v>
      </c>
      <c r="AX6" s="124" t="s">
        <v>4</v>
      </c>
      <c r="AY6" s="124" t="s">
        <v>2</v>
      </c>
      <c r="AZ6" s="124" t="s">
        <v>3</v>
      </c>
      <c r="BA6" s="124" t="s">
        <v>4</v>
      </c>
      <c r="BB6" s="124" t="s">
        <v>2</v>
      </c>
      <c r="BC6" s="124" t="s">
        <v>3</v>
      </c>
      <c r="BD6" s="124" t="s">
        <v>4</v>
      </c>
      <c r="BE6" s="124" t="s">
        <v>2</v>
      </c>
      <c r="BF6" s="124" t="s">
        <v>3</v>
      </c>
      <c r="BG6" s="124" t="s">
        <v>4</v>
      </c>
      <c r="BH6" s="124" t="s">
        <v>2</v>
      </c>
      <c r="BI6" s="124" t="s">
        <v>3</v>
      </c>
      <c r="BJ6" s="124" t="s">
        <v>4</v>
      </c>
      <c r="BK6" s="124" t="s">
        <v>2</v>
      </c>
      <c r="BL6" s="124" t="s">
        <v>3</v>
      </c>
      <c r="BM6" s="124" t="s">
        <v>4</v>
      </c>
      <c r="BN6" s="124" t="s">
        <v>2</v>
      </c>
      <c r="BO6" s="124" t="s">
        <v>3</v>
      </c>
      <c r="BP6" s="124" t="s">
        <v>4</v>
      </c>
      <c r="BQ6" s="124" t="s">
        <v>2</v>
      </c>
      <c r="BR6" s="124" t="s">
        <v>3</v>
      </c>
      <c r="BS6" s="124" t="s">
        <v>4</v>
      </c>
      <c r="BT6" s="126" t="s">
        <v>2</v>
      </c>
      <c r="BU6" s="126" t="s">
        <v>3</v>
      </c>
      <c r="BV6" s="126" t="s">
        <v>4</v>
      </c>
      <c r="BW6" s="126" t="s">
        <v>2</v>
      </c>
      <c r="BX6" s="126" t="s">
        <v>3</v>
      </c>
      <c r="BY6" s="126" t="s">
        <v>4</v>
      </c>
      <c r="BZ6" s="208"/>
    </row>
    <row r="7" spans="2:85" ht="15.75" x14ac:dyDescent="0.25">
      <c r="B7" s="6" t="s">
        <v>36</v>
      </c>
      <c r="C7" s="11">
        <v>181.0033</v>
      </c>
      <c r="D7" s="8">
        <v>0</v>
      </c>
      <c r="E7" s="8">
        <v>0</v>
      </c>
      <c r="F7" s="11">
        <v>181.00319999999999</v>
      </c>
      <c r="G7" s="8">
        <f>(F7-C7)*1000</f>
        <v>-0.10000000000331966</v>
      </c>
      <c r="H7" s="8">
        <f>E7+G7</f>
        <v>-0.10000000000331966</v>
      </c>
      <c r="I7" s="11">
        <v>181.0034</v>
      </c>
      <c r="J7" s="8">
        <f>(I7-F7)*1000</f>
        <v>0.20000000000663931</v>
      </c>
      <c r="K7" s="8">
        <f>H7+J7</f>
        <v>0.10000000000331966</v>
      </c>
      <c r="L7" s="11">
        <v>181.0035</v>
      </c>
      <c r="M7" s="8">
        <f>(L7-I7)*1000</f>
        <v>0.10000000000331966</v>
      </c>
      <c r="N7" s="8">
        <f>K7+M7</f>
        <v>0.20000000000663931</v>
      </c>
      <c r="O7" s="11">
        <v>181.0034</v>
      </c>
      <c r="P7" s="8">
        <f>(O7-L7)*1000</f>
        <v>-0.10000000000331966</v>
      </c>
      <c r="Q7" s="8">
        <f>N7+P7</f>
        <v>0.10000000000331966</v>
      </c>
      <c r="R7" s="11">
        <v>181.00360000000001</v>
      </c>
      <c r="S7" s="8">
        <f>(R7-O7)*1000</f>
        <v>0.20000000000663931</v>
      </c>
      <c r="T7" s="8">
        <f>Q7+S7</f>
        <v>0.30000000000995897</v>
      </c>
      <c r="U7" s="11">
        <v>181.0034</v>
      </c>
      <c r="V7" s="8">
        <f>(U7-R7)*1000</f>
        <v>-0.20000000000663931</v>
      </c>
      <c r="W7" s="8">
        <f>T7+V7</f>
        <v>0.10000000000331966</v>
      </c>
      <c r="X7" s="11">
        <v>181.0033</v>
      </c>
      <c r="Y7" s="8">
        <f>(X7-U7)*1000</f>
        <v>-0.10000000000331966</v>
      </c>
      <c r="Z7" s="8">
        <f>W7+Y7</f>
        <v>0</v>
      </c>
      <c r="AA7" s="11">
        <v>181.00309999999999</v>
      </c>
      <c r="AB7" s="8">
        <f>(AA7-X7)*1000</f>
        <v>-0.20000000000663931</v>
      </c>
      <c r="AC7" s="8">
        <f>Z7+AB7</f>
        <v>-0.20000000000663931</v>
      </c>
      <c r="AD7" s="11">
        <v>181.00319999999999</v>
      </c>
      <c r="AE7" s="8">
        <f>(AD7-AA7)*1000</f>
        <v>0.10000000000331966</v>
      </c>
      <c r="AF7" s="8">
        <f>AC7+AE7</f>
        <v>-0.10000000000331966</v>
      </c>
      <c r="AG7" s="11">
        <v>181.00309999999999</v>
      </c>
      <c r="AH7" s="8">
        <f>(AG7-AD7)*1000</f>
        <v>-0.10000000000331966</v>
      </c>
      <c r="AI7" s="8">
        <f>AF7+AH7</f>
        <v>-0.20000000000663931</v>
      </c>
      <c r="AJ7" s="11">
        <v>181.0033</v>
      </c>
      <c r="AK7" s="8">
        <f>(AJ7-AG7)*1000</f>
        <v>0.20000000000663931</v>
      </c>
      <c r="AL7" s="8">
        <f>AI7+AK7</f>
        <v>0</v>
      </c>
      <c r="AM7" s="11">
        <v>181.00309999999999</v>
      </c>
      <c r="AN7" s="8">
        <f>(AM7-AJ7)*1000</f>
        <v>-0.20000000000663931</v>
      </c>
      <c r="AO7" s="8">
        <f>AL7+AN7</f>
        <v>-0.20000000000663931</v>
      </c>
      <c r="AP7" s="11">
        <v>181.00319999999999</v>
      </c>
      <c r="AQ7" s="8">
        <f>(AP7-AM7)*1000</f>
        <v>0.10000000000331966</v>
      </c>
      <c r="AR7" s="8">
        <f>AO7+AQ7</f>
        <v>-0.10000000000331966</v>
      </c>
      <c r="AS7" s="11">
        <v>181.00309999999999</v>
      </c>
      <c r="AT7" s="8">
        <f>(AS7-AP7)*1000</f>
        <v>-0.10000000000331966</v>
      </c>
      <c r="AU7" s="8">
        <f>AR7+AT7</f>
        <v>-0.20000000000663931</v>
      </c>
      <c r="AV7" s="11">
        <v>181.00299999999999</v>
      </c>
      <c r="AW7" s="8">
        <f>(AV7-AS7)*1000</f>
        <v>-0.10000000000331966</v>
      </c>
      <c r="AX7" s="8">
        <f>AU7+AW7</f>
        <v>-0.30000000000995897</v>
      </c>
      <c r="AY7" s="11">
        <v>181.00309999999999</v>
      </c>
      <c r="AZ7" s="8">
        <f>(AY7-AV7)*1000</f>
        <v>0.10000000000331966</v>
      </c>
      <c r="BA7" s="8">
        <f>AX7+AZ7</f>
        <v>-0.20000000000663931</v>
      </c>
      <c r="BB7" s="11">
        <v>181.00319999999999</v>
      </c>
      <c r="BC7" s="8">
        <f>(BB7-AY7)*1000</f>
        <v>0.10000000000331966</v>
      </c>
      <c r="BD7" s="8">
        <f>BA7+BC7</f>
        <v>-0.10000000000331966</v>
      </c>
      <c r="BE7" s="11">
        <v>181.00299999999999</v>
      </c>
      <c r="BF7" s="8">
        <f>(BE7-BB7)*1000</f>
        <v>-0.20000000000663931</v>
      </c>
      <c r="BG7" s="8">
        <f>BD7+BF7</f>
        <v>-0.30000000000995897</v>
      </c>
      <c r="BH7" s="11">
        <v>181.00309999999999</v>
      </c>
      <c r="BI7" s="8">
        <f>(BH7-BE7)*1000</f>
        <v>0.10000000000331966</v>
      </c>
      <c r="BJ7" s="8">
        <f>BG7+BI7</f>
        <v>-0.20000000000663931</v>
      </c>
      <c r="BK7" s="11">
        <v>181.0033</v>
      </c>
      <c r="BL7" s="8">
        <f>(BK7-BH7)*1000</f>
        <v>0.20000000000663931</v>
      </c>
      <c r="BM7" s="8">
        <f>BJ7+BL7</f>
        <v>0</v>
      </c>
      <c r="BN7" s="11">
        <v>181.00319999999999</v>
      </c>
      <c r="BO7" s="8">
        <f>(BN7-BK7)*1000</f>
        <v>-0.10000000000331966</v>
      </c>
      <c r="BP7" s="8">
        <f>BM7+BO7</f>
        <v>-0.10000000000331966</v>
      </c>
      <c r="BQ7" s="11">
        <v>181.00309999999999</v>
      </c>
      <c r="BR7" s="8">
        <f>(BQ7-BN7)*1000</f>
        <v>-0.10000000000331966</v>
      </c>
      <c r="BS7" s="8">
        <f>BP7+BR7</f>
        <v>-0.20000000000663931</v>
      </c>
      <c r="BT7" s="11">
        <v>181.00290000000001</v>
      </c>
      <c r="BU7" s="8">
        <f>(BT7-BQ7)*1000</f>
        <v>-0.1999999999782176</v>
      </c>
      <c r="BV7" s="8">
        <f>BS7+BU7</f>
        <v>-0.39999999998485691</v>
      </c>
      <c r="BW7" s="11">
        <v>181.00299999999999</v>
      </c>
      <c r="BX7" s="8">
        <f>(BW7-BT7)*1000</f>
        <v>9.9999999974897946E-2</v>
      </c>
      <c r="BY7" s="8">
        <f>BV7+BX7</f>
        <v>-0.30000000000995897</v>
      </c>
      <c r="BZ7" s="6" t="s">
        <v>36</v>
      </c>
      <c r="CB7" s="9"/>
      <c r="CC7" s="9"/>
      <c r="CG7" s="10"/>
    </row>
    <row r="8" spans="2:85" ht="15.75" x14ac:dyDescent="0.25">
      <c r="B8" s="12" t="s">
        <v>37</v>
      </c>
      <c r="C8" s="7">
        <v>178.4111</v>
      </c>
      <c r="D8" s="13">
        <v>0</v>
      </c>
      <c r="E8" s="13">
        <v>0</v>
      </c>
      <c r="F8" s="7">
        <v>178.4111</v>
      </c>
      <c r="G8" s="13">
        <v>0</v>
      </c>
      <c r="H8" s="13">
        <v>0</v>
      </c>
      <c r="I8" s="7">
        <v>178.4111</v>
      </c>
      <c r="J8" s="13">
        <v>0</v>
      </c>
      <c r="K8" s="13">
        <v>0</v>
      </c>
      <c r="L8" s="7">
        <v>178.4111</v>
      </c>
      <c r="M8" s="13">
        <v>0</v>
      </c>
      <c r="N8" s="13">
        <v>0</v>
      </c>
      <c r="O8" s="7">
        <v>178.4111</v>
      </c>
      <c r="P8" s="13">
        <v>0</v>
      </c>
      <c r="Q8" s="13">
        <v>0</v>
      </c>
      <c r="R8" s="7">
        <v>178.4111</v>
      </c>
      <c r="S8" s="13">
        <v>0</v>
      </c>
      <c r="T8" s="13">
        <v>0</v>
      </c>
      <c r="U8" s="7">
        <v>178.4111</v>
      </c>
      <c r="V8" s="13">
        <v>0</v>
      </c>
      <c r="W8" s="13">
        <v>0</v>
      </c>
      <c r="X8" s="7">
        <v>178.4111</v>
      </c>
      <c r="Y8" s="13">
        <v>0</v>
      </c>
      <c r="Z8" s="13">
        <v>0</v>
      </c>
      <c r="AA8" s="7">
        <v>178.4111</v>
      </c>
      <c r="AB8" s="13">
        <v>0</v>
      </c>
      <c r="AC8" s="13">
        <v>0</v>
      </c>
      <c r="AD8" s="7">
        <v>178.4111</v>
      </c>
      <c r="AE8" s="13">
        <v>0</v>
      </c>
      <c r="AF8" s="13">
        <v>0</v>
      </c>
      <c r="AG8" s="7">
        <v>178.4111</v>
      </c>
      <c r="AH8" s="13">
        <v>0</v>
      </c>
      <c r="AI8" s="13">
        <v>0</v>
      </c>
      <c r="AJ8" s="7">
        <v>178.4111</v>
      </c>
      <c r="AK8" s="13">
        <v>0</v>
      </c>
      <c r="AL8" s="13">
        <v>0</v>
      </c>
      <c r="AM8" s="7">
        <v>178.4111</v>
      </c>
      <c r="AN8" s="13">
        <v>0</v>
      </c>
      <c r="AO8" s="13">
        <v>0</v>
      </c>
      <c r="AP8" s="7">
        <v>178.4111</v>
      </c>
      <c r="AQ8" s="13">
        <v>0</v>
      </c>
      <c r="AR8" s="13">
        <v>0</v>
      </c>
      <c r="AS8" s="7">
        <v>178.4111</v>
      </c>
      <c r="AT8" s="13">
        <v>0</v>
      </c>
      <c r="AU8" s="13">
        <v>0</v>
      </c>
      <c r="AV8" s="7">
        <v>178.4111</v>
      </c>
      <c r="AW8" s="13">
        <v>0</v>
      </c>
      <c r="AX8" s="13">
        <v>0</v>
      </c>
      <c r="AY8" s="7">
        <v>178.4111</v>
      </c>
      <c r="AZ8" s="8">
        <f t="shared" ref="AZ8:AZ9" si="0">(AY8-AV8)*1000</f>
        <v>0</v>
      </c>
      <c r="BA8" s="8">
        <f t="shared" ref="BA8:BA9" si="1">AX8+AZ8</f>
        <v>0</v>
      </c>
      <c r="BB8" s="7">
        <v>178.4111</v>
      </c>
      <c r="BC8" s="8">
        <f t="shared" ref="BC8:BC9" si="2">(BB8-AY8)*1000</f>
        <v>0</v>
      </c>
      <c r="BD8" s="8">
        <f t="shared" ref="BD8:BD9" si="3">BA8+BC8</f>
        <v>0</v>
      </c>
      <c r="BE8" s="7">
        <v>178.4111</v>
      </c>
      <c r="BF8" s="8">
        <f t="shared" ref="BF8:BF9" si="4">(BE8-BB8)*1000</f>
        <v>0</v>
      </c>
      <c r="BG8" s="8">
        <f t="shared" ref="BG8:BG9" si="5">BD8+BF8</f>
        <v>0</v>
      </c>
      <c r="BH8" s="7">
        <v>178.4111</v>
      </c>
      <c r="BI8" s="8">
        <f t="shared" ref="BI8:BI9" si="6">(BH8-BE8)*1000</f>
        <v>0</v>
      </c>
      <c r="BJ8" s="8">
        <f t="shared" ref="BJ8:BJ9" si="7">BG8+BI8</f>
        <v>0</v>
      </c>
      <c r="BK8" s="7">
        <v>178.4111</v>
      </c>
      <c r="BL8" s="8">
        <f t="shared" ref="BL8:BL9" si="8">(BK8-BH8)*1000</f>
        <v>0</v>
      </c>
      <c r="BM8" s="8">
        <f t="shared" ref="BM8:BM9" si="9">BJ8+BL8</f>
        <v>0</v>
      </c>
      <c r="BN8" s="7">
        <v>178.4111</v>
      </c>
      <c r="BO8" s="8">
        <f t="shared" ref="BO8:BO9" si="10">(BN8-BK8)*1000</f>
        <v>0</v>
      </c>
      <c r="BP8" s="8">
        <f t="shared" ref="BP8:BP9" si="11">BM8+BO8</f>
        <v>0</v>
      </c>
      <c r="BQ8" s="7">
        <v>178.4111</v>
      </c>
      <c r="BR8" s="8">
        <f t="shared" ref="BR8:BR9" si="12">(BQ8-BN8)*1000</f>
        <v>0</v>
      </c>
      <c r="BS8" s="8">
        <f t="shared" ref="BS8:BS9" si="13">BP8+BR8</f>
        <v>0</v>
      </c>
      <c r="BT8" s="7">
        <v>178.4111</v>
      </c>
      <c r="BU8" s="8">
        <f t="shared" ref="BU8:BU9" si="14">(BT8-BQ8)*1000</f>
        <v>0</v>
      </c>
      <c r="BV8" s="8">
        <f t="shared" ref="BV8:BV9" si="15">BS8+BU8</f>
        <v>0</v>
      </c>
      <c r="BW8" s="7">
        <v>178.4111</v>
      </c>
      <c r="BX8" s="8">
        <f t="shared" ref="BX8:BX9" si="16">(BW8-BT8)*1000</f>
        <v>0</v>
      </c>
      <c r="BY8" s="8">
        <f t="shared" ref="BY8:BY9" si="17">BV8+BX8</f>
        <v>0</v>
      </c>
      <c r="BZ8" s="12" t="s">
        <v>37</v>
      </c>
      <c r="CB8" s="9"/>
      <c r="CC8" s="9"/>
      <c r="CG8" s="10"/>
    </row>
    <row r="9" spans="2:85" ht="15.75" x14ac:dyDescent="0.25">
      <c r="B9" s="6" t="s">
        <v>38</v>
      </c>
      <c r="C9" s="11">
        <v>177.70140000000001</v>
      </c>
      <c r="D9" s="8">
        <v>0</v>
      </c>
      <c r="E9" s="8">
        <v>0</v>
      </c>
      <c r="F9" s="11">
        <v>177.70160000000001</v>
      </c>
      <c r="G9" s="8">
        <f>(F9-C9)*1000</f>
        <v>0.20000000000663931</v>
      </c>
      <c r="H9" s="8">
        <f>E9+G9</f>
        <v>0.20000000000663931</v>
      </c>
      <c r="I9" s="11">
        <v>177.70150000000001</v>
      </c>
      <c r="J9" s="8">
        <f>(I9-F9)*1000</f>
        <v>-0.10000000000331966</v>
      </c>
      <c r="K9" s="8">
        <f>H9+J9</f>
        <v>0.10000000000331966</v>
      </c>
      <c r="L9" s="11">
        <v>177.7013</v>
      </c>
      <c r="M9" s="8">
        <f>(L9-I9)*1000</f>
        <v>-0.20000000000663931</v>
      </c>
      <c r="N9" s="8">
        <f>K9+M9</f>
        <v>-0.10000000000331966</v>
      </c>
      <c r="O9" s="11">
        <v>177.70150000000001</v>
      </c>
      <c r="P9" s="8">
        <f>(O9-L9)*1000</f>
        <v>0.20000000000663931</v>
      </c>
      <c r="Q9" s="8">
        <f>N9+P9</f>
        <v>0.10000000000331966</v>
      </c>
      <c r="R9" s="11">
        <v>177.70160000000001</v>
      </c>
      <c r="S9" s="8">
        <f>(R9-O9)*1000</f>
        <v>0.10000000000331966</v>
      </c>
      <c r="T9" s="8">
        <f>Q9+S9</f>
        <v>0.20000000000663931</v>
      </c>
      <c r="U9" s="11">
        <v>177.70140000000001</v>
      </c>
      <c r="V9" s="8">
        <f>(U9-R9)*1000</f>
        <v>-0.20000000000663931</v>
      </c>
      <c r="W9" s="8">
        <f>T9+V9</f>
        <v>0</v>
      </c>
      <c r="X9" s="11">
        <v>177.7012</v>
      </c>
      <c r="Y9" s="8">
        <f>(X9-U9)*1000</f>
        <v>-0.20000000000663931</v>
      </c>
      <c r="Z9" s="8">
        <f>W9+Y9</f>
        <v>-0.20000000000663931</v>
      </c>
      <c r="AA9" s="11">
        <v>177.7013</v>
      </c>
      <c r="AB9" s="8">
        <f>(AA9-X9)*1000</f>
        <v>0.10000000000331966</v>
      </c>
      <c r="AC9" s="8">
        <f>Z9+AB9</f>
        <v>-0.10000000000331966</v>
      </c>
      <c r="AD9" s="11">
        <v>177.70150000000001</v>
      </c>
      <c r="AE9" s="8">
        <f>(AD9-AA9)*1000</f>
        <v>0.20000000000663931</v>
      </c>
      <c r="AF9" s="8">
        <f>AC9+AE9</f>
        <v>0.10000000000331966</v>
      </c>
      <c r="AG9" s="11">
        <v>177.70140000000001</v>
      </c>
      <c r="AH9" s="8">
        <f>(AG9-AD9)*1000</f>
        <v>-0.10000000000331966</v>
      </c>
      <c r="AI9" s="8">
        <f>AF9+AH9</f>
        <v>0</v>
      </c>
      <c r="AJ9" s="11">
        <v>177.7013</v>
      </c>
      <c r="AK9" s="8">
        <f>(AJ9-AG9)*1000</f>
        <v>-0.10000000000331966</v>
      </c>
      <c r="AL9" s="8">
        <f>AI9+AK9</f>
        <v>-0.10000000000331966</v>
      </c>
      <c r="AM9" s="11">
        <v>177.7012</v>
      </c>
      <c r="AN9" s="8">
        <f>(AM9-AJ9)*1000</f>
        <v>-0.10000000000331966</v>
      </c>
      <c r="AO9" s="8">
        <f>AL9+AN9</f>
        <v>-0.20000000000663931</v>
      </c>
      <c r="AP9" s="11">
        <v>177.70150000000001</v>
      </c>
      <c r="AQ9" s="8">
        <f>(AP9-AM9)*1000</f>
        <v>0.30000000000995897</v>
      </c>
      <c r="AR9" s="8">
        <f>AO9+AQ9</f>
        <v>0.10000000000331966</v>
      </c>
      <c r="AS9" s="11">
        <v>177.7012</v>
      </c>
      <c r="AT9" s="8">
        <f>(AS9-AP9)*1000</f>
        <v>-0.30000000000995897</v>
      </c>
      <c r="AU9" s="8">
        <f>AR9+AT9</f>
        <v>-0.20000000000663931</v>
      </c>
      <c r="AV9" s="11">
        <v>177.7013</v>
      </c>
      <c r="AW9" s="8">
        <f>(AV9-AS9)*1000</f>
        <v>0.10000000000331966</v>
      </c>
      <c r="AX9" s="8">
        <f>AU9+AW9</f>
        <v>-0.10000000000331966</v>
      </c>
      <c r="AY9" s="11">
        <v>177.7012</v>
      </c>
      <c r="AZ9" s="8">
        <f t="shared" si="0"/>
        <v>-0.10000000000331966</v>
      </c>
      <c r="BA9" s="8">
        <f t="shared" si="1"/>
        <v>-0.20000000000663931</v>
      </c>
      <c r="BB9" s="11">
        <v>177.7011</v>
      </c>
      <c r="BC9" s="8">
        <f t="shared" si="2"/>
        <v>-0.10000000000331966</v>
      </c>
      <c r="BD9" s="8">
        <f t="shared" si="3"/>
        <v>-0.30000000000995897</v>
      </c>
      <c r="BE9" s="11">
        <v>177.7012</v>
      </c>
      <c r="BF9" s="8">
        <f t="shared" si="4"/>
        <v>0.10000000000331966</v>
      </c>
      <c r="BG9" s="8">
        <f t="shared" si="5"/>
        <v>-0.20000000000663931</v>
      </c>
      <c r="BH9" s="11">
        <v>177.7011</v>
      </c>
      <c r="BI9" s="8">
        <f t="shared" si="6"/>
        <v>-0.10000000000331966</v>
      </c>
      <c r="BJ9" s="8">
        <f t="shared" si="7"/>
        <v>-0.30000000000995897</v>
      </c>
      <c r="BK9" s="11">
        <v>177.7012</v>
      </c>
      <c r="BL9" s="8">
        <f t="shared" si="8"/>
        <v>0.10000000000331966</v>
      </c>
      <c r="BM9" s="8">
        <f t="shared" si="9"/>
        <v>-0.20000000000663931</v>
      </c>
      <c r="BN9" s="11">
        <v>177.7013</v>
      </c>
      <c r="BO9" s="8">
        <f t="shared" si="10"/>
        <v>0.10000000000331966</v>
      </c>
      <c r="BP9" s="8">
        <f t="shared" si="11"/>
        <v>-0.10000000000331966</v>
      </c>
      <c r="BQ9" s="11">
        <v>177.7011</v>
      </c>
      <c r="BR9" s="8">
        <f t="shared" si="12"/>
        <v>-0.20000000000663931</v>
      </c>
      <c r="BS9" s="8">
        <f t="shared" si="13"/>
        <v>-0.30000000000995897</v>
      </c>
      <c r="BT9" s="11">
        <v>177.70099999999999</v>
      </c>
      <c r="BU9" s="8">
        <f t="shared" si="14"/>
        <v>-0.10000000000331966</v>
      </c>
      <c r="BV9" s="8">
        <f t="shared" si="15"/>
        <v>-0.40000000001327862</v>
      </c>
      <c r="BW9" s="11">
        <v>177.7012</v>
      </c>
      <c r="BX9" s="8">
        <f t="shared" si="16"/>
        <v>0.20000000000663931</v>
      </c>
      <c r="BY9" s="8">
        <f t="shared" si="17"/>
        <v>-0.20000000000663931</v>
      </c>
      <c r="BZ9" s="6" t="s">
        <v>38</v>
      </c>
      <c r="CB9" s="9"/>
      <c r="CC9" s="9"/>
      <c r="CG9" s="10"/>
    </row>
  </sheetData>
  <mergeCells count="29">
    <mergeCell ref="BZ5:BZ6"/>
    <mergeCell ref="B3:BZ3"/>
    <mergeCell ref="B4:BZ4"/>
    <mergeCell ref="C5:E5"/>
    <mergeCell ref="B5:B6"/>
    <mergeCell ref="F5:H5"/>
    <mergeCell ref="I5:K5"/>
    <mergeCell ref="L5:N5"/>
    <mergeCell ref="O5:Q5"/>
    <mergeCell ref="R5:T5"/>
    <mergeCell ref="U5:W5"/>
    <mergeCell ref="X5:Z5"/>
    <mergeCell ref="AA5:AC5"/>
    <mergeCell ref="AV5:AX5"/>
    <mergeCell ref="BW5:BY5"/>
    <mergeCell ref="AD5:AF5"/>
    <mergeCell ref="AG5:AI5"/>
    <mergeCell ref="AJ5:AL5"/>
    <mergeCell ref="AP5:AR5"/>
    <mergeCell ref="AM5:AO5"/>
    <mergeCell ref="AS5:AU5"/>
    <mergeCell ref="BT5:BV5"/>
    <mergeCell ref="BQ5:BS5"/>
    <mergeCell ref="AY5:BA5"/>
    <mergeCell ref="BN5:BP5"/>
    <mergeCell ref="BK5:BM5"/>
    <mergeCell ref="BH5:BJ5"/>
    <mergeCell ref="BE5:BG5"/>
    <mergeCell ref="BB5:B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окр2дома</vt:lpstr>
      <vt:lpstr>ОКРУЖАЙКА</vt:lpstr>
      <vt:lpstr>ИНЖЕНЕРНЫЕ КОММУНИКАЦИИ</vt:lpstr>
      <vt:lpstr>КОТЛОВАН</vt:lpstr>
      <vt:lpstr>РЕПЕРА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</dc:creator>
  <cp:lastModifiedBy>Ирина А</cp:lastModifiedBy>
  <dcterms:created xsi:type="dcterms:W3CDTF">2023-08-30T15:58:36Z</dcterms:created>
  <dcterms:modified xsi:type="dcterms:W3CDTF">2025-09-16T16:38:56Z</dcterms:modified>
</cp:coreProperties>
</file>